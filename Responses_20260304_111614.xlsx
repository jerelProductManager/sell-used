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166925"/>
  <mc:AlternateContent xmlns:mc="http://schemas.openxmlformats.org/markup-compatibility/2006">
    <mc:Choice Requires="x15">
      <x15ac:absPath xmlns:x15ac="http://schemas.microsoft.com/office/spreadsheetml/2010/11/ac" url="/Users/jerelscs/Downloads/"/>
    </mc:Choice>
  </mc:AlternateContent>
  <xr:revisionPtr revIDLastSave="0" documentId="8_{BBA9FFE7-6B8E-0049-A837-C6080120BA7A}" xr6:coauthVersionLast="47" xr6:coauthVersionMax="47" xr10:uidLastSave="{00000000-0000-0000-0000-000000000000}"/>
  <bookViews>
    <workbookView xWindow="0" yWindow="600" windowWidth="38400" windowHeight="21000" xr2:uid="{00000000-000D-0000-FFFF-FFFF00000000}"/>
  </bookViews>
  <sheets>
    <sheet name="RAW" sheetId="1" r:id="rId1"/>
    <sheet name="Theme 1" sheetId="2" r:id="rId2"/>
    <sheet name="Theme 2" sheetId="3" r:id="rId3"/>
    <sheet name="Theme 3" sheetId="4" r:id="rId4"/>
    <sheet name="Theme 4" sheetId="5" r:id="rId5"/>
    <sheet name="Theme 5" sheetId="6" r:id="rId6"/>
    <sheet name="Totals" sheetId="8" r:id="rId7"/>
    <sheet name="Theme Analysis" sheetId="9" r:id="rId8"/>
    <sheet name="WebEX Negative Calculation" sheetId="10" r:id="rId9"/>
    <sheet name="Final Analysis" sheetId="11" r:id="rId10"/>
  </sheets>
  <definedNames>
    <definedName name="_xlnm._FilterDatabase" localSheetId="0" hidden="1">RAW!$A$1:$SN$453</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7" i="9" l="1"/>
  <c r="E71" i="9"/>
  <c r="B71" i="9"/>
  <c r="B68" i="9"/>
  <c r="B61" i="9"/>
  <c r="E61" i="9"/>
  <c r="E52" i="9"/>
  <c r="B52" i="9"/>
  <c r="E42" i="9"/>
  <c r="B42" i="9"/>
  <c r="E38" i="9"/>
  <c r="E34" i="9"/>
  <c r="B34" i="9"/>
  <c r="E28" i="9"/>
  <c r="E20" i="9"/>
  <c r="B20" i="9"/>
  <c r="E16" i="9"/>
  <c r="B16" i="9"/>
  <c r="E9" i="9"/>
  <c r="B9" i="9"/>
  <c r="E12" i="9"/>
  <c r="B1" i="9"/>
  <c r="B15" i="8"/>
  <c r="B14" i="8"/>
  <c r="FT13" i="8"/>
  <c r="FQ13" i="8"/>
  <c r="FN13" i="8"/>
  <c r="FK13" i="8"/>
  <c r="FH13" i="8"/>
  <c r="FE13" i="8"/>
  <c r="FB13" i="8"/>
  <c r="EY13" i="8"/>
  <c r="EV13" i="8"/>
  <c r="ES13" i="8"/>
  <c r="EP13" i="8"/>
  <c r="EM13" i="8"/>
  <c r="EJ13" i="8"/>
  <c r="EG13" i="8"/>
  <c r="ED13" i="8"/>
  <c r="EA13" i="8"/>
  <c r="DX13" i="8"/>
  <c r="DU13" i="8"/>
  <c r="DR13" i="8"/>
  <c r="DO13" i="8"/>
  <c r="DL13" i="8"/>
  <c r="DI13" i="8"/>
  <c r="DF13" i="8"/>
  <c r="DC13" i="8"/>
  <c r="CZ13" i="8"/>
  <c r="CW13" i="8"/>
  <c r="CT13" i="8"/>
  <c r="CQ13" i="8"/>
  <c r="CN13" i="8"/>
  <c r="CK13" i="8"/>
  <c r="CH13" i="8"/>
  <c r="CE13" i="8"/>
  <c r="CB13" i="8"/>
  <c r="BY13" i="8"/>
  <c r="BV13" i="8"/>
  <c r="BS13" i="8"/>
  <c r="BP13" i="8"/>
  <c r="BM13" i="8"/>
  <c r="BJ13" i="8"/>
  <c r="BG13" i="8"/>
  <c r="BD13" i="8"/>
  <c r="BA13" i="8"/>
  <c r="AX13" i="8"/>
  <c r="AU13" i="8"/>
  <c r="AR13" i="8"/>
  <c r="AO13" i="8"/>
  <c r="AL13" i="8"/>
  <c r="AI13" i="8"/>
  <c r="AF13" i="8"/>
  <c r="AC13" i="8"/>
  <c r="Z13" i="8"/>
  <c r="W13" i="8"/>
  <c r="T13" i="8"/>
  <c r="Q13" i="8"/>
  <c r="N13" i="8"/>
  <c r="K13" i="8"/>
  <c r="H13" i="8"/>
  <c r="E13" i="8"/>
  <c r="B13" i="8"/>
</calcChain>
</file>

<file path=xl/sharedStrings.xml><?xml version="1.0" encoding="utf-8"?>
<sst xmlns="http://schemas.openxmlformats.org/spreadsheetml/2006/main" count="14329" uniqueCount="4825">
  <si>
    <t>Response Detail Header</t>
  </si>
  <si>
    <t>Likely to Recommend (NPS)</t>
  </si>
  <si>
    <t>Overall Satisfaction Score</t>
  </si>
  <si>
    <t>Survey Response Date</t>
  </si>
  <si>
    <t>Survey ID</t>
  </si>
  <si>
    <t>Survey Type</t>
  </si>
  <si>
    <t>Company Name</t>
  </si>
  <si>
    <t>Customer Name</t>
  </si>
  <si>
    <t>Customer Code</t>
  </si>
  <si>
    <t>Customer Email</t>
  </si>
  <si>
    <t>Unix Order #</t>
  </si>
  <si>
    <t>Billing Address Location</t>
  </si>
  <si>
    <t>Shipping Address Location</t>
  </si>
  <si>
    <t>Customer Tenure</t>
  </si>
  <si>
    <t>Customer Has Payboo Card</t>
  </si>
  <si>
    <t>International Flag</t>
  </si>
  <si>
    <t>Associated Media Feedback Types</t>
  </si>
  <si>
    <t>Email</t>
  </si>
  <si>
    <t>Customer Tenure (By Month)</t>
  </si>
  <si>
    <t>User Profile Display Name</t>
  </si>
  <si>
    <t>Nickname</t>
  </si>
  <si>
    <t>User Profile Reference ID</t>
  </si>
  <si>
    <t>Subscriber Status</t>
  </si>
  <si>
    <t>Name</t>
  </si>
  <si>
    <t>Please enter the e-mail address that you would like us to contact you at, in theevent that you win a $250 B&amp;H gift card, or to address any of your concerns. (Wewill never share your email address with anyone)</t>
  </si>
  <si>
    <t>Votes</t>
  </si>
  <si>
    <t>uid</t>
  </si>
  <si>
    <t>Alert close time (EST)</t>
  </si>
  <si>
    <t>Survey Email Date Time</t>
  </si>
  <si>
    <t>Chat Date</t>
  </si>
  <si>
    <t>Order Number</t>
  </si>
  <si>
    <t>Web Order #</t>
  </si>
  <si>
    <t>Order Date</t>
  </si>
  <si>
    <t>Transcript #</t>
  </si>
  <si>
    <t>Shipping Date</t>
  </si>
  <si>
    <t>Case #</t>
  </si>
  <si>
    <t>Internal Case Type</t>
  </si>
  <si>
    <t>Internal Case Number</t>
  </si>
  <si>
    <t>Transcript ID</t>
  </si>
  <si>
    <t>External Case Number</t>
  </si>
  <si>
    <t>Payment Type</t>
  </si>
  <si>
    <t>Agent Verified Order</t>
  </si>
  <si>
    <t>Customer Service Agent Full Name</t>
  </si>
  <si>
    <t>Gradus Agent Full Name</t>
  </si>
  <si>
    <t>Cashier Full Name</t>
  </si>
  <si>
    <t>Sales Agent</t>
  </si>
  <si>
    <t>Checker Full Name</t>
  </si>
  <si>
    <t>Evaluator Full Name</t>
  </si>
  <si>
    <t>Picker Full Name</t>
  </si>
  <si>
    <t>Agent Full Name</t>
  </si>
  <si>
    <t>Order Link</t>
  </si>
  <si>
    <t>Customer Link</t>
  </si>
  <si>
    <t>Case Link (Chat Transcript)</t>
  </si>
  <si>
    <t>Full Story Link</t>
  </si>
  <si>
    <t>Shipping Method</t>
  </si>
  <si>
    <t>Shipping Method Type</t>
  </si>
  <si>
    <t>Carrier Name</t>
  </si>
  <si>
    <t>Platform Device category</t>
  </si>
  <si>
    <t>Product Category</t>
  </si>
  <si>
    <t>Web Customer Code</t>
  </si>
  <si>
    <t>Order Status</t>
  </si>
  <si>
    <t>Verification Acknowledged</t>
  </si>
  <si>
    <t>LAST_ORDER</t>
  </si>
  <si>
    <t>Rating</t>
  </si>
  <si>
    <t>PDT ID</t>
  </si>
  <si>
    <t>Moderation Status</t>
  </si>
  <si>
    <t>Campaign ID</t>
  </si>
  <si>
    <t>IP Address</t>
  </si>
  <si>
    <t>Review Link</t>
  </si>
  <si>
    <t>Badge Name</t>
  </si>
  <si>
    <t>Item Code</t>
  </si>
  <si>
    <t>High Category</t>
  </si>
  <si>
    <t>Review ID</t>
  </si>
  <si>
    <t>Verification Agent Name</t>
  </si>
  <si>
    <t>Vendor</t>
  </si>
  <si>
    <t>source</t>
  </si>
  <si>
    <t>Page URL</t>
  </si>
  <si>
    <t>User Agent</t>
  </si>
  <si>
    <t>fsurl4</t>
  </si>
  <si>
    <t>fsurl2</t>
  </si>
  <si>
    <t>session_id2</t>
  </si>
  <si>
    <t>session_id</t>
  </si>
  <si>
    <t>fsurl</t>
  </si>
  <si>
    <t>JSESSIONID</t>
  </si>
  <si>
    <t>Price Match Agent</t>
  </si>
  <si>
    <t>Call Escalated</t>
  </si>
  <si>
    <t>Original Response Team</t>
  </si>
  <si>
    <t>Change Response Team</t>
  </si>
  <si>
    <t>Level II Response Y/N (CAD Only)</t>
  </si>
  <si>
    <t>Alert assigned to names</t>
  </si>
  <si>
    <t>Assigned To</t>
  </si>
  <si>
    <t>Creationdate</t>
  </si>
  <si>
    <t>Alert type</t>
  </si>
  <si>
    <t>Current status of alert</t>
  </si>
  <si>
    <t>Rapid Response Sent Date</t>
  </si>
  <si>
    <t>Rapid Response sent by</t>
  </si>
  <si>
    <t>Survey Has Comment</t>
  </si>
  <si>
    <t>Reason for Score</t>
  </si>
  <si>
    <t>Comments</t>
  </si>
  <si>
    <t>Additional Comments</t>
  </si>
  <si>
    <t>Other Reason for Visit</t>
  </si>
  <si>
    <t>Please tell us what you LIKE MOST about your B&amp;H B2B experience (Optional)</t>
  </si>
  <si>
    <t>Please tell us what you DISLIKE MOST about your B&amp;H B2B experience (Optional)</t>
  </si>
  <si>
    <t>If Other, please explain why you chose Store Pick Up: </t>
  </si>
  <si>
    <t>If Other, how you get to B&amp;H?</t>
  </si>
  <si>
    <t>Please select the primary reason you contacted Customer Service: - Other</t>
  </si>
  <si>
    <t>How did you learn about the Tech Corner: Please Specify </t>
  </si>
  <si>
    <t>Please Specify</t>
  </si>
  <si>
    <t>Please tell us what you LIKED MOST about your B&amp;H live chat experience (Optional)</t>
  </si>
  <si>
    <t xml:space="preserve">Please tell us what you LIKED MOST about your B&amp;H Experience </t>
  </si>
  <si>
    <t>Please tell us what you LIKED MOST about your B&amp;H Customer Service experience</t>
  </si>
  <si>
    <t>Please tell us what you LIKED MOST about your B&amp;H experience</t>
  </si>
  <si>
    <t>Please tell us what you LIKED MOST about your B&amp;H experience (Optional)</t>
  </si>
  <si>
    <t>Please tell us what you DISLIKED MOST about your B&amp;H live chat experience (Optional)</t>
  </si>
  <si>
    <t>Please tell us what you DISLIKED MOST about your B&amp;H Experience</t>
  </si>
  <si>
    <t>Please tell us what you DISLIKED MOST about your B&amp;H Customer Service experience</t>
  </si>
  <si>
    <t>Please tell us what you DISLIKED MOST about your B&amp;H experience</t>
  </si>
  <si>
    <t>Please tell us what you DISLIKED MOST about your experience at the B&amp;H store (Optional)</t>
  </si>
  <si>
    <t>Please tell us what you DISLIKED MOST about your B&amp;H experience (Optional)</t>
  </si>
  <si>
    <t xml:space="preserve">This survey gives you the chance to share your feedback through photo or video!
Your photo or video will be used to help improve B&amp;H’s customer experience, may
be used for internal communications, and all use will be in accordance with
B&amp;H’s Terms and Conditions and Privacy Policy
[https://www.bhphotovideo.com/find/HelpCenter/Policies.jsp#privacySecurity].
</t>
  </si>
  <si>
    <t>Was there anything that prevented you from placing an order during your B&amp;H phone call? - Other</t>
  </si>
  <si>
    <t>Would you like to record a video to share your feedback?</t>
  </si>
  <si>
    <t>Would You Like To Include A Photo Or Video</t>
  </si>
  <si>
    <t>Would you like to upload a photo or video to share your feedback?</t>
  </si>
  <si>
    <t>Please tell us how we could make a better shopping experience for our Canadian customers. (Optional)</t>
  </si>
  <si>
    <t>Please tell us how we could make a better shopping experience for our customers</t>
  </si>
  <si>
    <t>Please specify the product/s you would like to see on display, include the B&amp;H
item number if available. (List all products)</t>
  </si>
  <si>
    <t>Open Comment</t>
  </si>
  <si>
    <t>Other</t>
  </si>
  <si>
    <t>Your Review</t>
  </si>
  <si>
    <t>Please tell us what you LIKED MOST about your Gradus Customer Service experience</t>
  </si>
  <si>
    <t>Please tell us what you DISLIKED MOST about your Gradus Customer Service
experience.</t>
  </si>
  <si>
    <t>Please tell us how we can improve your experience with our products or services.</t>
  </si>
  <si>
    <t>For the rating you provided above, what policies were you considering?</t>
  </si>
  <si>
    <t>How can we improve our service?</t>
  </si>
  <si>
    <t>What form of payment did you use for your recent B&amp;H transaction? - Other</t>
  </si>
  <si>
    <t>Since you are familiar with Payboo but did not use it for your recent transaction, please share your reasons – Other:</t>
  </si>
  <si>
    <t>Please let us know how you learned about PayBoo? – Other</t>
  </si>
  <si>
    <t>Other form of payment</t>
  </si>
  <si>
    <t>Since you are familiar with Payboo but did not use it for your recent transaction, please share your reasons: Other</t>
  </si>
  <si>
    <t>Other - How did you learn about Payboo</t>
  </si>
  <si>
    <t>How can we improve the Payboo credit card application experience? (Optional)</t>
  </si>
  <si>
    <t>Please add any additional comments</t>
  </si>
  <si>
    <t>Could you please tell us which product(s) you were looking for?</t>
  </si>
  <si>
    <t>What was the primary thing that prevented you from placing an order? Please Specify</t>
  </si>
  <si>
    <t>Please tell us what policies you were considering.</t>
  </si>
  <si>
    <t>Please describe your issues:</t>
  </si>
  <si>
    <t>Is there anything we can do to improve the shopping experience?</t>
  </si>
  <si>
    <t>Please tell us your primary role or department: Other</t>
  </si>
  <si>
    <t>Please tell us your primary role or department: Other</t>
  </si>
  <si>
    <t>Please tell us what you LIKED MOST about your experience using the B&amp;H website (Optional)</t>
  </si>
  <si>
    <t>Please tell us what you DISLIKED MOST about your experience using the B&amp;H website (Optional)</t>
  </si>
  <si>
    <t>Could you tell us which products you were looking for and were not available?</t>
  </si>
  <si>
    <t>If you would like to be entered into our $500 B&amp;H Gift Card drawing please enteryour email address below:</t>
  </si>
  <si>
    <t>Please specify the obstacles you faced when applying for Payboo</t>
  </si>
  <si>
    <t>Please tell us how you learned about Payboo: Other</t>
  </si>
  <si>
    <t>What was the primary reason that prevented you from placing an order during your B&amp;amp;H web visit? - Other</t>
  </si>
  <si>
    <t>Review Title</t>
  </si>
  <si>
    <t>Review Text</t>
  </si>
  <si>
    <t>What did you LIKE MOST about your experience purchasing Used Gear from B&amp;H?</t>
  </si>
  <si>
    <t>What did you DISLIKE MOST about your experience purchasing Used Gear from B&amp;H?</t>
  </si>
  <si>
    <t>What improvements could we make to your Used purchase experience?</t>
  </si>
  <si>
    <t>Please tell us more about your concern with the return policy and warranties for
Used products</t>
  </si>
  <si>
    <t>Please tell us more about the availability of Used products</t>
  </si>
  <si>
    <t>What did you LIKE MOST about your experience?</t>
  </si>
  <si>
    <t>What did you DISLIKE MOST about your experience?</t>
  </si>
  <si>
    <t>What could we do to improve the film development / printing service? </t>
  </si>
  <si>
    <t>Please tell us what B&amp;H could do to improve the returns experience</t>
  </si>
  <si>
    <t>Could you please tell us what was not to your satisfaction?</t>
  </si>
  <si>
    <t>Could you please tell us more regarding how your inquiry was not resolved?</t>
  </si>
  <si>
    <t>Please specify the items which were out of stock. Please include the B&amp;H item number if available. (List all products)</t>
  </si>
  <si>
    <t>Please specify the item(s) you were looking for.</t>
  </si>
  <si>
    <t>Please specify which items were not priced competitively. Please list the products.</t>
  </si>
  <si>
    <t>Please tell the reason you did not purchase: Other</t>
  </si>
  <si>
    <t>Other:  (Required)</t>
  </si>
  <si>
    <t>Other Department Feedback: (Required)</t>
  </si>
  <si>
    <t>Other Facilities Feedback: (Required)</t>
  </si>
  <si>
    <t>Please enter your email. (If you would like a response this is required.)</t>
  </si>
  <si>
    <t>Likely to Recommend</t>
  </si>
  <si>
    <t>Liked Most Comment</t>
  </si>
  <si>
    <t>Disliked Most Comment</t>
  </si>
  <si>
    <t>Where did you first hear about the B&amp;H SuperStore?</t>
  </si>
  <si>
    <t>Did an associate greet you during your visit?</t>
  </si>
  <si>
    <t>Wait Time speak with B&amp;H Product Expert</t>
  </si>
  <si>
    <t>Product Expert Courtesy</t>
  </si>
  <si>
    <t>Knowledge about the products</t>
  </si>
  <si>
    <t>Quality of recommendation</t>
  </si>
  <si>
    <t>The appearance of the store</t>
  </si>
  <si>
    <t>The ease of finding what you were looking for</t>
  </si>
  <si>
    <t>The wait time to pay for my item(s)</t>
  </si>
  <si>
    <t>The courtesy of the cashier</t>
  </si>
  <si>
    <t>The wait time to pick up my items</t>
  </si>
  <si>
    <t>Selection</t>
  </si>
  <si>
    <t>Value for price paid</t>
  </si>
  <si>
    <t>Quality</t>
  </si>
  <si>
    <t>Products on display</t>
  </si>
  <si>
    <t>Please tell us the general category of product display(s) you were not satisfied with:</t>
  </si>
  <si>
    <t>Please specify the product/s you would like to see on display, include the B&amp;Hitem number if available. (List all products)</t>
  </si>
  <si>
    <t>Wait-time to speak with an agent (Guest Technical Services)</t>
  </si>
  <si>
    <t>Agent knowledge concerning your inquiry (Guest Technical Services)</t>
  </si>
  <si>
    <t>Agent courtesy (Guest Technical Services)</t>
  </si>
  <si>
    <t>What form of payment did you use for your recent B&amp;H transaction?</t>
  </si>
  <si>
    <t>During your visit to the B&amp;H Store, did anyone tell you about the B&amp;H PayBoo Credit Card?</t>
  </si>
  <si>
    <t>Please let us know how you learned about PayBoo?</t>
  </si>
  <si>
    <t>What form of payment did you use for your recent B&amp;H transaction? </t>
  </si>
  <si>
    <t>During your visit to the B&amp;H Store, did anyone tell you about the B&amp;H PaybooCredit Card?</t>
  </si>
  <si>
    <t xml:space="preserve">
Please let us know how you learned about Payboo?</t>
  </si>
  <si>
    <t xml:space="preserve">
Were you assisted at B&amp;H’s Guest Technical Services?</t>
  </si>
  <si>
    <t>Ease of finding what you were looking for</t>
  </si>
  <si>
    <t>Product images</t>
  </si>
  <si>
    <t>Product Overview and Specifications</t>
  </si>
  <si>
    <t>Product Reviews</t>
  </si>
  <si>
    <t>Q&amp;A's</t>
  </si>
  <si>
    <t>Ease of accessing expert help</t>
  </si>
  <si>
    <t>B&amp;H policies</t>
  </si>
  <si>
    <t>Ease of Accessing expert help</t>
  </si>
  <si>
    <t>Clarity of shipping cost, delivery times, and options</t>
  </si>
  <si>
    <t>Ease of checkout</t>
  </si>
  <si>
    <t>Availability of products</t>
  </si>
  <si>
    <t>May we send you a follow-up survey once you receive your purchase?</t>
  </si>
  <si>
    <t>Product Images</t>
  </si>
  <si>
    <t>Product overview and specifications</t>
  </si>
  <si>
    <t>B&amp;H Policies</t>
  </si>
  <si>
    <t>What was the primary thing that prevented you from placing an order during yourB&amp;H web visit?</t>
  </si>
  <si>
    <t>Ease of locating the return area</t>
  </si>
  <si>
    <t>Wait time to speak to a return associate</t>
  </si>
  <si>
    <t>Knowledge of the associate to process my return</t>
  </si>
  <si>
    <t>Courtesy of the return associate</t>
  </si>
  <si>
    <t>Ease of getting your return approved</t>
  </si>
  <si>
    <t>How satisfied are you with B&amp;H's return policy?</t>
  </si>
  <si>
    <t>The ease of placing the order online</t>
  </si>
  <si>
    <t>The ease of locating the pick up area for my order</t>
  </si>
  <si>
    <t>The courtesy of the pick up associate</t>
  </si>
  <si>
    <t>The wait time to pick up my purchase</t>
  </si>
  <si>
    <t>What was the main reason you chose Store Pick Up vs. Delivery?</t>
  </si>
  <si>
    <t>How did you get to B&amp;H?</t>
  </si>
  <si>
    <t>I drove from:</t>
  </si>
  <si>
    <t>I biked from:</t>
  </si>
  <si>
    <t>I used a messenger service from:</t>
  </si>
  <si>
    <t>I used mass transit (bus or train) from:</t>
  </si>
  <si>
    <t>I took a Taxi /Uber/Lyft to B&amp;H from:</t>
  </si>
  <si>
    <t>Did you use B&amp;H's Free Parking?</t>
  </si>
  <si>
    <t>How satisfied were you with the Free B&amp;H Parking?</t>
  </si>
  <si>
    <t>Did your package arrive within the estimated time we provided at checkout?</t>
  </si>
  <si>
    <t>If your shipment was delayed, did you receive an email informing you of the delay?</t>
  </si>
  <si>
    <t>The carrier</t>
  </si>
  <si>
    <t>The condition of the shipping box</t>
  </si>
  <si>
    <t>The packing of the product</t>
  </si>
  <si>
    <t>The condition of the items</t>
  </si>
  <si>
    <t>Communication during the shipment process</t>
  </si>
  <si>
    <t>Please enter your order number (optional)</t>
  </si>
  <si>
    <t>If you would like to be entered into our survey drawing, please enter your email address. </t>
  </si>
  <si>
    <t>The reason I contacted B&amp;H was: </t>
  </si>
  <si>
    <t>Overall, how satisfied are you with your B&amp;H return experience?</t>
  </si>
  <si>
    <t>How satisfied were you with the speed of the return or exchange process?</t>
  </si>
  <si>
    <t>Clarity of information provided by Representative</t>
  </si>
  <si>
    <t>How did you initiate your returns or exchange request?</t>
  </si>
  <si>
    <t>Ease of Requesting the Return Online</t>
  </si>
  <si>
    <t>Return Policy</t>
  </si>
  <si>
    <t>Speed of Return Process</t>
  </si>
  <si>
    <t>Ease of Requesting the Return by Phone</t>
  </si>
  <si>
    <t>Wait Time to Speak with a Representative</t>
  </si>
  <si>
    <t>Courtesy of the Representative</t>
  </si>
  <si>
    <t>Knowledge of the Representative</t>
  </si>
  <si>
    <t>Clarity of Return Instructions</t>
  </si>
  <si>
    <t>Ease of Requesting the Return by Email</t>
  </si>
  <si>
    <t>Timeliness of the Email Response</t>
  </si>
  <si>
    <t>Ease of Requesting a Return by Chat</t>
  </si>
  <si>
    <t>Wait Time to Chat with a Representative</t>
  </si>
  <si>
    <t>After your return was submitted, did anyone from the B&amp;H Returns Department reach out to you concerning your exchange or return?</t>
  </si>
  <si>
    <t>Was your return issue resolved?</t>
  </si>
  <si>
    <t>Unsubscribe Reasons - Marketing</t>
  </si>
  <si>
    <t>Unsubscribe Reasons - Email</t>
  </si>
  <si>
    <t>Please select the primary reason you contacted Customer Service:</t>
  </si>
  <si>
    <t>Please tell us how you contacted Customer Service.</t>
  </si>
  <si>
    <t>Phone Wait Time</t>
  </si>
  <si>
    <t>Email Wait Time</t>
  </si>
  <si>
    <t>Live Chat Wait Time</t>
  </si>
  <si>
    <t>Courtesy</t>
  </si>
  <si>
    <t>Knowledge to resolve your issue</t>
  </si>
  <si>
    <t>Clarity of information provided</t>
  </si>
  <si>
    <t>Was your inquiry resolved? (CS)</t>
  </si>
  <si>
    <t>Before contacting Customer Service, did you try to resolve your inquiry by accessing information on the B&amp;H website?</t>
  </si>
  <si>
    <t>Cust Response Requested</t>
  </si>
  <si>
    <t>Was your issue resolved? (EA)</t>
  </si>
  <si>
    <t>Was this the first time you contacted B&amp;H concerning this inquiry?</t>
  </si>
  <si>
    <t>If your inquiry required a B&amp;H follow-up then please rate your satisfaction</t>
  </si>
  <si>
    <t>How did you contact B&amp;H? (Please select the primary way you contacted us)</t>
  </si>
  <si>
    <t>How satisfied are you with the time it took to reach a representative by phone or receive an email response?</t>
  </si>
  <si>
    <t>Knowledge to resolve your inquiry</t>
  </si>
  <si>
    <t>Please tell us your primary role or department</t>
  </si>
  <si>
    <t>Was your issue resolved? (EA - Phone)</t>
  </si>
  <si>
    <t>Was this the first time you contacted B&amp;H concerning this inquiry?</t>
  </si>
  <si>
    <t>Courtesy (EA - Phone)</t>
  </si>
  <si>
    <t>Knowledge required to resolve your issue (EA - Phone)</t>
  </si>
  <si>
    <t>Clarity of information provided (EA - Phone)</t>
  </si>
  <si>
    <t>Wait time</t>
  </si>
  <si>
    <t>Knowledge of the products</t>
  </si>
  <si>
    <t>Was your inquiry resolved? (Phone Sales)</t>
  </si>
  <si>
    <t>Have you heard about B&amp;H’s Payboo Credit Card?</t>
  </si>
  <si>
    <t>Are you familiar with B&amp;H’s Payboo Credit Card?</t>
  </si>
  <si>
    <t>Since you've heard about Payboo but did not use it for your recent transaction,
please share your reasons (choose all that apply)</t>
  </si>
  <si>
    <t>Please let us know how you learned about Payboo?</t>
  </si>
  <si>
    <t>How did you learn about the Tech Corner?</t>
  </si>
  <si>
    <t>How many times have you used Tech Corner?</t>
  </si>
  <si>
    <t>Please rate your level of Experience</t>
  </si>
  <si>
    <t>Ease of scheduling</t>
  </si>
  <si>
    <t>Courtesy of Product Expert</t>
  </si>
  <si>
    <t>Knowledge of Product Expert</t>
  </si>
  <si>
    <t>We had sufficient time in my Tech Corner session to address the issue/s that I
wanted to discuss.</t>
  </si>
  <si>
    <t>Was your inquiry resolved? (Tech Corner)</t>
  </si>
  <si>
    <t>Please enter your email address.</t>
  </si>
  <si>
    <t>How did you get your quote? </t>
  </si>
  <si>
    <t>How satisfied are you with the price you received for your pre-owned gear?</t>
  </si>
  <si>
    <t>Ease of getting a quote in the store</t>
  </si>
  <si>
    <t>Wait time to speak with a Product Specialist</t>
  </si>
  <si>
    <t>Product Specialist knowledge</t>
  </si>
  <si>
    <t>Product Specialist courtesy</t>
  </si>
  <si>
    <t>Ease to find your item on the web</t>
  </si>
  <si>
    <t>Ease of getting a quote online</t>
  </si>
  <si>
    <t>Ease of getting a quote on the phone</t>
  </si>
  <si>
    <t>Ease of getting a quote via email</t>
  </si>
  <si>
    <t>The time it took to get an email response from a Product Specialist</t>
  </si>
  <si>
    <t>Overall, how satisfied are you with your post-quote experience?</t>
  </si>
  <si>
    <t>Updates provided concerning your quote status</t>
  </si>
  <si>
    <t>Ease of completing your transaction</t>
  </si>
  <si>
    <t>Time it took to receive payment</t>
  </si>
  <si>
    <t>Our staff acted in a courteous manner</t>
  </si>
  <si>
    <t>The wait time to speak with our sales staff</t>
  </si>
  <si>
    <t>The sales staff showed sufficient knowledge</t>
  </si>
  <si>
    <t>Were there item(s) you were interested in purchasing but could not?</t>
  </si>
  <si>
    <t>Please tell us the reason you did not purchase the item(s) you were interested in.</t>
  </si>
  <si>
    <t>How satisfied are you with the time it took to reach a B&amp;H product expert?</t>
  </si>
  <si>
    <t>Showed empathy</t>
  </si>
  <si>
    <t>Was your inquiry resolved?</t>
  </si>
  <si>
    <t>Was there anything that prevented you from placing an order during your B&amp;H phone call?</t>
  </si>
  <si>
    <t>You indicated the product you wanted was not available, did the product expert offer to find alternative available products for you?</t>
  </si>
  <si>
    <t>How satisfied were you with the streaming quality (audio &amp; video)?</t>
  </si>
  <si>
    <t>Wait Time (Live Chat)</t>
  </si>
  <si>
    <t>Courtesy (Live Chat)</t>
  </si>
  <si>
    <t>Knowledge (Live Chat)</t>
  </si>
  <si>
    <t>Quality of Recommendation</t>
  </si>
  <si>
    <t>Was your inquiry resolved? (LC Video)</t>
  </si>
  <si>
    <t>How satisfied are you with the time it took to connect with your video live chat representative?</t>
  </si>
  <si>
    <t>Was your inquiry resolved? (LC Sales)</t>
  </si>
  <si>
    <t>Clarity of information provided (Live Chat)</t>
  </si>
  <si>
    <t>Was your inquiry resolved? (Live Chat CS)</t>
  </si>
  <si>
    <t>How did you learn about Live Video Chat?</t>
  </si>
  <si>
    <t>How did you learn about Live Video Chat: Other</t>
  </si>
  <si>
    <t>How many times have you used B&amp;H's Live Video Chat?</t>
  </si>
  <si>
    <t>¿Se resolvió su consulta?</t>
  </si>
  <si>
    <t>Digital Satisfaction</t>
  </si>
  <si>
    <t>​</t>
  </si>
  <si>
    <t>Customer response requested:</t>
  </si>
  <si>
    <t>Overall, how satisfied are you with your recent Central Purchasing experience?</t>
  </si>
  <si>
    <t>The professionalism of the Central Purchasing representative.</t>
  </si>
  <si>
    <t>The timeliness of our responses to your phone calls and emails.</t>
  </si>
  <si>
    <t>The time it took to receive your product.</t>
  </si>
  <si>
    <t>Have you ever utilized the Central Purchasing Intranet page?</t>
  </si>
  <si>
    <t>How satisfied were you with the information and tools?</t>
  </si>
  <si>
    <t>Likely To Recommend</t>
  </si>
  <si>
    <t>How likely are you to recommend our products to a friend or colleague?</t>
  </si>
  <si>
    <t>Overall, how satisfied are you with your recent Customer Service experience?</t>
  </si>
  <si>
    <t>Please tell us how you contacted our Customer Service.</t>
  </si>
  <si>
    <t>How satisfied are you with the wait time to speak with a representative.</t>
  </si>
  <si>
    <t>How satisfied are you with the wait time for a response to your inquiry?</t>
  </si>
  <si>
    <t>Please select the primary reason you contacted Customer Service.</t>
  </si>
  <si>
    <t>Knowledge needed to resolve your issue.</t>
  </si>
  <si>
    <t>Clarity of information provided.</t>
  </si>
  <si>
    <t>Did you need:</t>
  </si>
  <si>
    <t xml:space="preserve">
Did your product/s require: (choose all that apply)</t>
  </si>
  <si>
    <t xml:space="preserve">
Was your inquiry resolved?</t>
  </si>
  <si>
    <t>Please tell us how you learned about Payboo?</t>
  </si>
  <si>
    <t>Did you encounter any obstacles when applying for Payboo?</t>
  </si>
  <si>
    <t>How satisfied are you with the credit limit you received?</t>
  </si>
  <si>
    <t>Have you contacted B&amp;H’s customer service regarding Payboo?</t>
  </si>
  <si>
    <t>How satisfied are you with B&amp;H’s Payboo customer support?</t>
  </si>
  <si>
    <t>Have you contacted Comenity customer support?</t>
  </si>
  <si>
    <t>How satisfied are you with Comenity’s customer support?</t>
  </si>
  <si>
    <t>Did the customer purchase the order?</t>
  </si>
  <si>
    <t>Overall, how satisfied are you with your recent experience?</t>
  </si>
  <si>
    <t>Provided a clear and understandable reason for the decision</t>
  </si>
  <si>
    <t>What was the main reason you did not complete your purchase?</t>
  </si>
  <si>
    <t>Have you heard about B&amp;H’s Product Experts who can give you free, unbiased advice and solutions via phone, chat, email, video chat, and in person at our NYC store?</t>
  </si>
  <si>
    <t>Have you ever interacted with one of B&amp;H’s Product Experts?</t>
  </si>
  <si>
    <t>Have you heard about B&amp;H’s Payboo Credit Card and how you can Save the Tax with Payboo?</t>
  </si>
  <si>
    <t>Did you experience any issues with the checkout process?</t>
  </si>
  <si>
    <t>The condition of the items </t>
  </si>
  <si>
    <t>The accuracy of the product condition rating</t>
  </si>
  <si>
    <t>Did the Used item/s in your order meet or exceed the condition rating associated with your item/s?</t>
  </si>
  <si>
    <t>The ease of finding the Used item you were looking for</t>
  </si>
  <si>
    <t>The availability of Used products</t>
  </si>
  <si>
    <t>Product reviews</t>
  </si>
  <si>
    <t>Product overviews and specifications</t>
  </si>
  <si>
    <t>The clarity of product condition ratings</t>
  </si>
  <si>
    <t>The ease of accessing expert help</t>
  </si>
  <si>
    <t>Used product images</t>
  </si>
  <si>
    <t>The pricing of Used items</t>
  </si>
  <si>
    <t>The ease of checkout</t>
  </si>
  <si>
    <t>Since you are familiar with Payboo but did not use it for your recent
transaction, please share your reasons (choose all that apply)</t>
  </si>
  <si>
    <t>Please select your department:</t>
  </si>
  <si>
    <t>I was able to deliver on our brand promise today.</t>
  </si>
  <si>
    <t>What is the feedback about?</t>
  </si>
  <si>
    <t>Would you like a response?</t>
  </si>
  <si>
    <t>How professional and courteous was the staff throughout your visit?</t>
  </si>
  <si>
    <t>How clearly did the staff set your expectations for the film development / photo printing process?</t>
  </si>
  <si>
    <t>How well did we identify and address your specific film development / photo printing needs?</t>
  </si>
  <si>
    <t>How satisfied were you with the turnaround time for your film?</t>
  </si>
  <si>
    <t>Was your order ready when promised?</t>
  </si>
  <si>
    <t>How would you rate the quality?</t>
  </si>
  <si>
    <t>How satisfied were you with the packaging and condition of your returned
film? (Select N/A if digital only)</t>
  </si>
  <si>
    <t>How satisfied were you with the cost of the film development / photo printing service?</t>
  </si>
  <si>
    <t>Topics Tagged Original</t>
  </si>
  <si>
    <t>Topics Tagged After Manual Updates</t>
  </si>
  <si>
    <t>Topic Review Required</t>
  </si>
  <si>
    <t>Recognition sentiment types</t>
  </si>
  <si>
    <t>Combined Topics and Sentiments Tagged Original</t>
  </si>
  <si>
    <t>Combined Topics and Sentiment Tagged After Manual Updates</t>
  </si>
  <si>
    <t>Topics Update Manually</t>
  </si>
  <si>
    <t>Manual Sentiment Override Applied</t>
  </si>
  <si>
    <t>Please tell us more: (Required)</t>
  </si>
  <si>
    <t>Theme 1</t>
  </si>
  <si>
    <t>Theme 2</t>
  </si>
  <si>
    <t>Theme 3</t>
  </si>
  <si>
    <t>Theme 4</t>
  </si>
  <si>
    <t>Theme 5</t>
  </si>
  <si>
    <t>Theme 6</t>
  </si>
  <si>
    <t>Meghan Copenhaver - Used Trade-In Product</t>
  </si>
  <si>
    <t>Used Trade-In Product</t>
  </si>
  <si>
    <t>Meghan Copenhaver</t>
  </si>
  <si>
    <t>mcopenhaver@swcenter.edu</t>
  </si>
  <si>
    <t>Abingdon;Virginia;24210</t>
  </si>
  <si>
    <t>No</t>
  </si>
  <si>
    <t>1143280</t>
  </si>
  <si>
    <t>https://bnh.lightning.force.com/001WP00000ttDgSYAU</t>
  </si>
  <si>
    <t>CAD</t>
  </si>
  <si>
    <t>Promoter</t>
  </si>
  <si>
    <t>New</t>
  </si>
  <si>
    <t>Yes</t>
  </si>
  <si>
    <t>Easy process!</t>
  </si>
  <si>
    <t>None</t>
  </si>
  <si>
    <t>I used the Web Application</t>
  </si>
  <si>
    <t>N/A</t>
  </si>
  <si>
    <t>Trade In &gt; Overall Process &gt;</t>
  </si>
  <si>
    <t>Trade In &gt; Overall Process &gt; (Positive)</t>
  </si>
  <si>
    <t>Hassle-free/easy/straightforward/fast process</t>
  </si>
  <si>
    <t>Paul Scudder - Used Trade-In Product</t>
  </si>
  <si>
    <t>Paul Scudder</t>
  </si>
  <si>
    <t>paul@scudderphotography.com</t>
  </si>
  <si>
    <t>Arlington;Texas;76012</t>
  </si>
  <si>
    <t>19 years 0 months</t>
  </si>
  <si>
    <t>228</t>
  </si>
  <si>
    <t>1144466</t>
  </si>
  <si>
    <t>https://bnh.lightning.force.com/0018X00003Fsz59QAB</t>
  </si>
  <si>
    <t>It was straight forward, no surprises</t>
  </si>
  <si>
    <t>After completing the initial list of items I was selling and agreeing to send them, I was unable to re-visit or look up the transaction details.  Even logged into my account I couldn’t view my transaction.  You list past orders, but no way to look up and see past sales.
Also, I never received an acceptance email from B&amp;H regarding how they rated and priced my equipment.  I just got a “the check is on its way” email.  Even though I was OK with the amount, I feel I deserved a simple “please OK these prices, then we’ll send you a check” email.</t>
  </si>
  <si>
    <t>Account Activities &gt; Log In / Out &gt;, Pricing &gt; Value for Money &gt;, Used &gt; Pricing &gt;</t>
  </si>
  <si>
    <t>Account Activities &gt; Log In / Out &gt; (Negative), Pricing &gt; Value for Money &gt; (Negative), Used &gt; Pricing &gt; (Negative)</t>
  </si>
  <si>
    <t>Hassle-free/easy/straightforward process</t>
  </si>
  <si>
    <t xml:space="preserve">Can't revisit/look up transaction details after submitting sale confirmation </t>
  </si>
  <si>
    <t>Can't revisit/look up PREVIOUS sale transaction details</t>
  </si>
  <si>
    <t>Wants a final sale price before transaction is confirmed</t>
  </si>
  <si>
    <t>Chris Roebuck - Used Trade-In Product</t>
  </si>
  <si>
    <t>Chris Roebuck</t>
  </si>
  <si>
    <t>cougar60@rocketmail.com</t>
  </si>
  <si>
    <t>Pagosa Springs;Colorado;81147</t>
  </si>
  <si>
    <t>15 years 7 months</t>
  </si>
  <si>
    <t>187</t>
  </si>
  <si>
    <t>1144335</t>
  </si>
  <si>
    <t>https://bnh.lightning.force.com/0011a00000s0eHIAAY</t>
  </si>
  <si>
    <t>giving the equipment another life</t>
  </si>
  <si>
    <t>requiring additional mailing labels for fed ex. b+h should ask how many boxes are to ship.</t>
  </si>
  <si>
    <t>Requires too many shipping labels/boxes to send used item</t>
  </si>
  <si>
    <t>Stephen Stanforth - Used Trade-In Product</t>
  </si>
  <si>
    <t>Stephen Stanforth</t>
  </si>
  <si>
    <t>stke3720@gmail.com</t>
  </si>
  <si>
    <t>Brooksville;Florida;34604</t>
  </si>
  <si>
    <t>3 years 7 months</t>
  </si>
  <si>
    <t>43</t>
  </si>
  <si>
    <t>1142809</t>
  </si>
  <si>
    <t>https://bnh.lightning.force.com/0018X000032dAb4QAE</t>
  </si>
  <si>
    <t>Friendly staff and ease of use.  Love the entire concept of your business.  Keep it up.</t>
  </si>
  <si>
    <t>Nothing.</t>
  </si>
  <si>
    <t>People &gt; Courtesy / Professional &gt;</t>
  </si>
  <si>
    <t>POSITIVE</t>
  </si>
  <si>
    <t>People &gt; Courtesy / Professional &gt; (Positive)</t>
  </si>
  <si>
    <t>Great customer support/friendly staff</t>
  </si>
  <si>
    <t>Andy Rogers - Used Trade-In Product</t>
  </si>
  <si>
    <t>Andy Rogers</t>
  </si>
  <si>
    <t>andy.rogers@comcast.net</t>
  </si>
  <si>
    <t>Little Rock;Arkansas;72207</t>
  </si>
  <si>
    <t>16 years 1 months</t>
  </si>
  <si>
    <t>193</t>
  </si>
  <si>
    <t>1143911</t>
  </si>
  <si>
    <t>https://bnh.lightning.force.com/0011a00000orZGBAA2</t>
  </si>
  <si>
    <t>Efrat Malachi</t>
  </si>
  <si>
    <t>Seemed to be a fair price for my used gear. Well executed</t>
  </si>
  <si>
    <t>It was a little unclear how the trade in credit vs sending a check would work on the front end. No sales tax when using the credit was a nice surprise and shipping was quick.</t>
  </si>
  <si>
    <t>B&amp;H Payboo &gt; Benefit Satisfaction &gt;, Pricing &gt; Value for Money &gt;, Trade In &gt; Quote Price &gt;, Used &gt; Description &gt;, Used &gt; Pricing &gt;, Warehouse Fulfillment &gt; Timeliness &gt;</t>
  </si>
  <si>
    <t>B&amp;H Payboo &gt; Benefit Satisfaction &gt; (Positive), Pricing &gt; Value for Money &gt; (Positive), Trade In &gt; Quote Price &gt; (Positive), Used &gt; Description &gt; (Positive), Used &gt; Pricing &gt; (Positive), Warehouse Fulfillment &gt; Timeliness &gt; (Positive)</t>
  </si>
  <si>
    <t>Fair/honest price (trust signal)</t>
  </si>
  <si>
    <t>Unclear of differences between trade-in credit and check</t>
  </si>
  <si>
    <t>Tracie Seimon - Used Trade-In Product</t>
  </si>
  <si>
    <t>Tracie Seimon</t>
  </si>
  <si>
    <t>tracieseimon@gmail.com</t>
  </si>
  <si>
    <t>East Chatham;New York;12060</t>
  </si>
  <si>
    <t>Montague;Massachusetts;01351</t>
  </si>
  <si>
    <t>11 years 10 months</t>
  </si>
  <si>
    <t>142</t>
  </si>
  <si>
    <t>1141418</t>
  </si>
  <si>
    <t>https://bnh.lightning.force.com/001WP00000sisQhYAI</t>
  </si>
  <si>
    <t>Aine Hoye</t>
  </si>
  <si>
    <t>Closed</t>
  </si>
  <si>
    <t>How streamlined and easy the experience was.</t>
  </si>
  <si>
    <t>there is nothing to report</t>
  </si>
  <si>
    <t>Aaron Medick - Used Trade-In Product</t>
  </si>
  <si>
    <t>Aaron Medick</t>
  </si>
  <si>
    <t>steadycineinc@mac.com</t>
  </si>
  <si>
    <t>Chapel Hill;North Carolina;27516</t>
  </si>
  <si>
    <t>20 years 8 months</t>
  </si>
  <si>
    <t>248</t>
  </si>
  <si>
    <t>1149056</t>
  </si>
  <si>
    <t>https://bnh.lightning.force.com/001WP00000xK8KfYAK</t>
  </si>
  <si>
    <t>Freddy Gomez</t>
  </si>
  <si>
    <t>Passive</t>
  </si>
  <si>
    <t>fast</t>
  </si>
  <si>
    <t>Warehouse Fulfillment &gt; Timeliness &gt;</t>
  </si>
  <si>
    <t>Warehouse Fulfillment &gt; Timeliness &gt; (Positive)</t>
  </si>
  <si>
    <t>Stephen Spence - Used Trade-In Product</t>
  </si>
  <si>
    <t>Stephen Spence</t>
  </si>
  <si>
    <t>s.spence@me.com</t>
  </si>
  <si>
    <t>Buford;Georgia;30519</t>
  </si>
  <si>
    <t>1142953</t>
  </si>
  <si>
    <t>https://bnh.lightning.force.com/0018X0000373Sa9QAE</t>
  </si>
  <si>
    <t>Andrea Garcia</t>
  </si>
  <si>
    <t>I was able to sell the flash accessories as well as the flash. No where else seemed to give that as an option.</t>
  </si>
  <si>
    <t>It took over a week to get the used items looked at and a confirmation on the estimate.</t>
  </si>
  <si>
    <t>B&amp;H &gt; Satisfaction &gt;, Trade In &gt; Overall Process &gt;, Trade In &gt; Timeliness of Quote &gt;</t>
  </si>
  <si>
    <t>B&amp;H &gt; Satisfaction &gt; (Positive), Trade In &gt; Overall Process &gt; (Positive), Trade In &gt; Timeliness of Quote &gt; (Negative)</t>
  </si>
  <si>
    <t>Likes selling accessories with main item</t>
  </si>
  <si>
    <t>Slow evaluation process</t>
  </si>
  <si>
    <t>Raymond Cheung - Used Trade-In Product</t>
  </si>
  <si>
    <t>Raymond Cheung</t>
  </si>
  <si>
    <t>raymond.cheung@gmail.com</t>
  </si>
  <si>
    <t>Arcadia;California;91007</t>
  </si>
  <si>
    <t>17 years 0 months</t>
  </si>
  <si>
    <t>204</t>
  </si>
  <si>
    <t>1143897</t>
  </si>
  <si>
    <t>https://bnh.lightning.force.com/001WP00000uDrWGYA0</t>
  </si>
  <si>
    <t>Emily Schreier</t>
  </si>
  <si>
    <t>Fast and easy process overall</t>
  </si>
  <si>
    <t>The search function seemed to be a little finicky</t>
  </si>
  <si>
    <t>Trade In &gt; Overall Process &gt;, Website &gt; Search Function &gt;</t>
  </si>
  <si>
    <t>Trade In &gt; Overall Process &gt; (Positive), Website &gt; Search Function &gt; (Negative)</t>
  </si>
  <si>
    <t>Poor/buggy search function</t>
  </si>
  <si>
    <t>Casey O'Connell - Used Trade-In Product</t>
  </si>
  <si>
    <t>Casey O'Connell</t>
  </si>
  <si>
    <t>casey2k3@gmail.com</t>
  </si>
  <si>
    <t>Energy;Illinois;62933</t>
  </si>
  <si>
    <t>1143892</t>
  </si>
  <si>
    <t>https://bnh.lightning.force.com/001WP00000uFQWfYAO</t>
  </si>
  <si>
    <t>Sergio Jonusas</t>
  </si>
  <si>
    <t>I would absolutely use this service again. The process was simple, and the quote I received was very fair. I probably could have gotten a bit more for the items if I had taken the time to create listings and manage the sales myself on eBay or Facebook Marketplace. That said, avoiding the hassle of listing, messaging buyers, and handling the transaction process made it completely worth it.</t>
  </si>
  <si>
    <t>My only minor complaint was around communication during the inspection stage. I received an email confirming that my equipment had been received along with an estimated inspection date. When that date passed, I didn’t receive another update. A couple of days later, the gift card arrived, so everything worked out just fine. Still, I would have appreciated a quick follow-up email letting me know the inspection was still pending. Overall though, it was a great experience and a smooth process from start to finish.</t>
  </si>
  <si>
    <t>B&amp;H &gt; Satisfaction &gt;, People &gt; Follow Up &gt;, Trade In &gt; Overall Process &gt;, Used &gt; Description &gt;, Warehouse Fulfillment &gt; Timeliness &gt;</t>
  </si>
  <si>
    <t>B&amp;H &gt; Satisfaction &gt;, People &gt; Follow Up &gt;, Trade In &gt; Overall Process &gt;, Trade In &gt; Quote Price &gt;</t>
  </si>
  <si>
    <t>B&amp;H &gt; Satisfaction &gt; (Positive), People &gt; Follow Up &gt; (Negative), Trade In &gt; Overall Process &gt; (Positive), Used &gt; Description &gt; (Positive), Warehouse Fulfillment &gt; Timeliness &gt; (Positive)</t>
  </si>
  <si>
    <t>B&amp;H &gt; Satisfaction &gt; (Positive), People &gt; Follow Up &gt; (Negative), Trade In &gt; Overall Process &gt; (Positive), Trade In &gt; Quote Price &gt; (Negative)</t>
  </si>
  <si>
    <t>Hassle-free/flawless/easy/straightforward/fast/efficient/streamlined process</t>
  </si>
  <si>
    <t>Wants status updates</t>
  </si>
  <si>
    <t>Joseph Borker - Used Trade-In Product</t>
  </si>
  <si>
    <t>Joseph Borker</t>
  </si>
  <si>
    <t>josephborker@gmail.com</t>
  </si>
  <si>
    <t>Brooklyn;New York;11217</t>
  </si>
  <si>
    <t>26 years 0 months</t>
  </si>
  <si>
    <t>312</t>
  </si>
  <si>
    <t>1148885</t>
  </si>
  <si>
    <t>https://bnh.lightning.force.com/0012L00000xPRmhQAG</t>
  </si>
  <si>
    <t>Getting Quote online and completing transaction at Trade-In Counter on 34th street</t>
  </si>
  <si>
    <t>Trade In &gt; Overall Process &gt; (No opinion)</t>
  </si>
  <si>
    <t>Likes online quote</t>
  </si>
  <si>
    <t>Enan Hombra - Used Trade-In Product</t>
  </si>
  <si>
    <t>Enan Hombra</t>
  </si>
  <si>
    <t>enanmusic@gmail.com</t>
  </si>
  <si>
    <t>Long Island City;New York;11101</t>
  </si>
  <si>
    <t>13 years 0 months</t>
  </si>
  <si>
    <t>156</t>
  </si>
  <si>
    <t>1148721</t>
  </si>
  <si>
    <t>https://bnh.lightning.force.com/001Hs00005HiFKPIA3</t>
  </si>
  <si>
    <t>The friendly atmosphere of the staff</t>
  </si>
  <si>
    <t>People &gt; Courtesy / Professional &gt;, Store &gt; Atmosphere &gt;</t>
  </si>
  <si>
    <t>People &gt; Courtesy / Professional &gt; (Positive), Store &gt; Atmosphere &gt; (Positive)</t>
  </si>
  <si>
    <t>Cheryl Freedman - Used Trade-In Product</t>
  </si>
  <si>
    <t>Cheryl Freedman</t>
  </si>
  <si>
    <t>cfreedman@mac.com</t>
  </si>
  <si>
    <t>Gilbert;Arizona;85298</t>
  </si>
  <si>
    <t>15 years 5 months</t>
  </si>
  <si>
    <t>185</t>
  </si>
  <si>
    <t>1127879</t>
  </si>
  <si>
    <t>https://bnh.lightning.force.com/0018X00003W8UEpQAN</t>
  </si>
  <si>
    <t>It is always a quick and easy process.</t>
  </si>
  <si>
    <t>I wish you bought a wider array of lenses.</t>
  </si>
  <si>
    <t>Product &gt; Selection / Variety &gt;, Trade In &gt; Overall Process &gt;</t>
  </si>
  <si>
    <t>Product &gt; Selection / Variety &gt; (Negative), Trade In &gt; Overall Process &gt; (Positive)</t>
  </si>
  <si>
    <t>Wants B&amp;H to take a wider array of used products</t>
  </si>
  <si>
    <t>Christopher Raissi - Used Trade-In Product</t>
  </si>
  <si>
    <t>Christopher Raissi</t>
  </si>
  <si>
    <t>christopher.raissi@gmail.com</t>
  </si>
  <si>
    <t>New Orleans;Louisiana;70122</t>
  </si>
  <si>
    <t>12 months</t>
  </si>
  <si>
    <t>12</t>
  </si>
  <si>
    <t>1144120</t>
  </si>
  <si>
    <t>https://bnh.lightning.force.com/0018X00003VRJi6QAH</t>
  </si>
  <si>
    <t>You've consistently honored your quoted price.</t>
  </si>
  <si>
    <t>Your quoted price is low. Which balances with the liked most I listed.</t>
  </si>
  <si>
    <t>Pricing &gt; Value for Money &gt;, Trade In &gt; Quote Price &gt;, Used &gt; Pricing &gt;</t>
  </si>
  <si>
    <t>B&amp;H &gt; Reliable / Trustworthy &gt;, Trade In &gt; Quote Price &gt;</t>
  </si>
  <si>
    <t>Pricing &gt; Value for Money &gt; (Negative), Pricing &gt; Value for Money &gt; (Positive), Trade In &gt; Quote Price &gt; (Negative), Trade In &gt; Quote Price &gt; (Positive), Used &gt; Pricing &gt; (Negative), Used &gt; Pricing &gt; (Positive)</t>
  </si>
  <si>
    <t>B&amp;H &gt; Reliable / Trustworthy &gt; (Positive), Trade In &gt; Quote Price &gt; (Negative), Trade In &gt; Quote Price &gt; (Positive)</t>
  </si>
  <si>
    <t>Honored price quote</t>
  </si>
  <si>
    <t>Low product valuation</t>
  </si>
  <si>
    <t>Reginald Heggie - Used Trade-In Product</t>
  </si>
  <si>
    <t>Reginald Heggie</t>
  </si>
  <si>
    <t>rheggie@optonline.net</t>
  </si>
  <si>
    <t>Elmont;New York;11003</t>
  </si>
  <si>
    <t>2 years 9 months</t>
  </si>
  <si>
    <t>33</t>
  </si>
  <si>
    <t>1143666</t>
  </si>
  <si>
    <t>https://bnh.lightning.force.com/0018X00003GK4wAQAT</t>
  </si>
  <si>
    <t>Great service. The salesperson was knowledgeable and kind. Sales Person code: PA</t>
  </si>
  <si>
    <t>N/A.</t>
  </si>
  <si>
    <t>People &gt; Courtesy / Professional &gt;, People &gt; Knowledge / Recommend &gt;</t>
  </si>
  <si>
    <t>People &gt; Courtesy / Professional &gt;, People &gt; Knowledge / Recommend &gt;, Trade In &gt; Overall Process &gt;</t>
  </si>
  <si>
    <t>NEUTRAL</t>
  </si>
  <si>
    <t>People &gt; Courtesy / Professional &gt; (Positive), People &gt; Knowledge / Recommend &gt; (Positive)</t>
  </si>
  <si>
    <t>People &gt; Courtesy / Professional &gt; (Positive), People &gt; Knowledge / Recommend &gt; (Positive), Trade In &gt; Overall Process &gt; (Positive)</t>
  </si>
  <si>
    <t>Suzanne Keller - Used Trade-In Product</t>
  </si>
  <si>
    <t>Suzanne Keller</t>
  </si>
  <si>
    <t>suzheart03@yahoo.com</t>
  </si>
  <si>
    <t>Richmond;Virginia;23227</t>
  </si>
  <si>
    <t>14 years 0 months</t>
  </si>
  <si>
    <t>168</t>
  </si>
  <si>
    <t>1145120</t>
  </si>
  <si>
    <t>https://bnh.lightning.force.com/001WP00000uzknNYAQ</t>
  </si>
  <si>
    <t>Ease of process.</t>
  </si>
  <si>
    <t>A slightly higher offer, 100.00 would have been nice.</t>
  </si>
  <si>
    <t>Trade In &gt; Overall Process &gt;, Trade In &gt; Quote Price &gt;</t>
  </si>
  <si>
    <t>Trade In &gt; Overall Process &gt; (Positive), Trade In &gt; Quote Price &gt; (Negative)</t>
  </si>
  <si>
    <t>Zach Ashcraft - Used Trade-In Product</t>
  </si>
  <si>
    <t>Zach Ashcraft</t>
  </si>
  <si>
    <t>zach.ashcraft@cityofdenton.com</t>
  </si>
  <si>
    <t>Denton;Texas;76201</t>
  </si>
  <si>
    <t>1144248</t>
  </si>
  <si>
    <t>https://bnh.lightning.force.com/001WP00000oeMlIYAU</t>
  </si>
  <si>
    <t>The web app is great for items that are in the system.</t>
  </si>
  <si>
    <t>I wish I could build a quote in progress and save it to continue working on it later, rather than have to do it all at once</t>
  </si>
  <si>
    <t>Mobile | App &gt; Overall Satisfaction &gt;, Trade In &gt; Overall Process &gt;</t>
  </si>
  <si>
    <t>Mobile | App &gt; Overall Satisfaction &gt; (Positive), Trade In &gt; Overall Process &gt; (Negative)</t>
  </si>
  <si>
    <t>Mobile | App &gt; Overall Satisfaction &gt; (Positive), Trade In &gt; Overall Process &gt; (Negative), Trade In &gt; Overall Process &gt; (Positive)</t>
  </si>
  <si>
    <t>Wants a save and return option for online quotes</t>
  </si>
  <si>
    <t>Leonard Diliberto - Used Trade-In Product</t>
  </si>
  <si>
    <t>Leonard Diliberto</t>
  </si>
  <si>
    <t>leonard_diliberto_92@comcast.net</t>
  </si>
  <si>
    <t>Flemington;New Jersey;08822</t>
  </si>
  <si>
    <t>11 years 8 months</t>
  </si>
  <si>
    <t>140</t>
  </si>
  <si>
    <t>1144216</t>
  </si>
  <si>
    <t>https://bnh.lightning.force.com/001WP00000uRN7AYAW</t>
  </si>
  <si>
    <t>My item was appraised at the level I expected - no issue - Thank you !</t>
  </si>
  <si>
    <t>Nothing - You folks are great - I have been doing business with you for over 40 years !!</t>
  </si>
  <si>
    <t>B&amp;H &gt; Loyalty &gt;, B&amp;H &gt; Satisfaction &gt;, Trade In &gt; Overall Process &gt;</t>
  </si>
  <si>
    <t>B&amp;H &gt; Loyalty &gt; (Positive), B&amp;H &gt; Satisfaction &gt; (Positive), Trade In &gt; Overall Process &gt; (Positive)</t>
  </si>
  <si>
    <t>Great/competitive/fair/accurate product valuation</t>
  </si>
  <si>
    <t>Sheldon Golder - Used Trade-In Product</t>
  </si>
  <si>
    <t>Sheldon Golder</t>
  </si>
  <si>
    <t>spgolder107@gmail.com</t>
  </si>
  <si>
    <t>Framingham;Massachusetts;01701</t>
  </si>
  <si>
    <t>16 years 8 months</t>
  </si>
  <si>
    <t>200</t>
  </si>
  <si>
    <t>1144188</t>
  </si>
  <si>
    <t>https://bnh.lightning.force.com/001WP00000uR0UCYA0</t>
  </si>
  <si>
    <t>Very easy experience</t>
  </si>
  <si>
    <t>Nothing</t>
  </si>
  <si>
    <t>Judith Kepshire - Used Trade-In Product</t>
  </si>
  <si>
    <t>Judith Kepshire</t>
  </si>
  <si>
    <t>jkepshire1@comcast.net</t>
  </si>
  <si>
    <t>Chesterton;Indiana;46304</t>
  </si>
  <si>
    <t>22 years 8 months</t>
  </si>
  <si>
    <t>272</t>
  </si>
  <si>
    <t>1143171</t>
  </si>
  <si>
    <t>https://bnh.lightning.force.com/0011a00000rwr6jAAA</t>
  </si>
  <si>
    <t>Gershon Orenstein</t>
  </si>
  <si>
    <t>The whole experience was very easy.</t>
  </si>
  <si>
    <t>I thought I would get a little more for my camera that was hardly used.</t>
  </si>
  <si>
    <t>Trade In &gt; Overall Process &gt; (Strongly positive), Trade In &gt; Quote Price &gt; (Negative)</t>
  </si>
  <si>
    <t>John Bartucci - Used Trade-In Product</t>
  </si>
  <si>
    <t>John Bartucci</t>
  </si>
  <si>
    <t>astrok8jb@gmail.com</t>
  </si>
  <si>
    <t>Cuyahoga Falls;Ohio;44223</t>
  </si>
  <si>
    <t>1143388</t>
  </si>
  <si>
    <t>https://bnh.lightning.force.com/0011a00000X6e6TAAR</t>
  </si>
  <si>
    <t>Quick and easy quote, prepaid mailer, lived up to the quoted price</t>
  </si>
  <si>
    <t>Nothing at all, great service</t>
  </si>
  <si>
    <t>Pricing &gt; Value for Money &gt;, Trade In &gt; Quote Price &gt;, Trade In &gt; Timeliness of Quote &gt;, Used &gt; Pricing &gt;</t>
  </si>
  <si>
    <t>Trade In &gt; Overall Process &gt;, Trade In &gt; Quote Price &gt;, Trade In &gt; Timeliness of Quote &gt;</t>
  </si>
  <si>
    <t>Pricing &gt; Value for Money &gt; (Positive), Trade In &gt; Quote Price &gt; (Positive), Trade In &gt; Timeliness of Quote &gt; (Positive), Used &gt; Pricing &gt; (Positive)</t>
  </si>
  <si>
    <t>Trade In &gt; Overall Process &gt; (Positive), Trade In &gt; Quote Price &gt; (Positive), Trade In &gt; Timeliness of Quote &gt; (Positive)</t>
  </si>
  <si>
    <t>Easy shipping process/likes prepaid label</t>
  </si>
  <si>
    <t>Anna Martin - Used Trade-In Product</t>
  </si>
  <si>
    <t>Anna Martin</t>
  </si>
  <si>
    <t>sevenmartinz@comcast.net</t>
  </si>
  <si>
    <t>Greeley;Colorado;80634</t>
  </si>
  <si>
    <t>1142586</t>
  </si>
  <si>
    <t>https://bnh.lightning.force.com/001WP00000jjKdoYAE</t>
  </si>
  <si>
    <t>I liked speaking to a live person about the valued assessment of my items.</t>
  </si>
  <si>
    <t>I was hoping my camera lens would be valued a little higher than it was.</t>
  </si>
  <si>
    <t>People &gt; Communication Skills &gt;</t>
  </si>
  <si>
    <t>People &gt; Real Person Interaction &gt;, Trade In &gt; Quote Price &gt;</t>
  </si>
  <si>
    <t>People &gt; Communication Skills &gt; (Positive)</t>
  </si>
  <si>
    <t>People &gt; Real Person Interaction &gt; (Positive), Trade In &gt; Quote Price &gt; (Negative)</t>
  </si>
  <si>
    <t>Rocky Moroz - Used Trade-In Product</t>
  </si>
  <si>
    <t>Rocky Moroz</t>
  </si>
  <si>
    <t>rocky.moroz65@gmail.com</t>
  </si>
  <si>
    <t>Port Saint Lucie;Florida;34953</t>
  </si>
  <si>
    <t>1 months</t>
  </si>
  <si>
    <t>1</t>
  </si>
  <si>
    <t>1143940</t>
  </si>
  <si>
    <t>https://bnh.lightning.force.com/001WP00000uFpQMYA0</t>
  </si>
  <si>
    <t>Efrat Malachi,Avraham Schwartz,Reina Caba</t>
  </si>
  <si>
    <t>Reina Caba</t>
  </si>
  <si>
    <t>Overdue</t>
  </si>
  <si>
    <t>No way to track trade-in while on-line. Check into MPB's website and how they handle trade-ins.</t>
  </si>
  <si>
    <t>Website &gt; Order Tracking &gt;</t>
  </si>
  <si>
    <t>B&amp;H &gt; Competitor Mentions &gt;, Trade In &gt; Overall Process &gt;</t>
  </si>
  <si>
    <t>Website &gt; Order Tracking &gt; (Negative)</t>
  </si>
  <si>
    <t>B&amp;H &gt; Competitor Mentions &gt; (Negative), Trade In &gt; Overall Process &gt; (Negative)</t>
  </si>
  <si>
    <t>Wants an online status update tool (instead of email updates)</t>
  </si>
  <si>
    <t>Andrea Deeb - Used Trade-In Product</t>
  </si>
  <si>
    <t>Andrea Deeb</t>
  </si>
  <si>
    <t>andreadeeb@me.com</t>
  </si>
  <si>
    <t>Naples;Florida;34112</t>
  </si>
  <si>
    <t>1145716</t>
  </si>
  <si>
    <t>https://bnh.lightning.force.com/001WP00000vJpfbYAC</t>
  </si>
  <si>
    <t>I love B&amp;H Photo! I feel they are very honest.</t>
  </si>
  <si>
    <t>Nothing!</t>
  </si>
  <si>
    <t>B&amp;H &gt; Satisfaction &gt;</t>
  </si>
  <si>
    <t>B&amp;H &gt; Reliable / Trustworthy &gt;, B&amp;H &gt; Satisfaction &gt;</t>
  </si>
  <si>
    <t>B&amp;H &gt; Satisfaction &gt; (Positive)</t>
  </si>
  <si>
    <t>B&amp;H &gt; Reliable / Trustworthy &gt; (Positive), B&amp;H &gt; Satisfaction &gt; (Positive)</t>
  </si>
  <si>
    <t>B&amp;H is trustworthy/honest</t>
  </si>
  <si>
    <t>Avinash Ananthakrishnan - Used Trade-In Product</t>
  </si>
  <si>
    <t>Avinash Ananthakrishnan</t>
  </si>
  <si>
    <t>avinashna@gmail.com</t>
  </si>
  <si>
    <t>Vancouver;Washington;98685</t>
  </si>
  <si>
    <t>1143112</t>
  </si>
  <si>
    <t>https://bnh.lightning.force.com/0018X00003RSkAnQAL</t>
  </si>
  <si>
    <t>The ease of getting a quote and the "no surprises" approach to seeing the credit offered matching the quote.</t>
  </si>
  <si>
    <t>The delay between receiving the camera equipment to when B&amp;H evaluated it and confirmed the credit that will be offered. 
The fact that the credit cannot be used online... but only in store or through phone orders.</t>
  </si>
  <si>
    <t>Trade In &gt; Overall Process &gt;, Trade In &gt; Timeliness of Payment &gt;, Trade In &gt; Timeliness of Quote &gt;</t>
  </si>
  <si>
    <t>Trade In &gt; Overall Process &gt; (Negative), Trade In &gt; Overall Process &gt; (Positive), Trade In &gt; Timeliness of Payment &gt; (Negative), Trade In &gt; Timeliness of Quote &gt; (Negative)</t>
  </si>
  <si>
    <t>Easy to get quote online</t>
  </si>
  <si>
    <t>Kelly Douglas - Used Trade-In Product</t>
  </si>
  <si>
    <t>Kelly Douglas</t>
  </si>
  <si>
    <t>kellyetzeldouglas@gmail.com</t>
  </si>
  <si>
    <t>Cheyenne;Wyoming;82009</t>
  </si>
  <si>
    <t>3 years 0 months</t>
  </si>
  <si>
    <t>36</t>
  </si>
  <si>
    <t>1141820</t>
  </si>
  <si>
    <t>https://bnh.lightning.force.com/0018X00003CRI1oQAH</t>
  </si>
  <si>
    <t>Freddy Gomez,Avraham Schwartz,Reina Caba</t>
  </si>
  <si>
    <t>Quick and easy to send</t>
  </si>
  <si>
    <t>I got the email that the package arrived bit I haven't received the final quote or check yet. It was supposed to be evaluated by Feb 17</t>
  </si>
  <si>
    <t>Trade In &gt; Overall Process &gt;, Warehouse Fulfillment &gt; Issues &gt;</t>
  </si>
  <si>
    <t>Trade In &gt; Overall Process &gt;, Trade In &gt; Timeliness of Payment &gt;</t>
  </si>
  <si>
    <t>Trade In &gt; Overall Process &gt; (Negative), Warehouse Fulfillment &gt; Issues &gt; (Negative)</t>
  </si>
  <si>
    <t>Trade In &gt; Overall Process &gt; (Negative), Trade In &gt; Overall Process &gt; (Positive), Trade In &gt; Timeliness of Payment &gt; (Negative)</t>
  </si>
  <si>
    <t>Ned Cox - Used Trade-In Product</t>
  </si>
  <si>
    <t>Ned Cox</t>
  </si>
  <si>
    <t>machnc@comcast.net</t>
  </si>
  <si>
    <t>Johnson City;Tennessee;37601</t>
  </si>
  <si>
    <t>14 years 11 months</t>
  </si>
  <si>
    <t>179</t>
  </si>
  <si>
    <t>1141168</t>
  </si>
  <si>
    <t>https://bnh.lightning.force.com/001WP00000sbGOTYA2</t>
  </si>
  <si>
    <t>Easy way to sell my stuff.</t>
  </si>
  <si>
    <t>Still haven't gotten my check in the mail...</t>
  </si>
  <si>
    <t>Trade In &gt; Overall Process &gt; (Positive), Trade In &gt; Timeliness of Payment &gt; (Negative)</t>
  </si>
  <si>
    <t>Slow payment</t>
  </si>
  <si>
    <t>Monte Middleton - Used Trade-In Product</t>
  </si>
  <si>
    <t>Monte Middleton</t>
  </si>
  <si>
    <t>monte2482@gmail.com</t>
  </si>
  <si>
    <t>Ashburn;Virginia;20147</t>
  </si>
  <si>
    <t>1142187</t>
  </si>
  <si>
    <t>https://bnh.lightning.force.com/001WP00000tAuPgYAK</t>
  </si>
  <si>
    <t>Accurate price quote and quick payment.</t>
  </si>
  <si>
    <t>Pricing &gt; Value for Money &gt;, Trade In &gt; Quote Price &gt;, Trade In &gt; Timeliness of Payment &gt;, Trade In &gt; Timeliness of Quote &gt;, Used &gt; Pricing &gt;</t>
  </si>
  <si>
    <t>Trade In &gt; Quote Price &gt;, Trade In &gt; Timeliness of Payment &gt;</t>
  </si>
  <si>
    <t>Pricing &gt; Value for Money &gt; (Positive), Trade In &gt; Quote Price &gt; (Positive), Trade In &gt; Timeliness of Payment &gt; (Positive), Trade In &gt; Timeliness of Quote &gt; (Positive), Used &gt; Pricing &gt; (Positive)</t>
  </si>
  <si>
    <t>Trade In &gt; Quote Price &gt; (Positive), Trade In &gt; Timeliness of Payment &gt; (Positive)</t>
  </si>
  <si>
    <t>Fast payment</t>
  </si>
  <si>
    <t>Kathy Morstadt - Used Trade-In Product</t>
  </si>
  <si>
    <t>Kathy Morstadt</t>
  </si>
  <si>
    <t>kmorstadt@gmail.com</t>
  </si>
  <si>
    <t>Ronkonkoma;New York;11779</t>
  </si>
  <si>
    <t>1144116</t>
  </si>
  <si>
    <t>https://bnh.lightning.force.com/001WP00000uNmDXYA0</t>
  </si>
  <si>
    <t>So easy and professional</t>
  </si>
  <si>
    <t>not a thing</t>
  </si>
  <si>
    <t>Professional (trust signal)</t>
  </si>
  <si>
    <t>Alan Walser - Used Trade-In Product</t>
  </si>
  <si>
    <t>Alan Walser</t>
  </si>
  <si>
    <t>dalanw@me.com</t>
  </si>
  <si>
    <t>Roswell;Georgia;30075</t>
  </si>
  <si>
    <t>1143206</t>
  </si>
  <si>
    <t>https://bnh.lightning.force.com/001WP00000to11XYAQ</t>
  </si>
  <si>
    <t>Extremely easy process</t>
  </si>
  <si>
    <t>Richard Knudson - Used Trade-In Product</t>
  </si>
  <si>
    <t>Richard Knudson</t>
  </si>
  <si>
    <t>rtknu@comcast.net</t>
  </si>
  <si>
    <t>Federal Way;Washington;98023</t>
  </si>
  <si>
    <t>19 years 1 months</t>
  </si>
  <si>
    <t>229</t>
  </si>
  <si>
    <t>1143107</t>
  </si>
  <si>
    <t>https://bnh.lightning.force.com/0011a00000LQDwgAAH</t>
  </si>
  <si>
    <t>My guy</t>
  </si>
  <si>
    <t>Lior Levi - Used Trade-In Product</t>
  </si>
  <si>
    <t>Lior Levi</t>
  </si>
  <si>
    <t>liormx@gmail.com</t>
  </si>
  <si>
    <t>Bonita;California;91902</t>
  </si>
  <si>
    <t>1143900</t>
  </si>
  <si>
    <t>https://bnh.lightning.force.com/001WP00000uDrWcYAK</t>
  </si>
  <si>
    <t>Flowless.</t>
  </si>
  <si>
    <t>Hassle-free/flawless/easy/straightforward/fast process</t>
  </si>
  <si>
    <t>Erin Moeur - Used Trade-In Product</t>
  </si>
  <si>
    <t>Erin Moeur</t>
  </si>
  <si>
    <t>erinmoeur@gmail.com</t>
  </si>
  <si>
    <t>Tacoma;Washington;98406</t>
  </si>
  <si>
    <t>9 years 11 months</t>
  </si>
  <si>
    <t>119</t>
  </si>
  <si>
    <t>1142330</t>
  </si>
  <si>
    <t>https://bnh.lightning.force.com/0018X00003BU1mzQAD</t>
  </si>
  <si>
    <t>Andrea Garcia,Freddy Gomez</t>
  </si>
  <si>
    <t>I appreciate that it feels like you pay a fair price for used goods!</t>
  </si>
  <si>
    <t>Used &gt; Pricing &gt;</t>
  </si>
  <si>
    <t>Pricing &gt; Value for Money &gt; (Positive), Trade In &gt; Quote Price &gt; (Positive), Used &gt; Pricing &gt; (Positive)</t>
  </si>
  <si>
    <t>Used &gt; Pricing &gt; (Positive)</t>
  </si>
  <si>
    <t>Elissa Eva - Used Trade-In Product</t>
  </si>
  <si>
    <t>Elissa Eva</t>
  </si>
  <si>
    <t>elissaeva@gmail.com</t>
  </si>
  <si>
    <t>Ketchum;Idaho;83340</t>
  </si>
  <si>
    <t>1142938</t>
  </si>
  <si>
    <t>https://bnh.lightning.force.com/001WP00000tdSDAYA2</t>
  </si>
  <si>
    <t>Zane Bohnert</t>
  </si>
  <si>
    <t>Great company</t>
  </si>
  <si>
    <t>B&amp;H is trustworthy/honest/great</t>
  </si>
  <si>
    <t>Talia Burkett - Used Trade-In Product</t>
  </si>
  <si>
    <t>Talia Burkett</t>
  </si>
  <si>
    <t>tali@sisterbstudios.com</t>
  </si>
  <si>
    <t>Buellton;California;93427</t>
  </si>
  <si>
    <t>3 years 1 months</t>
  </si>
  <si>
    <t>37</t>
  </si>
  <si>
    <t>1142801</t>
  </si>
  <si>
    <t>https://bnh.lightning.force.com/0018X00003AUpcDQAT</t>
  </si>
  <si>
    <t>How easy a streamlined it was</t>
  </si>
  <si>
    <t>That you didn’t buy back my camera body, but it’s all good because I understand how used it was.</t>
  </si>
  <si>
    <t>Trade In &gt; Overall Process &gt; (Negative), Trade In &gt; Overall Process &gt; (Positive)</t>
  </si>
  <si>
    <t>B&amp;H rejected used product</t>
  </si>
  <si>
    <t>Miya Pinckney - Used Trade-In Product</t>
  </si>
  <si>
    <t>Miya Pinckney</t>
  </si>
  <si>
    <t>amiyahpinckney@icloud.com</t>
  </si>
  <si>
    <t>North Charleston;South Carolina;29406</t>
  </si>
  <si>
    <t>1141740</t>
  </si>
  <si>
    <t>https://bnh.lightning.force.com/001WP00000t0tugYAA</t>
  </si>
  <si>
    <t>kind service</t>
  </si>
  <si>
    <t>n/a</t>
  </si>
  <si>
    <t>Holly Drake - Used Trade-In Product</t>
  </si>
  <si>
    <t>Holly Drake</t>
  </si>
  <si>
    <t>hollykdrake@gmail.com</t>
  </si>
  <si>
    <t>Darien;Connecticut;06820</t>
  </si>
  <si>
    <t>1143987</t>
  </si>
  <si>
    <t>https://bnh.lightning.force.com/001WP00000uFlbSYAS</t>
  </si>
  <si>
    <t>It was a very easy experience. B&amp;H replied quickly with a quote and a mailing label postage paid. And then in no time, they reviewed my used camera lens, emailed me and sent a check in the mail. Very responsive, quick &amp; easy!</t>
  </si>
  <si>
    <t>Returns &gt; Shipping Fees &gt;, Trade In &gt; Overall Process &gt;, Trade In &gt; Timeliness of Quote &gt;</t>
  </si>
  <si>
    <t>People &gt; Follow Up &gt;, Trade In &gt; Overall Process &gt;, Trade In &gt; Timeliness of Payment &gt;, Trade In &gt; Timeliness of Quote &gt;</t>
  </si>
  <si>
    <t>Returns &gt; Shipping Fees &gt; (Positive), Trade In &gt; Overall Process &gt; (Positive), Trade In &gt; Timeliness of Quote &gt; (Positive)</t>
  </si>
  <si>
    <t>People &gt; Follow Up &gt; (Positive), Trade In &gt; Overall Process &gt; (Positive), Trade In &gt; Timeliness of Payment &gt; (Positive), Trade In &gt; Timeliness of Quote &gt; (Positive)</t>
  </si>
  <si>
    <t>Aaron Smith - Used Trade-In Product</t>
  </si>
  <si>
    <t>Aaron Smith</t>
  </si>
  <si>
    <t>aaronmsmith30@gmail.com</t>
  </si>
  <si>
    <t>Glen Spey;New York;12737</t>
  </si>
  <si>
    <t>17 years 8 months</t>
  </si>
  <si>
    <t>212</t>
  </si>
  <si>
    <t>1143729</t>
  </si>
  <si>
    <t>https://bnh.lightning.force.com/0012L00000xNuXtQAK</t>
  </si>
  <si>
    <t>It was easy and fast to get payment.</t>
  </si>
  <si>
    <t>One lens was declined due to issues, but that is understandable.</t>
  </si>
  <si>
    <t>Payment &gt; Ease Of Use &gt;, Trade In &gt; Timeliness of Payment &gt;</t>
  </si>
  <si>
    <t>Payment &gt; Ease Of Use &gt; (Positive), Trade In &gt; Timeliness of Payment &gt; (Positive)</t>
  </si>
  <si>
    <t>Trade In &gt; Overall Process &gt; (Negative), Trade In &gt; Overall Process &gt; (Positive), Trade In &gt; Timeliness of Payment &gt; (Positive)</t>
  </si>
  <si>
    <t>Rachelle Porsenna - Used Trade-In Product</t>
  </si>
  <si>
    <t>Rachelle Porsenna</t>
  </si>
  <si>
    <t>racheal504@gmail.com</t>
  </si>
  <si>
    <t>Fort Lauderdale;Florida;33324</t>
  </si>
  <si>
    <t>9 years 7 months</t>
  </si>
  <si>
    <t>115</t>
  </si>
  <si>
    <t>1142940</t>
  </si>
  <si>
    <t>https://bnh.lightning.force.com/001WP00000tdtmrYAA</t>
  </si>
  <si>
    <t>They made the transaction super easy</t>
  </si>
  <si>
    <t>The quote was a bit low</t>
  </si>
  <si>
    <t>Trade In &gt; Overall Process &gt; (Negative), Trade In &gt; Overall Process &gt; (Positive), Trade In &gt; Quote Price &gt; (Negative)</t>
  </si>
  <si>
    <t>David Gryder - Used Trade-In Product</t>
  </si>
  <si>
    <t>David Gryder</t>
  </si>
  <si>
    <t>cdavid.gryder@gmail.com</t>
  </si>
  <si>
    <t>High Point;North Carolina;27265</t>
  </si>
  <si>
    <t>1140641</t>
  </si>
  <si>
    <t>https://bnh.lightning.force.com/0018X00003USDuUQAX</t>
  </si>
  <si>
    <t>Easy and FAIR!  Best retail experience I’ve had!</t>
  </si>
  <si>
    <t>B&amp;H &gt; Satisfaction &gt;, Trade In &gt; Overall Process &gt;</t>
  </si>
  <si>
    <t>B&amp;H &gt; Satisfaction &gt; (Positive), Trade In &gt; Overall Process &gt; (Positive)</t>
  </si>
  <si>
    <t>Fair price (trust signal)</t>
  </si>
  <si>
    <t>Laura Mcmahon - Used Trade-In Product</t>
  </si>
  <si>
    <t>Laura Mcmahon</t>
  </si>
  <si>
    <t>laura.mcmahon09@gmail.com</t>
  </si>
  <si>
    <t>Bend;Oregon;97703</t>
  </si>
  <si>
    <t>1140225</t>
  </si>
  <si>
    <t>https://bnh.lightning.force.com/001WP00000ryOUCYA2</t>
  </si>
  <si>
    <t>Quote process</t>
  </si>
  <si>
    <t>Wish there was a direct deposit</t>
  </si>
  <si>
    <t>Wants to be paid through direct deposit, ACH, electronic funds transfer (or faster/secure method)</t>
  </si>
  <si>
    <t>Janet Reasoner - Used Trade-In Product</t>
  </si>
  <si>
    <t>Janet Reasoner</t>
  </si>
  <si>
    <t>janetreasoner@comcast.net</t>
  </si>
  <si>
    <t>Sun City;Arizona;85373</t>
  </si>
  <si>
    <t>7 years 7 months</t>
  </si>
  <si>
    <t>91</t>
  </si>
  <si>
    <t>1144294</t>
  </si>
  <si>
    <t>https://bnh.lightning.force.com/0011a00000ry3sWAAQ</t>
  </si>
  <si>
    <t>This was my first time selling my equipment since I started photography 32 years ago. Since my husband's death, I realized I needed to get my equipment organized and B&amp;H came to mind. They made the entire process very user friendly and when I did talk to a representative, he was easy to understand and explained the issue very well.  It was a very positive experience for me and I will be a repeat customer. Thank you B&amp;H!</t>
  </si>
  <si>
    <t>NA</t>
  </si>
  <si>
    <t>B&amp;H &gt; Satisfaction &gt;, People &gt; Communication Listening &gt;, People &gt; Courtesy / Professional &gt;, Trade In &gt; Overall Process &gt;</t>
  </si>
  <si>
    <t>People &gt; Communication Skills &gt;, People &gt; Helpful / Efficient &gt;, Trade In &gt; Overall Process &gt;</t>
  </si>
  <si>
    <t>B&amp;H &gt; Satisfaction &gt; (Positive), People &gt; Communication Listening &gt; (Positive), People &gt; Courtesy / Professional &gt; (Positive), Trade In &gt; Overall Process &gt; (Positive)</t>
  </si>
  <si>
    <t>People &gt; Communication Skills &gt; (Positive), People &gt; Helpful / Efficient &gt; (Positive), Trade In &gt; Overall Process &gt; (Positive)</t>
  </si>
  <si>
    <t>Ashish Shah - Used Trade-In Product</t>
  </si>
  <si>
    <t>Ashish Shah</t>
  </si>
  <si>
    <t>ashishshah108@hotmail.com</t>
  </si>
  <si>
    <t>Parsippany;New Jersey;07054</t>
  </si>
  <si>
    <t>1143983</t>
  </si>
  <si>
    <t>https://bnh.lightning.force.com/001Hs00005n0vk4IAA</t>
  </si>
  <si>
    <t>Trust and reputation of B&amp;H.</t>
  </si>
  <si>
    <t>A little slow turn around time to get to the final stage of gift card.</t>
  </si>
  <si>
    <t>B&amp;H &gt; Reliable / Trustworthy &gt;</t>
  </si>
  <si>
    <t>B&amp;H &gt; Reliable / Trustworthy &gt;, Trade In &gt; Timeliness of Payment &gt;</t>
  </si>
  <si>
    <t>B&amp;H &gt; Reliable / Trustworthy &gt; (Positive)</t>
  </si>
  <si>
    <t>B&amp;H &gt; Reliable / Trustworthy &gt; (Positive), Trade In &gt; Timeliness of Payment &gt; (Negative)</t>
  </si>
  <si>
    <t>B&amp;H is trustworthy/honest/great/reliable</t>
  </si>
  <si>
    <t>Elizabeth Kunkle - Used Trade-In Product</t>
  </si>
  <si>
    <t>Elizabeth Kunkle</t>
  </si>
  <si>
    <t>ntkw2k52t8@privaterelay.appleid.com</t>
  </si>
  <si>
    <t>Corinth;Texas;76208</t>
  </si>
  <si>
    <t>1141400</t>
  </si>
  <si>
    <t>https://bnh.lightning.force.com/0018X00003UVBpdQAH</t>
  </si>
  <si>
    <t>Simplicity, very clear and concise what will happen and how to get the service you want.</t>
  </si>
  <si>
    <t>Nothing, great company for me and my photography. Already recommended to friends selling their cameras!</t>
  </si>
  <si>
    <t>B&amp;H &gt; Recommended &gt;, B&amp;H &gt; Satisfaction &gt;</t>
  </si>
  <si>
    <t>B&amp;H &gt; Recommended &gt;, B&amp;H &gt; Satisfaction &gt;, Trade In &gt; Overall Process &gt;</t>
  </si>
  <si>
    <t>B&amp;H &gt; Recommended &gt; (Positive), B&amp;H &gt; Satisfaction &gt; (Positive)</t>
  </si>
  <si>
    <t>B&amp;H &gt; Recommended &gt; (Positive), B&amp;H &gt; Satisfaction &gt; (Positive), Trade In &gt; Overall Process &gt; (Positive)</t>
  </si>
  <si>
    <t>Johanna King - Used Trade-In Product</t>
  </si>
  <si>
    <t>Johanna King</t>
  </si>
  <si>
    <t>mikeking@olympus.net</t>
  </si>
  <si>
    <t>Portland;Oregon;97239</t>
  </si>
  <si>
    <t>20 years 2 months</t>
  </si>
  <si>
    <t>242</t>
  </si>
  <si>
    <t>1142581</t>
  </si>
  <si>
    <t>https://bnh.lightning.force.com/0018X00003P0JmMQAV</t>
  </si>
  <si>
    <t>Thank you - so easy.</t>
  </si>
  <si>
    <t>Randy Bernardi - Used Trade-In Product</t>
  </si>
  <si>
    <t>Randy Bernardi</t>
  </si>
  <si>
    <t>randybernardi56@gmail.com</t>
  </si>
  <si>
    <t>Palm Springs;California;92262</t>
  </si>
  <si>
    <t>23 years 1 months</t>
  </si>
  <si>
    <t>277</t>
  </si>
  <si>
    <t>1141922</t>
  </si>
  <si>
    <t>https://bnh.lightning.force.com/001WP00000t30lSYAQ</t>
  </si>
  <si>
    <t>Friendly, fast, and personal service</t>
  </si>
  <si>
    <t>I have nothing to dislike about this transaction</t>
  </si>
  <si>
    <t>People &gt; Courtesy / Professional &gt;, Trade In &gt; Overall Process &gt;</t>
  </si>
  <si>
    <t>People &gt; Courtesy / Professional &gt; (Positive), Trade In &gt; Overall Process &gt; (Positive)</t>
  </si>
  <si>
    <t>Kenneth Thacker - Used Trade-In Product</t>
  </si>
  <si>
    <t>Kenneth Thacker</t>
  </si>
  <si>
    <t>kennythacker@gmail.com</t>
  </si>
  <si>
    <t>Kansas City;Missouri;64131</t>
  </si>
  <si>
    <t>19 years 5 months</t>
  </si>
  <si>
    <t>233</t>
  </si>
  <si>
    <t>1142296</t>
  </si>
  <si>
    <t>https://bnh.lightning.force.com/0018X00003VRyBAQA1</t>
  </si>
  <si>
    <t>How easy the online tool was.</t>
  </si>
  <si>
    <t>That I wasn’t told there would be a 10 day delay on processing my item until it was received. I wish the online tool had told me.</t>
  </si>
  <si>
    <t>Trade In &gt; Overall Process &gt;, Website &gt; Overall Satisfaction &gt;</t>
  </si>
  <si>
    <t>Trade In &gt; Overall Process &gt; (Negative)</t>
  </si>
  <si>
    <t>Trade In &gt; Overall Process &gt; (Negative), Website &gt; Overall Satisfaction &gt; (Positive)</t>
  </si>
  <si>
    <t>Unaware of process delays due to shipping time</t>
  </si>
  <si>
    <t>Peter Fitzpatrick - Used Trade-In Product</t>
  </si>
  <si>
    <t>Peter Fitzpatrick</t>
  </si>
  <si>
    <t>peter_fitzpatrick@comcast.net</t>
  </si>
  <si>
    <t>Lexington Park;Maryland;20653</t>
  </si>
  <si>
    <t>15 years 6 months</t>
  </si>
  <si>
    <t>186</t>
  </si>
  <si>
    <t>1141638</t>
  </si>
  <si>
    <t>https://bnh.lightning.force.com/0018X00003PEHyuQAH</t>
  </si>
  <si>
    <t>quality products, great price, excellent customer service</t>
  </si>
  <si>
    <t>People &gt; Overall Satisfaction &gt;, Pricing &gt; Value for Money &gt;, Product &gt; Quality &gt;, Used &gt; Pricing &gt;, Used &gt; Product Quality &gt;</t>
  </si>
  <si>
    <t>People &gt; Overall Satisfaction &gt;, Used &gt; Pricing &gt;, Used &gt; Product Quality &gt;</t>
  </si>
  <si>
    <t>People &gt; Overall Satisfaction &gt; (Positive), Pricing &gt; Value for Money &gt; (Positive), Product &gt; Quality &gt; (Positive), Used &gt; Pricing &gt; (Positive), Used &gt; Product Quality &gt; (Positive)</t>
  </si>
  <si>
    <t>People &gt; Overall Satisfaction &gt; (Positive), Used &gt; Pricing &gt; (Positive), Used &gt; Product Quality &gt; (Positive)</t>
  </si>
  <si>
    <t>Darryl Wingo - Used Trade-In Product</t>
  </si>
  <si>
    <t>Darryl Wingo</t>
  </si>
  <si>
    <t>digitalimagehouse@icloud.com</t>
  </si>
  <si>
    <t>Richmond;Virginia;23223</t>
  </si>
  <si>
    <t>Richmond;Virginia;23230</t>
  </si>
  <si>
    <t>20 years 5 months</t>
  </si>
  <si>
    <t>245</t>
  </si>
  <si>
    <t>1141639</t>
  </si>
  <si>
    <t>https://bnh.lightning.force.com/0011a00000G446TAAR</t>
  </si>
  <si>
    <t>easy</t>
  </si>
  <si>
    <t>Terry Willis - Used Trade-In Product</t>
  </si>
  <si>
    <t>Terry Willis</t>
  </si>
  <si>
    <t>terrywillis54@gmail.com</t>
  </si>
  <si>
    <t>Chestertown;Maryland;21620</t>
  </si>
  <si>
    <t>20 years 3 months</t>
  </si>
  <si>
    <t>243</t>
  </si>
  <si>
    <t>1143025</t>
  </si>
  <si>
    <t>https://bnh.lightning.force.com/0011a00000WczZnAAJ</t>
  </si>
  <si>
    <t>Was quick and could be trusted.</t>
  </si>
  <si>
    <t>B&amp;H &gt; Reliable / Trustworthy &gt;, Trade In &gt; Overall Process &gt;</t>
  </si>
  <si>
    <t>B&amp;H &gt; Reliable / Trustworthy &gt; (Positive), Trade In &gt; Overall Process &gt; (Positive)</t>
  </si>
  <si>
    <t>William Miller - Used Trade-In Product</t>
  </si>
  <si>
    <t>William Miller</t>
  </si>
  <si>
    <t>pressingon98@comcast.net</t>
  </si>
  <si>
    <t>Bel Air;Maryland;21015</t>
  </si>
  <si>
    <t>17 years 11 months</t>
  </si>
  <si>
    <t>215</t>
  </si>
  <si>
    <t>1143183</t>
  </si>
  <si>
    <t>https://bnh.lightning.force.com/0012L00001BQKmzQAH</t>
  </si>
  <si>
    <t>Trust</t>
  </si>
  <si>
    <t>?</t>
  </si>
  <si>
    <t>B&amp;H is trustworthy</t>
  </si>
  <si>
    <t>Paul Matthew Glavin - Used Trade-In Product</t>
  </si>
  <si>
    <t>Paul Matthew Glavin</t>
  </si>
  <si>
    <t>pmglavin@gmail.com</t>
  </si>
  <si>
    <t>Evanston;Illinois;60202</t>
  </si>
  <si>
    <t>14 years 1 months</t>
  </si>
  <si>
    <t>169</t>
  </si>
  <si>
    <t>1142490</t>
  </si>
  <si>
    <t>https://bnh.lightning.force.com/0011a00000G4kQMAAZ</t>
  </si>
  <si>
    <t>Sergio Jonusas,Avraham Schwartz,Reina Caba</t>
  </si>
  <si>
    <t>Reina Caba (reinac@bhphoto.com)</t>
  </si>
  <si>
    <t>I received a quote for the video camera. I sent the camera with a custom case and an extra battery, hoping I would get more money than the quote. I never heard anything from B&amp;H and, even though it paid me a little more than the original quote, I was not given the option to accept the adjusted quote or ask for the other items to be returned.</t>
  </si>
  <si>
    <t>Trade In &gt; Overall Process &gt; (Negative), Trade In &gt; Overall Process &gt; (No opinion), Trade In &gt; Quote Price &gt; (Negative)</t>
  </si>
  <si>
    <t>Wants a final sale confirmation price before transaction is finalized</t>
  </si>
  <si>
    <t>Tim Sierra - Used Trade-In Product</t>
  </si>
  <si>
    <t>Tim Sierra</t>
  </si>
  <si>
    <t>virtualcompost@gmail.com</t>
  </si>
  <si>
    <t>Silver City;New Mexico;88061</t>
  </si>
  <si>
    <t>15 years 11 months</t>
  </si>
  <si>
    <t>191</t>
  </si>
  <si>
    <t>1142308</t>
  </si>
  <si>
    <t>https://bnh.lightning.force.com/001WP00000rIO3pYAG</t>
  </si>
  <si>
    <t>Really, everything, no problem.</t>
  </si>
  <si>
    <t>I can see why everything is done as it is done, again, no problem.  
I would like to have been notified that the quote was approved before the check was sent.  I would have given a different (better) address for that purpose.  It would be really nice if there was a way to have B&amp;H send the funds directly to my bank.  
Again, from B&amp;H's perspective I can see problems with both of these ideas and an totally pleased with pretty much everything about how B&amp;H does business.</t>
  </si>
  <si>
    <t>B&amp;H &gt; Satisfaction &gt; (Positive), Trade In &gt; Overall Process &gt; (Negative), Trade In &gt; Overall Process &gt; (Positive)</t>
  </si>
  <si>
    <t>Chuck Field - Used Trade-In Product</t>
  </si>
  <si>
    <t>Chuck Field</t>
  </si>
  <si>
    <t>cmf@ntinet.com</t>
  </si>
  <si>
    <t>Santee;South Carolina;29142</t>
  </si>
  <si>
    <t>20 years 0 months</t>
  </si>
  <si>
    <t>240</t>
  </si>
  <si>
    <t>1143844</t>
  </si>
  <si>
    <t>https://bnh.lightning.force.com/0011a00000jqj1PAAQ</t>
  </si>
  <si>
    <t>B &amp; H is the most reputable photo company in the business.  I trust them.</t>
  </si>
  <si>
    <t>I would have preferred to use the trade in value toward future purchases or as cash
returned to us.</t>
  </si>
  <si>
    <t>B&amp;H &gt; Reliable / Trustworthy &gt;, Used &gt; Description &gt;</t>
  </si>
  <si>
    <t>B&amp;H &gt; Reliable / Trustworthy &gt; (Positive), Used &gt; Description &gt; (Negative)</t>
  </si>
  <si>
    <t>B&amp;H &gt; Reliable / Trustworthy &gt; (Positive), Trade In &gt; Overall Process &gt; (Negative)</t>
  </si>
  <si>
    <t>Wants trade-in credit to be applied differently</t>
  </si>
  <si>
    <t>Alan Lekan - Used Trade-In Product</t>
  </si>
  <si>
    <t>Alan Lekan</t>
  </si>
  <si>
    <t>prius101@icloud.com</t>
  </si>
  <si>
    <t>Boulder;Colorado;80305</t>
  </si>
  <si>
    <t>1 years 1 months</t>
  </si>
  <si>
    <t>13</t>
  </si>
  <si>
    <t>1142459</t>
  </si>
  <si>
    <t>https://bnh.lightning.force.com/0018X00003VPkEdQAL</t>
  </si>
  <si>
    <t>The used selling experience was simple, straightfoward - even with a personal contact in Used Dept.</t>
  </si>
  <si>
    <t>Nothing really, just an uneasiness of receiving payment by CHECK (as mail-box theft is not uncommon in most places, thankfully very low in my neighborhood).</t>
  </si>
  <si>
    <t>Francois Aspesberro - Used Trade-In Product</t>
  </si>
  <si>
    <t>Francois Aspesberro</t>
  </si>
  <si>
    <t>faspes@gmail.com</t>
  </si>
  <si>
    <t>Culver City;California;90232</t>
  </si>
  <si>
    <t>17 years 3 months</t>
  </si>
  <si>
    <t>207</t>
  </si>
  <si>
    <t>1142089</t>
  </si>
  <si>
    <t>https://bnh.lightning.force.com/0012L000012KzGHQA0</t>
  </si>
  <si>
    <t>the ease of selling my used gear to B&amp;H was a breeze</t>
  </si>
  <si>
    <t>Patty Glover - Used Trade-In Product</t>
  </si>
  <si>
    <t>Patty Glover</t>
  </si>
  <si>
    <t>pcbeachmemories@gmail.com</t>
  </si>
  <si>
    <t>Southport;Florida;32409</t>
  </si>
  <si>
    <t>1138174</t>
  </si>
  <si>
    <t>https://bnh.lightning.force.com/0012L0000172sOCQAY</t>
  </si>
  <si>
    <t>Gershon Orenstein,Avraham Schwartz,Reina Caba</t>
  </si>
  <si>
    <t>Took about three weeks. Finally got a call said they wouldn’t purchase</t>
  </si>
  <si>
    <t>Time</t>
  </si>
  <si>
    <t>Trade In &gt; Overall Process &gt;, Trade In &gt; Timeliness of Quote &gt;</t>
  </si>
  <si>
    <t>Trade In &gt; Overall Process &gt; (Negative), Trade In &gt; Timeliness of Quote &gt; (Negative)</t>
  </si>
  <si>
    <t>David Weaver - Used Trade-In Product</t>
  </si>
  <si>
    <t>David Weaver</t>
  </si>
  <si>
    <t>dave@dweaver.com</t>
  </si>
  <si>
    <t>Emerald Hills;California;94062</t>
  </si>
  <si>
    <t>20 years 11 months</t>
  </si>
  <si>
    <t>251</t>
  </si>
  <si>
    <t>1142283</t>
  </si>
  <si>
    <t>https://bnh.lightning.force.com/0011a00000FQFmTAAX</t>
  </si>
  <si>
    <t>Ease of selling to B&amp;H (my second time selling equipment).
Good communication from B&amp;H about the status of the sale.</t>
  </si>
  <si>
    <t>Unfortunately, it turned out that the lens I sent in for sale had an issue that I wasn't aware of and wasn't sellable.  However, that wasn't B&amp;H's fault.</t>
  </si>
  <si>
    <t>Responsive/fast/great/excellent communication</t>
  </si>
  <si>
    <t>Sharene Hanlon - Used Trade-In Product</t>
  </si>
  <si>
    <t>Sharene Hanlon</t>
  </si>
  <si>
    <t>kshanlon@msn.com</t>
  </si>
  <si>
    <t>Faribault;Minnesota;55021</t>
  </si>
  <si>
    <t>22 years 1 months</t>
  </si>
  <si>
    <t>265</t>
  </si>
  <si>
    <t>1140251</t>
  </si>
  <si>
    <t>https://bnh.lightning.force.com/001WP00000lBgyDYAS</t>
  </si>
  <si>
    <t>I liked everything!</t>
  </si>
  <si>
    <t>Ken Kearns - Used Trade-In Product</t>
  </si>
  <si>
    <t>Ken Kearns</t>
  </si>
  <si>
    <t>kennethkearns@gmail.com</t>
  </si>
  <si>
    <t>Purchase;New York;10577</t>
  </si>
  <si>
    <t>16 years 7 months</t>
  </si>
  <si>
    <t>199</t>
  </si>
  <si>
    <t>1143548</t>
  </si>
  <si>
    <t>https://bnh.lightning.force.com/001WP00000u7blrYAA</t>
  </si>
  <si>
    <t>Easy to get and get confirmed</t>
  </si>
  <si>
    <t>Can’t transact the TID online</t>
  </si>
  <si>
    <t>Mary Galligan - Used Trade-In Product</t>
  </si>
  <si>
    <t>Mary Galligan</t>
  </si>
  <si>
    <t>2galligans@gmail.com</t>
  </si>
  <si>
    <t>Huntley;Illinois;60142</t>
  </si>
  <si>
    <t>9 years 3 months</t>
  </si>
  <si>
    <t>111</t>
  </si>
  <si>
    <t>1142491</t>
  </si>
  <si>
    <t>https://bnh.lightning.force.com/0018X000031eWeTQAU</t>
  </si>
  <si>
    <t>It is such an easy process.</t>
  </si>
  <si>
    <t>Alex Velasquez - Used Trade-In Product</t>
  </si>
  <si>
    <t>Alex Velasquez</t>
  </si>
  <si>
    <t>alex@apolloroad.com</t>
  </si>
  <si>
    <t>Windsor;Colorado;80550</t>
  </si>
  <si>
    <t>Albuquerque;New Mexico;87107</t>
  </si>
  <si>
    <t>6 years 5 months</t>
  </si>
  <si>
    <t>77</t>
  </si>
  <si>
    <t>1141582</t>
  </si>
  <si>
    <t>https://bnh.lightning.force.com/0018X00003QC7qUQAT</t>
  </si>
  <si>
    <t>Pre-paid shipping label.</t>
  </si>
  <si>
    <t>N/A. Everything was seamless.</t>
  </si>
  <si>
    <t>Easy shipping process/likes prepaid label/free shipping</t>
  </si>
  <si>
    <t>Rob Edmondson - Used Trade-In Product</t>
  </si>
  <si>
    <t>Rob Edmondson</t>
  </si>
  <si>
    <t>wobertm777@gmail.com</t>
  </si>
  <si>
    <t>Wilson;North Carolina;27896</t>
  </si>
  <si>
    <t>1142255</t>
  </si>
  <si>
    <t>https://bnh.lightning.force.com/001WP00000tCvzjYAC</t>
  </si>
  <si>
    <t>Smooth n direct</t>
  </si>
  <si>
    <t>No issues</t>
  </si>
  <si>
    <t>Alexey Amchentsev - Used Trade-In Product</t>
  </si>
  <si>
    <t>Alexey Amchentsev</t>
  </si>
  <si>
    <t>amchentsev@msn.com</t>
  </si>
  <si>
    <t>Middletown;New York;10941</t>
  </si>
  <si>
    <t>9 years 4 months</t>
  </si>
  <si>
    <t>112</t>
  </si>
  <si>
    <t>1141941</t>
  </si>
  <si>
    <t>https://bnh.lightning.force.com/001WP00000eq3yxYAA</t>
  </si>
  <si>
    <t>Easy experience</t>
  </si>
  <si>
    <t>Low quote</t>
  </si>
  <si>
    <t>Trade In &gt; Overall Process &gt; (No opinion), Trade In &gt; Quote Price &gt; (No opinion)</t>
  </si>
  <si>
    <t>Matt Higby - Used Trade-In Product</t>
  </si>
  <si>
    <t>Matt Higby</t>
  </si>
  <si>
    <t>ipodguy93@gmail.com</t>
  </si>
  <si>
    <t>Scottsdale;Arizona;85254</t>
  </si>
  <si>
    <t>1143452</t>
  </si>
  <si>
    <t>https://bnh.lightning.force.com/001WP00000u5h1NYAQ</t>
  </si>
  <si>
    <t>I’m blown away at how easy this process was and the offer I received. I honestly was not expecting to get as much money for my gear as B&amp;H offered, so I feel like they did a fantastic job evaluating my equipment.</t>
  </si>
  <si>
    <t>This is such a minor thing but I thought finding my gear in the drop down menu was just a little unintuitive. But genuinely, it wasn’t that hard to find my exact camera so I’m just grasping at straws to find something to improve. The whole experience was excellent.</t>
  </si>
  <si>
    <t>B&amp;H &gt; Satisfaction &gt; (Strongly positive), Trade In &gt; Overall Process &gt; (Positive)</t>
  </si>
  <si>
    <t>Trade In &gt; Overall Process &gt; (Negative), Trade In &gt; Overall Process &gt; (Positive), Trade In &gt; Quote Price &gt; (Positive)</t>
  </si>
  <si>
    <t>Great product valuation</t>
  </si>
  <si>
    <t>Lindsay Ang - Used Trade-In Product</t>
  </si>
  <si>
    <t>Lindsay Ang</t>
  </si>
  <si>
    <t>lindsayang@gmail.com</t>
  </si>
  <si>
    <t>Portland;Oregon;97205</t>
  </si>
  <si>
    <t>2 years 6 months</t>
  </si>
  <si>
    <t>30</t>
  </si>
  <si>
    <t>1143176</t>
  </si>
  <si>
    <t>https://bnh.lightning.force.com/001Hs00005n1LsgIAE</t>
  </si>
  <si>
    <t>Zane Bohnert,Avraham Schwartz,Reina Caba</t>
  </si>
  <si>
    <t xml:space="preserve">Detractor </t>
  </si>
  <si>
    <t>I used to like B&amp;H experience as I often send in used equipments for trades. However, this time leaves me with a lot of questions that are unanswered</t>
  </si>
  <si>
    <t>For my current quote, I was told all 6 of my lenses have fungus and then a reduced amoun for my other lens. I took photos of the condition, serial numbers and my detailed packaging before sending it in. So, imagine my surprise when 2 weeks there are fungus in all my lenses and on top of it I haven't heard back from the rep on next steps. Also, a few of my lenses are brand new from Fuji direct</t>
  </si>
  <si>
    <t>B&amp;H &gt; Satisfaction &gt; (No opinion), Trade In &gt; Overall Process &gt; (Positive)</t>
  </si>
  <si>
    <t>Liked explanation/transparency around valuation (difference between quote and actual valuation)</t>
  </si>
  <si>
    <t>Thomas Hart - Used Trade-In Product</t>
  </si>
  <si>
    <t>Thomas Hart</t>
  </si>
  <si>
    <t>thomas.hm.hart@gmail.com</t>
  </si>
  <si>
    <t>Pawleys Island;South Carolina;29585</t>
  </si>
  <si>
    <t>1141678</t>
  </si>
  <si>
    <t>https://bnh.lightning.force.com/001WP00000szaMiYAI</t>
  </si>
  <si>
    <t>Easy web experience.</t>
  </si>
  <si>
    <t>N/a</t>
  </si>
  <si>
    <t>Kevin Lui - Used Trade-In Product</t>
  </si>
  <si>
    <t>Kevin Lui</t>
  </si>
  <si>
    <t>kevinlui@bhphoto.com</t>
  </si>
  <si>
    <t>New York;New York;10002</t>
  </si>
  <si>
    <t>25 years 2 months</t>
  </si>
  <si>
    <t>302</t>
  </si>
  <si>
    <t>1144680</t>
  </si>
  <si>
    <t>https://bnh.lightning.force.com/0011a00000Lhj37AAB</t>
  </si>
  <si>
    <t>Nick Badame</t>
  </si>
  <si>
    <t>Easy transaction.</t>
  </si>
  <si>
    <t>Nothing, keep up the good work!</t>
  </si>
  <si>
    <t>Steven Langbehn - Used Trade-In Product</t>
  </si>
  <si>
    <t>Steven Langbehn</t>
  </si>
  <si>
    <t>stevenlangbehn26@gmail.com</t>
  </si>
  <si>
    <t>Mt.Prospect;Illinois;60056</t>
  </si>
  <si>
    <t>1141570</t>
  </si>
  <si>
    <t>https://bnh.lightning.force.com/0011a00000IE8OkAAL</t>
  </si>
  <si>
    <t>The action was prompt and painless. The dollar amount exceeded what I expected. I am very happy with your company thank you.</t>
  </si>
  <si>
    <t>B&amp;H &gt; Satisfaction &gt;, Trade In &gt; Overall Process &gt;, Trade In &gt; Quote Price &gt;</t>
  </si>
  <si>
    <t>B&amp;H &gt; Satisfaction &gt; (Positive), Trade In &gt; Overall Process &gt; (Positive), Trade In &gt; Quote Price &gt; (Positive)</t>
  </si>
  <si>
    <t>Odalis Fernandez - Used Trade-In Product</t>
  </si>
  <si>
    <t>Odalis Fernandez</t>
  </si>
  <si>
    <t>odalisrfernandez@gmail.com</t>
  </si>
  <si>
    <t>New York;New York;10039</t>
  </si>
  <si>
    <t>1140522</t>
  </si>
  <si>
    <t>https://bnh.lightning.force.com/001WP00000s9hBcYAI</t>
  </si>
  <si>
    <t>Simplicity..</t>
  </si>
  <si>
    <t>Nothing, everything went smooth.</t>
  </si>
  <si>
    <t>Michael Clark - Used Trade-In Product</t>
  </si>
  <si>
    <t>Michael Clark</t>
  </si>
  <si>
    <t>mjccomputer25@gmail.com</t>
  </si>
  <si>
    <t>North Hollywood;California;91606</t>
  </si>
  <si>
    <t>1141321</t>
  </si>
  <si>
    <t>https://bnh.lightning.force.com/001WP00000sfp37YAA</t>
  </si>
  <si>
    <t>Easy transaction. Fair quotes.</t>
  </si>
  <si>
    <t>Trade In &gt; Overall Process &gt; (Positive), Trade In &gt; Quote Price &gt; (Positive)</t>
  </si>
  <si>
    <t>Layton Wakatsuki - Used Trade-In Product</t>
  </si>
  <si>
    <t>Layton Wakatsuki</t>
  </si>
  <si>
    <t>lwakatsuki@gmail.com</t>
  </si>
  <si>
    <t>Seattle;Washington;98177</t>
  </si>
  <si>
    <t>15 years 9 months</t>
  </si>
  <si>
    <t>189</t>
  </si>
  <si>
    <t>1140150</t>
  </si>
  <si>
    <t>https://bnh.lightning.force.com/001WP00000iTrstYAC</t>
  </si>
  <si>
    <t>Very efficient process from beginning to end - good job!</t>
  </si>
  <si>
    <t>Trade In &gt; Overall Process &gt; (Strongly positive)</t>
  </si>
  <si>
    <t>Hassle-free/flawless/easy/straightforward/fast/efficient process</t>
  </si>
  <si>
    <t>Arthur Dougherty - Used Trade-In Product</t>
  </si>
  <si>
    <t>Arthur Dougherty</t>
  </si>
  <si>
    <t>arthurdougherty@gmail.com</t>
  </si>
  <si>
    <t>Maplewood;New Jersey;07040</t>
  </si>
  <si>
    <t>12 years 7 months</t>
  </si>
  <si>
    <t>151</t>
  </si>
  <si>
    <t>1141822</t>
  </si>
  <si>
    <t>https://bnh.lightning.force.com/0012L000012L8UHQA0</t>
  </si>
  <si>
    <t>It was very quick overall and basically very easy</t>
  </si>
  <si>
    <t>If you can't find your exact item in the list, it can be a little tricky to enter it</t>
  </si>
  <si>
    <t>Trade In &gt; Overall Process &gt;, Trade In &gt; Timeliness of Payment &gt;, Trade In &gt; Timeliness of Quote &gt;, Website &gt; Search Function &gt;</t>
  </si>
  <si>
    <t>Trade In &gt; Overall Process &gt; (Negative), Trade In &gt; Overall Process &gt; (Strongly positive), Trade In &gt; Timeliness of Payment &gt; (Strongly positive), Trade In &gt; Timeliness of Quote &gt; (Strongly positive), Website &gt; Search Function &gt; (Negative)</t>
  </si>
  <si>
    <t xml:space="preserve">Difficult to enter used product if not listed/included in the category search bar </t>
  </si>
  <si>
    <t>Darcy Demmel - Used Trade-In Product</t>
  </si>
  <si>
    <t>Darcy Demmel</t>
  </si>
  <si>
    <t>darcy@darcydemmel.com</t>
  </si>
  <si>
    <t>Falls City;Nebraska;68355</t>
  </si>
  <si>
    <t>1139034</t>
  </si>
  <si>
    <t>https://bnh.lightning.force.com/001Hs00005fswuqIAA</t>
  </si>
  <si>
    <t>I had an awful experience. Someone called me in the fall of 2025 and told me my camera was rejected.  However, if I replaced the shutter mechanism on my camera I could then resell my camera. I spent $700 getting it fixed, sent it back in and they rejected it again. I will never do business with Bh again.  They also did nothing to make this right.</t>
  </si>
  <si>
    <t>B&amp;H &gt; Satisfaction &gt; (Strongly negative)</t>
  </si>
  <si>
    <t>B&amp;H &gt; Satisfaction &gt; (Strongly negative), Trade In &gt; Overall Process &gt; (Negative)</t>
  </si>
  <si>
    <t>Scott Kenney - Used Trade-In Product</t>
  </si>
  <si>
    <t>Scott Kenney</t>
  </si>
  <si>
    <t>scottkenney@verizon.net</t>
  </si>
  <si>
    <t>Williamsburg;Virginia;23188</t>
  </si>
  <si>
    <t>7 years 3 months</t>
  </si>
  <si>
    <t>87</t>
  </si>
  <si>
    <t>1143822</t>
  </si>
  <si>
    <t>https://bnh.lightning.force.com/001Hs00005DGZbUIAX</t>
  </si>
  <si>
    <t>Unfortunately, the equipment I sent in did not meet your standards, but the service was fantastic. You will be shipping my equipment back to me. No charge.</t>
  </si>
  <si>
    <t>B&amp;H &gt; Policy &gt;, Trade In &gt; Overall Process &gt;</t>
  </si>
  <si>
    <t>B&amp;H &gt; Policy &gt; (Negative), Trade In &gt; Overall Process &gt; (No opinion), Trade In &gt; Overall Process &gt; (Positive)</t>
  </si>
  <si>
    <t>Marlene Allen - Used Trade-In Product</t>
  </si>
  <si>
    <t>Marlene Allen</t>
  </si>
  <si>
    <t>teacher20ca@gmail.com</t>
  </si>
  <si>
    <t>Raleigh;North Carolina;27614</t>
  </si>
  <si>
    <t>11 years 7 months</t>
  </si>
  <si>
    <t>139</t>
  </si>
  <si>
    <t>1139973</t>
  </si>
  <si>
    <t>https://bnh.lightning.force.com/0018X00003BQFHcQAP</t>
  </si>
  <si>
    <t>The ease of selling my gear. Higher quote than the competition for lenses.</t>
  </si>
  <si>
    <t>Some of the lenses were brand new. I received half of what they were selling for on your website.</t>
  </si>
  <si>
    <t>B&amp;H &gt; Competitor Mentions &gt;, Trade In &gt; Overall Process &gt;, Trade In &gt; Quote Price &gt;</t>
  </si>
  <si>
    <t>B&amp;H &gt; Competitor Mentions &gt; (No opinion), Trade In &gt; Overall Process &gt; (No opinion), Trade In &gt; Quote Price &gt; (No opinion)</t>
  </si>
  <si>
    <t>B&amp;H &gt; Competitor Mentions &gt; (Positive), Trade In &gt; Overall Process &gt; (Positive), Trade In &gt; Quote Price &gt; (Negative), Trade In &gt; Quote Price &gt; (Positive)</t>
  </si>
  <si>
    <t>Ari Fishkind - Used Trade-In Product</t>
  </si>
  <si>
    <t>Ari Fishkind</t>
  </si>
  <si>
    <t>lo9054@yahoo.com</t>
  </si>
  <si>
    <t>Wesley Hills;New York;10977</t>
  </si>
  <si>
    <t>18 years 1 months</t>
  </si>
  <si>
    <t>217</t>
  </si>
  <si>
    <t>1143390</t>
  </si>
  <si>
    <t>https://bnh.lightning.force.com/0011a00000Vm1pMAAR</t>
  </si>
  <si>
    <t>Clarity</t>
  </si>
  <si>
    <t>Scott Golab - Used Trade-In Product</t>
  </si>
  <si>
    <t>Scott Golab</t>
  </si>
  <si>
    <t>scottgolab@gmail.com</t>
  </si>
  <si>
    <t>Mobile;Alabama;36695</t>
  </si>
  <si>
    <t>4 years 7 months</t>
  </si>
  <si>
    <t>55</t>
  </si>
  <si>
    <t>1143447</t>
  </si>
  <si>
    <t>https://bnh.lightning.force.com/0018X00003TxKr1QAF</t>
  </si>
  <si>
    <t>Extremely easy to work through the process online and quote was fair price.  Can't wait to look online and make the call for a new lens using the trade in credit.</t>
  </si>
  <si>
    <t>No dislikes</t>
  </si>
  <si>
    <t>Pricing &gt; Value for Money &gt;, Trade In &gt; Overall Process &gt;, Trade In &gt; Quote Price &gt;, Used &gt; Description &gt;, Used &gt; Pricing &gt;</t>
  </si>
  <si>
    <t>Trade In &gt; Overall Process &gt;, Trade In &gt; Quote Price &gt;, Trade In &gt; Timeliness of Payment &gt;</t>
  </si>
  <si>
    <t>Pricing &gt; Value for Money &gt; (Positive), Trade In &gt; Overall Process &gt; (Positive), Trade In &gt; Quote Price &gt; (Positive), Used &gt; Description &gt; (Negative), Used &gt; Pricing &gt; (Positive)</t>
  </si>
  <si>
    <t>Trade In &gt; Overall Process &gt; (Positive), Trade In &gt; Quote Price &gt; (Positive), Trade In &gt; Timeliness of Payment &gt; (Positive)</t>
  </si>
  <si>
    <t>Julie Wargo - Used Trade-In Product</t>
  </si>
  <si>
    <t>Julie Wargo</t>
  </si>
  <si>
    <t>wargostuff@gmail.com</t>
  </si>
  <si>
    <t>Midlothian;Virginia;23112</t>
  </si>
  <si>
    <t>22 years 5 months</t>
  </si>
  <si>
    <t>269</t>
  </si>
  <si>
    <t>1143493</t>
  </si>
  <si>
    <t>https://bnh.lightning.force.com/0012L00001BP0ZtQAL</t>
  </si>
  <si>
    <t>I trust that I have received a fair price AND you made it easy for me to find a new home for my used gear.</t>
  </si>
  <si>
    <t>B&amp;H &gt; Reliable / Trustworthy &gt;, Pricing &gt; Value for Money &gt;, Trade In &gt; Overall Process &gt;, Trade In &gt; Quote Price &gt;, Used &gt; Pricing &gt;</t>
  </si>
  <si>
    <t>B&amp;H &gt; Reliable / Trustworthy &gt;, Trade In &gt; Overall Process &gt;, Trade In &gt; Quote Price &gt;</t>
  </si>
  <si>
    <t>B&amp;H &gt; Reliable / Trustworthy &gt; (Positive), Pricing &gt; Value for Money &gt; (Positive), Trade In &gt; Overall Process &gt; (Positive), Trade In &gt; Quote Price &gt; (Positive), Used &gt; Pricing &gt; (Positive)</t>
  </si>
  <si>
    <t>B&amp;H &gt; Reliable / Trustworthy &gt; (Positive), Trade In &gt; Overall Process &gt; (Positive), Trade In &gt; Quote Price &gt; (Positive)</t>
  </si>
  <si>
    <t>Tarak Patel - Used Trade-In Product</t>
  </si>
  <si>
    <t>Tarak Patel</t>
  </si>
  <si>
    <t>tpatel9230@gmail.com</t>
  </si>
  <si>
    <t>Colmar;Pennsylvania;18915</t>
  </si>
  <si>
    <t>1141531</t>
  </si>
  <si>
    <t>https://bnh.lightning.force.com/001WP00000spKCQYA2</t>
  </si>
  <si>
    <t>Easy online process and quick payment. Thank You B&amp;H!</t>
  </si>
  <si>
    <t>Payment &gt; Ease Of Use &gt;, Payment &gt; Online &gt;, Trade In &gt; Overall Process &gt;, Trade In &gt; Timeliness of Payment &gt;</t>
  </si>
  <si>
    <t>Payment &gt; Ease Of Use &gt; (Positive), Payment &gt; Online &gt; (Positive), Trade In &gt; Overall Process &gt; (Positive), Trade In &gt; Timeliness of Payment &gt; (Positive)</t>
  </si>
  <si>
    <t>Trade In &gt; Overall Process &gt; (Positive), Trade In &gt; Timeliness of Payment &gt; (Positive)</t>
  </si>
  <si>
    <t>Nancy Leblanc-Scroggins - Used Trade-In Product</t>
  </si>
  <si>
    <t>Nancy Leblanc-Scroggins</t>
  </si>
  <si>
    <t>leblancscroggins@gmail.com</t>
  </si>
  <si>
    <t>Frisco;Texas;75035</t>
  </si>
  <si>
    <t>San Francisco;California;94117</t>
  </si>
  <si>
    <t>8 years 2 months</t>
  </si>
  <si>
    <t>98</t>
  </si>
  <si>
    <t>1140058</t>
  </si>
  <si>
    <t>https://bnh.lightning.force.com/001WP00000rujprYAA</t>
  </si>
  <si>
    <t>The B &amp; H Used equipment process is very easy and prices are competitive and fair.  B &amp; H is my first choice when selling used equipment and also when purchasing new or used items.</t>
  </si>
  <si>
    <t>Pricing &gt; Value for Money &gt;, Product &gt; Selection / Variety &gt;, Trade In &gt; Overall Process &gt;, Trade In &gt; Quote Price &gt;, Used &gt; Description &gt;, Used &gt; Pricing &gt;, Used &gt; Selection &gt;</t>
  </si>
  <si>
    <t>B&amp;H &gt; Satisfaction &gt;, Product &gt; Selection / Variety &gt;, Trade In &gt; Overall Process &gt;, Trade In &gt; Quote Price &gt;, Used &gt; Selection &gt;</t>
  </si>
  <si>
    <t>Pricing &gt; Value for Money &gt; (Positive), Product &gt; Selection / Variety &gt; (No opinion), Trade In &gt; Overall Process &gt; (Positive), Trade In &gt; Quote Price &gt; (Positive), Used &gt; Description &gt; (Positive), Used &gt; Pricing &gt; (Positive), Used &gt; Selection &gt; (No opinion)</t>
  </si>
  <si>
    <t>B&amp;H &gt; Satisfaction &gt; (Positive), Product &gt; Selection / Variety &gt; (Positive), Trade In &gt; Overall Process &gt; (Positive), Trade In &gt; Quote Price &gt; (Positive), Used &gt; Selection &gt; (Positive)</t>
  </si>
  <si>
    <t>Great/competitive product valuation</t>
  </si>
  <si>
    <t>Steven Zarrella - Used Trade-In Product</t>
  </si>
  <si>
    <t>Steven Zarrella</t>
  </si>
  <si>
    <t>stevenzarrella@icloud.com</t>
  </si>
  <si>
    <t>Watertown;Connecticut;06795</t>
  </si>
  <si>
    <t>1144004</t>
  </si>
  <si>
    <t>https://bnh.lightning.force.com/0011a00000WZyE1AAL</t>
  </si>
  <si>
    <t>I got a quote on line for multiple items. It was very competitive with other quotes I received from KEH and a local camera store. I brought my equipment to the store where it was quickly reviewed. I received a check on the spot for 97% of the quoted price. 
I then walked around the corner and into the store to by new gear using my PayBoo Card. I couldn't be happier with the transaction!</t>
  </si>
  <si>
    <t>B&amp;H &gt; Competitor Mentions &gt;, B&amp;H &gt; Satisfaction &gt;, Trade In &gt; Overall Process &gt;, Trade In &gt; Quote Price &gt;, Trade In &gt; Timeliness of Payment &gt;</t>
  </si>
  <si>
    <t>Pricing &gt; Value for Money &gt; (No opinion), Trade In &gt; Overall Process &gt; (No opinion), Trade In &gt; Overall Process &gt; (Positive), Trade In &gt; Quote Price &gt; (No opinion), Trade In &gt; Quote Price &gt; (Positive), Used &gt; Description &gt; (No opinion), Used &gt; Pricing &gt; (No opinion)</t>
  </si>
  <si>
    <t>B&amp;H &gt; Competitor Mentions &gt; (Positive), B&amp;H &gt; Satisfaction &gt; (Positive), Trade In &gt; Overall Process &gt; (No opinion), Trade In &gt; Overall Process &gt; (Positive), Trade In &gt; Quote Price &gt; (Positive), Trade In &gt; Timeliness of Payment &gt; (Positive)</t>
  </si>
  <si>
    <t>John Mattson - Used Trade-In Product</t>
  </si>
  <si>
    <t>John Mattson</t>
  </si>
  <si>
    <t>jtmattson@hotmail.com</t>
  </si>
  <si>
    <t>Terrell;Texas;75160</t>
  </si>
  <si>
    <t>22 years 3 months</t>
  </si>
  <si>
    <t>267</t>
  </si>
  <si>
    <t>1133152</t>
  </si>
  <si>
    <t>https://bnh.lightning.force.com/0018X00003FLAlxQAH</t>
  </si>
  <si>
    <t>Quick/ Easy</t>
  </si>
  <si>
    <t>Henry Niles - Used Trade-In Product</t>
  </si>
  <si>
    <t>Henry Niles</t>
  </si>
  <si>
    <t>hbniles@hbniles.com</t>
  </si>
  <si>
    <t>Santa Cruz;California;95062</t>
  </si>
  <si>
    <t>1140160</t>
  </si>
  <si>
    <t>https://bnh.lightning.force.com/001WP00000rxqx2YAA</t>
  </si>
  <si>
    <t>I have purchased and sold through B&amp;H and find your Used Dept to be the most reliable and fair of the various options. Thanks for great service</t>
  </si>
  <si>
    <t>B&amp;H &gt; Reliable / Trustworthy &gt;, Trade In &gt; Overall Process &gt;, Used &gt; Description &gt;</t>
  </si>
  <si>
    <t>B&amp;H &gt; Reliable / Trustworthy &gt; (Positive), Used &gt; Description &gt; (Positive)</t>
  </si>
  <si>
    <t>B&amp;H &gt; Reliable / Trustworthy &gt; (Positive), Trade In &gt; Overall Process &gt; (Positive), Used &gt; Description &gt; (Positive)</t>
  </si>
  <si>
    <t>Lawrence Field - Used Trade-In Product</t>
  </si>
  <si>
    <t>Lawrence Field</t>
  </si>
  <si>
    <t>field4kids@gmail.com</t>
  </si>
  <si>
    <t>College Station;Texas;77845</t>
  </si>
  <si>
    <t>24 years 1 months</t>
  </si>
  <si>
    <t>289</t>
  </si>
  <si>
    <t>1141566</t>
  </si>
  <si>
    <t>https://bnh.lightning.force.com/0018X00003GnsfiQAB</t>
  </si>
  <si>
    <t>Ease of getting a legitimate quote online (but wait, was it legitimate?).</t>
  </si>
  <si>
    <t>That I send two Canon 5D Mark III bodies in that were functioning perfectly the week before I sent them, along with a Canon 17-40L f/4 lens that I had used on a real estate shoot THE WEEK I MAILED IT TO YOU.
However, when you got my gear, your crooks said one 5D had "too high a shutter count" and that the 17-40 was getting "error codes".  You couldn't take either of those.  The other 5D, you could only give me $100 for.  Ridiculous.
How high do you expect the shutter count to be on a 14 year old camera?  I graded them correctly on the web form, maybe you need to be more transparent about what you'll really pay for equipment.
This was an easy way for you to steal my equipment, because I guarantee you that 5D and 17-40L you "rejected" will be for sale in your used department, and I got zero compensation for them.  And $100 for the other 5D body is just an insult. I will never buy anything from B&amp;H again, and I've done quite a bit of business up until now.  This latest deceptive practice though has completely changed my view of B&amp;H.
If you can't make money without cheating people, do something else.</t>
  </si>
  <si>
    <t>Product &gt; Product Function &gt;, Trade In &gt; Overall Process &gt;</t>
  </si>
  <si>
    <t>B&amp;H &gt; Loyalty &gt;, B&amp;H &gt; Reliable / Trustworthy &gt;, B&amp;H &gt; Satisfaction &gt;, Trade In &gt; Overall Process &gt;, Trade In &gt; Quote Price &gt;</t>
  </si>
  <si>
    <t>Product &gt; Product Function &gt; (Positive), Trade In &gt; Overall Process &gt; (Positive)</t>
  </si>
  <si>
    <t>B&amp;H &gt; Loyalty &gt; (Negative), B&amp;H &gt; Reliable / Trustworthy &gt; (Negative), B&amp;H &gt; Satisfaction &gt; (Negative), Trade In &gt; Overall Process &gt; (Negative), Trade In &gt; Overall Process &gt; (Positive), Trade In &gt; Quote Price &gt; (Negative)</t>
  </si>
  <si>
    <t>Unfair product valuation</t>
  </si>
  <si>
    <t>Edwin Thompson - Used Trade-In Product</t>
  </si>
  <si>
    <t>Edwin Thompson</t>
  </si>
  <si>
    <t>kpr0314@usa.net</t>
  </si>
  <si>
    <t>Birdsboro;Pennsylvania;19508</t>
  </si>
  <si>
    <t>8 years 6 months</t>
  </si>
  <si>
    <t>102</t>
  </si>
  <si>
    <t>1139613</t>
  </si>
  <si>
    <t>https://bnh.lightning.force.com/0011a00000j4uA9AAI</t>
  </si>
  <si>
    <t>It was just very quick and easy</t>
  </si>
  <si>
    <t>David Huffman - Used Trade-In Product</t>
  </si>
  <si>
    <t>David Huffman</t>
  </si>
  <si>
    <t>huffmandw@gmail.com</t>
  </si>
  <si>
    <t>Marietta;Georgia;30062</t>
  </si>
  <si>
    <t>13 years 10 months</t>
  </si>
  <si>
    <t>166</t>
  </si>
  <si>
    <t>1143032</t>
  </si>
  <si>
    <t>https://bnh.lightning.force.com/0018X00003EfLBsQAN</t>
  </si>
  <si>
    <t>Easy online quote and shipment process</t>
  </si>
  <si>
    <t>none</t>
  </si>
  <si>
    <t>David Burgess - Used Trade-In Product</t>
  </si>
  <si>
    <t>David Burgess</t>
  </si>
  <si>
    <t>daveburg62@gmail.com</t>
  </si>
  <si>
    <t>Onalaska;Wisconsin;54650</t>
  </si>
  <si>
    <t>31 years 8 months</t>
  </si>
  <si>
    <t>380</t>
  </si>
  <si>
    <t>1138242</t>
  </si>
  <si>
    <t>https://bnh.lightning.force.com/0012L000019GPnsQAG</t>
  </si>
  <si>
    <t>Every aspect of the sale transaction went very well.</t>
  </si>
  <si>
    <t>Dale Gentle - Used Trade-In Product</t>
  </si>
  <si>
    <t>Dale Gentle</t>
  </si>
  <si>
    <t>degentle811@gmail.com</t>
  </si>
  <si>
    <t>Mount Holly;North Carolina;28120</t>
  </si>
  <si>
    <t>1140252</t>
  </si>
  <si>
    <t>https://bnh.lightning.force.com/001WP00000ryJmJYAU</t>
  </si>
  <si>
    <t>Getting an online quote was easy and surprisingly quick.</t>
  </si>
  <si>
    <t>Trade In &gt; Overall Process &gt; (Positive), Trade In &gt; Timeliness of Quote &gt; (Positive)</t>
  </si>
  <si>
    <t>Frank J. Castiglia - Used Trade-In Product</t>
  </si>
  <si>
    <t>Frank J. Castiglia</t>
  </si>
  <si>
    <t>fcastiglia7@gmail.com</t>
  </si>
  <si>
    <t>Omaha;Nebraska;68106</t>
  </si>
  <si>
    <t>8 years 7 months</t>
  </si>
  <si>
    <t>103</t>
  </si>
  <si>
    <t>1140220</t>
  </si>
  <si>
    <t>https://bnh.lightning.force.com/001WP00000ryD2QYAU</t>
  </si>
  <si>
    <t>I always trusted the folks at B&amp;H.  So I trusted them on selling them my gear.  Obviously I would have wanted more for my gear. But I don’t get to make that call.  Over all I’m very satisfied with the process and result.  Thank you.  Frank j Castiglia</t>
  </si>
  <si>
    <t>Nada</t>
  </si>
  <si>
    <t>B&amp;H &gt; Reliable / Trustworthy &gt;, B&amp;H &gt; Satisfaction &gt;, Trade In &gt; Overall Process &gt;, Trade In &gt; Quote Price &gt;</t>
  </si>
  <si>
    <t>B&amp;H &gt; Reliable / Trustworthy &gt; (Positive), B&amp;H &gt; Satisfaction &gt; (Positive), Trade In &gt; Overall Process &gt; (Positive), Trade In &gt; Quote Price &gt; (Negative), Trade In &gt; Quote Price &gt; (Positive)</t>
  </si>
  <si>
    <t>Tam Cao - Used Trade-In Product</t>
  </si>
  <si>
    <t>Tam Cao</t>
  </si>
  <si>
    <t>mail4tamcao@yahoo.com</t>
  </si>
  <si>
    <t>Trophy Club;Texas;76262</t>
  </si>
  <si>
    <t>25 years 8 months</t>
  </si>
  <si>
    <t>308</t>
  </si>
  <si>
    <t>1141187</t>
  </si>
  <si>
    <t>https://bnh.lightning.force.com/001WP00000lyvaVYAQ</t>
  </si>
  <si>
    <t>Fast and easy transaction.</t>
  </si>
  <si>
    <t>Patrick Chaisson - Used Trade-In Product</t>
  </si>
  <si>
    <t>Patrick Chaisson</t>
  </si>
  <si>
    <t>patchais@aol.com</t>
  </si>
  <si>
    <t>Scotia;New York;12302</t>
  </si>
  <si>
    <t>11 years 2 months</t>
  </si>
  <si>
    <t>134</t>
  </si>
  <si>
    <t>1141739</t>
  </si>
  <si>
    <t>https://bnh.lightning.force.com/0011a00000G69BMAAZ</t>
  </si>
  <si>
    <t>It was so easy to sell my unwanted gear!</t>
  </si>
  <si>
    <t>Returns &gt; Overall Process &gt;</t>
  </si>
  <si>
    <t>Returns &gt; Overall Process &gt; (Positive)</t>
  </si>
  <si>
    <t>William Lukens - Used Trade-In Product</t>
  </si>
  <si>
    <t>William Lukens</t>
  </si>
  <si>
    <t>scottlukens1@me.com</t>
  </si>
  <si>
    <t>Eugene;Oregon;97403</t>
  </si>
  <si>
    <t>1142618</t>
  </si>
  <si>
    <t>https://bnh.lightning.force.com/001WP00000tQdHTYA0</t>
  </si>
  <si>
    <t>Time it took to receive quote
Prepaid postage by BH</t>
  </si>
  <si>
    <t>John Barker - Used Trade-In Product</t>
  </si>
  <si>
    <t>John Barker</t>
  </si>
  <si>
    <t>rek99rab@roadrunner.com</t>
  </si>
  <si>
    <t>Thousand Oaks;California;91360</t>
  </si>
  <si>
    <t>1139776</t>
  </si>
  <si>
    <t>https://bnh.lightning.force.com/0011a00000lR3aRAAS</t>
  </si>
  <si>
    <t>Fast service! Probably a fair price in light of value of 20 yr old photo gear</t>
  </si>
  <si>
    <t>Disappointed in low bids on the fixed FL Nikon lenses, guess that's due to tech changes in photography (replacement of SLR's with mirrorless camera bodies?)</t>
  </si>
  <si>
    <t>Pricing &gt; Value for Money &gt; (Negative), Trade In &gt; Quote Price &gt; (Negative), Used &gt; Pricing &gt; (Negative)</t>
  </si>
  <si>
    <t>Trade In &gt; Overall Process &gt; (Positive), Trade In &gt; Quote Price &gt; (Negative), Trade In &gt; Quote Price &gt; (Positive)</t>
  </si>
  <si>
    <t>Yuki Kim - Used Trade-In Product</t>
  </si>
  <si>
    <t>Yuki Kim</t>
  </si>
  <si>
    <t>yugin@ymail.com</t>
  </si>
  <si>
    <t>Lakewood;California;90715</t>
  </si>
  <si>
    <t>1140020</t>
  </si>
  <si>
    <t>https://bnh.lightning.force.com/0011a00000cNIOqAAO</t>
  </si>
  <si>
    <t>I appreciate that they don’t try to negotiate the price.
Yes, It’s an online quote</t>
  </si>
  <si>
    <t>It takes a week to get the quote, and another week to receive the check, so it takes a total of two weeks. That’s a bit long.</t>
  </si>
  <si>
    <t>Pricing &gt; Value for Money &gt;, Trade In &gt; Overall Process &gt;, Used &gt; Pricing &gt;</t>
  </si>
  <si>
    <t>Pricing &gt; Value for Money &gt; (Positive), Trade In &gt; Overall Process &gt; (Negative), Trade In &gt; Overall Process &gt; (No opinion), Used &gt; Pricing &gt; (Positive)</t>
  </si>
  <si>
    <t>Trade In &gt; Overall Process &gt; (Positive), Trade In &gt; Timeliness of Payment &gt; (Negative), Trade In &gt; Timeliness of Quote &gt; (Negative)</t>
  </si>
  <si>
    <t>Momotazur Rahman - Used Trade-In Product</t>
  </si>
  <si>
    <t>Momotazur Rahman</t>
  </si>
  <si>
    <t>momotazur@gmail.com</t>
  </si>
  <si>
    <t>Barrington;Rhode Island;02806</t>
  </si>
  <si>
    <t>13 years 3 months</t>
  </si>
  <si>
    <t>159</t>
  </si>
  <si>
    <t>1143400</t>
  </si>
  <si>
    <t>https://bnh.lightning.force.com/001WP00000l5dRFYAY</t>
  </si>
  <si>
    <t>They gave me the highest price. I first tried KEH, from whom I bought the lens a few months ago. I then tried our local Hunts photo, and the representative basically told me to check B&amp;H.</t>
  </si>
  <si>
    <t>B&amp;H &gt; Competitor Mentions &gt;, Trade In &gt; Quote Price &gt;</t>
  </si>
  <si>
    <t>B&amp;H &gt; Competitor Mentions &gt; (No opinion), Trade In &gt; Quote Price &gt; (Positive)</t>
  </si>
  <si>
    <t>Carolyn Stables - Used Trade-In Product</t>
  </si>
  <si>
    <t>Carolyn Stables</t>
  </si>
  <si>
    <t>cestables@gmail.com</t>
  </si>
  <si>
    <t>San Diego;California;92128</t>
  </si>
  <si>
    <t>2 years 10 months</t>
  </si>
  <si>
    <t>34</t>
  </si>
  <si>
    <t>1140452</t>
  </si>
  <si>
    <t>https://bnh.lightning.force.com/001Hs00005lhzfiIAA</t>
  </si>
  <si>
    <t>Reasonably fast</t>
  </si>
  <si>
    <t>I thought the camera was worth more, especially because I also included extra batteries and the charger, the value of which was not included. I bought it from B&amp;H only months before and used it for 2 weeks. There's no real way to discuss this with anyone beforehand. I think it's a shame how AI is disrupting the customer experience.</t>
  </si>
  <si>
    <t>Returns &gt; Speed &gt;, Trade In &gt; Overall Process &gt;, Trade In &gt; Quote Price &gt;</t>
  </si>
  <si>
    <t>Returns &gt; Speed &gt; (Positive), Trade In &gt; Overall Process &gt; (Negative), Trade In &gt; Quote Price &gt; (Negative)</t>
  </si>
  <si>
    <t>Constante Limcolioc - Used Trade-In Product</t>
  </si>
  <si>
    <t>Constante Limcolioc</t>
  </si>
  <si>
    <t>constante.limcolioc@gmail.com</t>
  </si>
  <si>
    <t>Union City;California;94587</t>
  </si>
  <si>
    <t>17 years 10 months</t>
  </si>
  <si>
    <t>214</t>
  </si>
  <si>
    <t>1138556</t>
  </si>
  <si>
    <t>https://bnh.lightning.force.com/0018X00003UUw8vQAD</t>
  </si>
  <si>
    <t>Convenience</t>
  </si>
  <si>
    <t>The quote</t>
  </si>
  <si>
    <t>Hassle-free/flawless/easy/straightforward/fast/efficient/streamlined/convenient process</t>
  </si>
  <si>
    <t>Jake Fisher - Used Trade-In Product</t>
  </si>
  <si>
    <t>Jake Fisher</t>
  </si>
  <si>
    <t>jakecfisher@gmail.com</t>
  </si>
  <si>
    <t>Royal Oak;Michigan;48067</t>
  </si>
  <si>
    <t>2 years 1 months</t>
  </si>
  <si>
    <t>25</t>
  </si>
  <si>
    <t>1141530</t>
  </si>
  <si>
    <t>https://bnh.lightning.force.com/0018X00003QBpYPQA1</t>
  </si>
  <si>
    <t>So easy to navigate the website.</t>
  </si>
  <si>
    <t>Really no downside here. Very easy process. 
Of course we all want more money for our gear (haha) but the price is fair as I know it has to be resold at profit.</t>
  </si>
  <si>
    <t>Pricing &gt; Value for Money &gt;, Trade In &gt; Overall Process &gt;, Trade In &gt; Quote Price &gt;, Used &gt; Pricing &gt;, Website &gt; Navigation &gt;</t>
  </si>
  <si>
    <t>Trade In &gt; Overall Process &gt;, Trade In &gt; Quote Price &gt;, Website &gt; Navigation &gt;</t>
  </si>
  <si>
    <t>Pricing &gt; Value for Money &gt; (Positive), Trade In &gt; Overall Process &gt; (Positive), Trade In &gt; Quote Price &gt; (Positive), Used &gt; Pricing &gt; (Positive), Website &gt; Navigation &gt; (Positive)</t>
  </si>
  <si>
    <t>Trade In &gt; Overall Process &gt; (Positive), Trade In &gt; Quote Price &gt; (Positive), Website &gt; Navigation &gt; (Positive)</t>
  </si>
  <si>
    <t>Easy to navigate site</t>
  </si>
  <si>
    <t>Brian Walker - Used Trade-In Product</t>
  </si>
  <si>
    <t>Brian Walker</t>
  </si>
  <si>
    <t>brianswalker@icloud.com</t>
  </si>
  <si>
    <t>Waynesboro;Pennsylvania;17268</t>
  </si>
  <si>
    <t>5 years 5 months</t>
  </si>
  <si>
    <t>65</t>
  </si>
  <si>
    <t>1140556</t>
  </si>
  <si>
    <t>https://bnh.lightning.force.com/0012L000019DY4qQAG</t>
  </si>
  <si>
    <t>Despite being a big business and large presence on the web, every interaction I have with B&amp;H feels personal just knowing that there are people I can contact if I have questions or need shopping advice. I love it!</t>
  </si>
  <si>
    <t>Not enough AI. 
That’s sarcasm. Please don’t push AI into my shopping experience.</t>
  </si>
  <si>
    <t>B&amp;H &gt; Satisfaction &gt;, People &gt; Overall Satisfaction &gt;</t>
  </si>
  <si>
    <t>B&amp;H &gt; Satisfaction &gt; (Positive), People &gt; Overall Satisfaction &gt; (Positive)</t>
  </si>
  <si>
    <t>Michael Halal - Used Trade-In Product</t>
  </si>
  <si>
    <t>Michael Halal</t>
  </si>
  <si>
    <t>boston.nta@gmail.com</t>
  </si>
  <si>
    <t>Ayer;Massachusetts;01432</t>
  </si>
  <si>
    <t>7 years 2 months</t>
  </si>
  <si>
    <t>86</t>
  </si>
  <si>
    <t>1142090</t>
  </si>
  <si>
    <t>https://bnh.lightning.force.com/0018X000039fB3gQAE</t>
  </si>
  <si>
    <t>easy and timely process workflow with excellent support.</t>
  </si>
  <si>
    <t>People &gt; Overall Satisfaction &gt;, Trade In &gt; Overall Process &gt;</t>
  </si>
  <si>
    <t>People &gt; Overall Satisfaction &gt; (Positive), Trade In &gt; Overall Process &gt; (Positive)</t>
  </si>
  <si>
    <t>Aryn Lequire - Used Trade-In Product</t>
  </si>
  <si>
    <t>Aryn Lequire</t>
  </si>
  <si>
    <t>alequirepe@gmail.com</t>
  </si>
  <si>
    <t>Wilmington;North Carolina;28403</t>
  </si>
  <si>
    <t>1136228</t>
  </si>
  <si>
    <t>https://bnh.lightning.force.com/001WP00000pgzdBYAQ</t>
  </si>
  <si>
    <t>Everything was so easy! I'm so glad I was able to sell a camera I wasn't using anymore, the whole transaction was so quick and hassle-free.</t>
  </si>
  <si>
    <t>Used &gt; Description &gt;</t>
  </si>
  <si>
    <t>Used &gt; Description &gt; (Positive)</t>
  </si>
  <si>
    <t>Randy Waterman - Used Trade-In Product</t>
  </si>
  <si>
    <t>Randy Waterman</t>
  </si>
  <si>
    <t>rj.aquaman@gmail.com</t>
  </si>
  <si>
    <t>Prescott Valley;Arizona;86314</t>
  </si>
  <si>
    <t>1141564</t>
  </si>
  <si>
    <t>https://bnh.lightning.force.com/001WP00000sqT3pYAE</t>
  </si>
  <si>
    <t>Ease of use when selling equipment and excellent customer service.</t>
  </si>
  <si>
    <t>People &gt; Overall Satisfaction &gt;</t>
  </si>
  <si>
    <t>Customer Service &gt; Satisfaction &gt;, People &gt; Overall Satisfaction &gt;, Trade In &gt; Overall Process &gt;</t>
  </si>
  <si>
    <t>People &gt; Overall Satisfaction &gt; (Positive)</t>
  </si>
  <si>
    <t>Customer Service &gt; Satisfaction &gt; (Positive), People &gt; Overall Satisfaction &gt; (Positive), Trade In &gt; Overall Process &gt; (Positive)</t>
  </si>
  <si>
    <t>Kyle Higgins - Used Trade-In Product</t>
  </si>
  <si>
    <t>Kyle Higgins</t>
  </si>
  <si>
    <t>kjhlego@gmail.com</t>
  </si>
  <si>
    <t>Orlando;Florida;32819</t>
  </si>
  <si>
    <t>1141954</t>
  </si>
  <si>
    <t>https://bnh.lightning.force.com/001WP00000t3FFsYAM</t>
  </si>
  <si>
    <t>Easy to submit and got what I was promised.</t>
  </si>
  <si>
    <t>Glen Davidson - Used Trade-In Product</t>
  </si>
  <si>
    <t>Glen Davidson</t>
  </si>
  <si>
    <t>drummerg3@yahoo.com</t>
  </si>
  <si>
    <t>Ypsilanti;Michigan;48197</t>
  </si>
  <si>
    <t>8 years 3 months</t>
  </si>
  <si>
    <t>99</t>
  </si>
  <si>
    <t>1131407</t>
  </si>
  <si>
    <t>https://bnh.lightning.force.com/0011a00000lR8Y7AAK</t>
  </si>
  <si>
    <t>Very easy to find product and get a quote. Takes less than 3-4 minutes.</t>
  </si>
  <si>
    <t>Price received for lens was a little lower than expected, especially since it was barely used, like new, and included the aftermarket lens hood. I know you have to make a profit, but at the same time, I think I could’ve gotten at least $25 more.</t>
  </si>
  <si>
    <t>Trade In &gt; Overall Process &gt;, Used &gt; Pricing &gt;</t>
  </si>
  <si>
    <t>Trade In &gt; Overall Process &gt; (Positive), Used &gt; Pricing &gt; (Negative)</t>
  </si>
  <si>
    <t>Trade In &gt; Overall Process &gt; (Positive), Trade In &gt; Quote Price &gt; (Negative), Trade In &gt; Timeliness of Quote &gt; (Positive)</t>
  </si>
  <si>
    <t>Troy Nelson - Used Trade-In Product</t>
  </si>
  <si>
    <t>Troy Nelson</t>
  </si>
  <si>
    <t>troy@aeawave.org</t>
  </si>
  <si>
    <t>Brunswick;Georgia;31520</t>
  </si>
  <si>
    <t>1135630</t>
  </si>
  <si>
    <t>https://bnh.lightning.force.com/001Hs00005n4LC3IAM</t>
  </si>
  <si>
    <t>Had a great experience on the sell of my items</t>
  </si>
  <si>
    <t>Anderson Humphrey - Used Trade-In Product</t>
  </si>
  <si>
    <t>Anderson Humphrey</t>
  </si>
  <si>
    <t>ajthumph@aol.com</t>
  </si>
  <si>
    <t>Dayton;Ohio;45431</t>
  </si>
  <si>
    <t>1138864</t>
  </si>
  <si>
    <t>https://bnh.lightning.force.com/0018X000038DWdoQAG</t>
  </si>
  <si>
    <t>Awesome process and awesome sale associate!</t>
  </si>
  <si>
    <t>Nothing to dislike about B&amp;H</t>
  </si>
  <si>
    <t>B&amp;H &gt; Satisfaction &gt;, People &gt; Overall Satisfaction &gt;, Trade In &gt; Overall Process &gt;</t>
  </si>
  <si>
    <t>B&amp;H &gt; Satisfaction &gt; (Positive), People &gt; Overall Satisfaction &gt; (Positive), Trade In &gt; Overall Process &gt; (Positive)</t>
  </si>
  <si>
    <t>Alan Hinkel - Used Trade-In Product</t>
  </si>
  <si>
    <t>Alan Hinkel</t>
  </si>
  <si>
    <t>alh3833@gmail.com</t>
  </si>
  <si>
    <t>West Bend;Wisconsin;53090</t>
  </si>
  <si>
    <t>14 years 5 months</t>
  </si>
  <si>
    <t>173</t>
  </si>
  <si>
    <t>1140114</t>
  </si>
  <si>
    <t>https://bnh.lightning.force.com/0012L00001H50EbQAJ</t>
  </si>
  <si>
    <t>It was a seamless process.  Excellent communication. Quote was easy to obtain online.  I was very satisfied with the quotes I received.  Shipping was easy using pre-printed labels provided by B&amp;H.  Payment was prompt.  I would not hesitate to do this again.</t>
  </si>
  <si>
    <t>Nothing comes to mind.</t>
  </si>
  <si>
    <t>Trade In &gt; Overall Process &gt;, Trade In &gt; Timeliness of Payment &gt;, Used &gt; Description &gt;</t>
  </si>
  <si>
    <t>Trade In &gt; Overall Process &gt; (Positive), Trade In &gt; Timeliness of Payment &gt; (Positive), Used &gt; Description &gt; (Positive)</t>
  </si>
  <si>
    <t>Fast communication/responsive</t>
  </si>
  <si>
    <t>Mark Turek - Used Trade-In Product</t>
  </si>
  <si>
    <t>Mark Turek</t>
  </si>
  <si>
    <t>mjturek156@gmail.com</t>
  </si>
  <si>
    <t>Meriden;Connecticut;06450</t>
  </si>
  <si>
    <t>4 years 2 months</t>
  </si>
  <si>
    <t>50</t>
  </si>
  <si>
    <t>1139392</t>
  </si>
  <si>
    <t>https://bnh.lightning.force.com/0012L00001JS4YZQA1</t>
  </si>
  <si>
    <t>It was a flawless transaction.</t>
  </si>
  <si>
    <t>Jarred Rensvold - Used Trade-In Product</t>
  </si>
  <si>
    <t>Jarred Rensvold</t>
  </si>
  <si>
    <t>rensvold@gmail.com</t>
  </si>
  <si>
    <t>Spokane;Washington;99201</t>
  </si>
  <si>
    <t>1141200</t>
  </si>
  <si>
    <t>https://bnh.lightning.force.com/001WP00000scvBLYAY</t>
  </si>
  <si>
    <t>The process was fast and easy, and B&amp;H gave a fair price for my gear (as opposed to MBP). I will definitely try to sell to B&amp;H again.</t>
  </si>
  <si>
    <t>I have no dislikes about my experience!</t>
  </si>
  <si>
    <t>Pricing &gt; Value for Money &gt;, Trade In &gt; Overall Process &gt;, Trade In &gt; Quote Price &gt;, Used &gt; Pricing &gt;</t>
  </si>
  <si>
    <t>B&amp;H &gt; Competitor Mentions &gt;, B&amp;H &gt; Loyalty &gt;, B&amp;H &gt; Satisfaction &gt;, Trade In &gt; Overall Process &gt;, Trade In &gt; Quote Price &gt;</t>
  </si>
  <si>
    <t>Pricing &gt; Value for Money &gt; (Positive), Trade In &gt; Overall Process &gt; (Positive), Trade In &gt; Quote Price &gt; (Positive), Used &gt; Pricing &gt; (Positive)</t>
  </si>
  <si>
    <t>B&amp;H &gt; Competitor Mentions &gt; (Positive), B&amp;H &gt; Loyalty &gt; (Positive), B&amp;H &gt; Satisfaction &gt; (Positive), Trade In &gt; Overall Process &gt; (Positive), Trade In &gt; Quote Price &gt; (Positive)</t>
  </si>
  <si>
    <t>James Glass - Used Trade-In Product</t>
  </si>
  <si>
    <t>James Glass</t>
  </si>
  <si>
    <t>jfglass42@bellsouth.net</t>
  </si>
  <si>
    <t>Tybee Island;Georgia;31328</t>
  </si>
  <si>
    <t>18 years 10 months</t>
  </si>
  <si>
    <t>226</t>
  </si>
  <si>
    <t>1128047</t>
  </si>
  <si>
    <t>https://bnh.lightning.force.com/0018X00003TuXN0QAN</t>
  </si>
  <si>
    <t>The generous quote.</t>
  </si>
  <si>
    <t>Time for check to arrive.</t>
  </si>
  <si>
    <t>Trade In &gt; Quote Price &gt; (Positive), Trade In &gt; Timeliness of Payment &gt; (Negative)</t>
  </si>
  <si>
    <t>Donovan Wallace - Used Trade-In Product</t>
  </si>
  <si>
    <t>Donovan Wallace</t>
  </si>
  <si>
    <t>wesbriash@gmail.com</t>
  </si>
  <si>
    <t>Saint Albans;New York;11412</t>
  </si>
  <si>
    <t>1140455</t>
  </si>
  <si>
    <t>https://bnh.lightning.force.com/0011a00000cjUbcAAE</t>
  </si>
  <si>
    <t>Receiving internet price as quoted.</t>
  </si>
  <si>
    <t>Negotiating with B&amp;H representative re price quoted online.</t>
  </si>
  <si>
    <t>Trade In &gt; Quote Price &gt;, Used &gt; Pricing &gt;</t>
  </si>
  <si>
    <t>Trade In &gt; Quote Price &gt;</t>
  </si>
  <si>
    <t>Trade In &gt; Quote Price &gt; (No opinion), Used &gt; Pricing &gt; (No opinion)</t>
  </si>
  <si>
    <t>Trade In &gt; Quote Price &gt; (Negative), Trade In &gt; Quote Price &gt; (Positive)</t>
  </si>
  <si>
    <t>Paul Grankowski - Used Trade-In Product</t>
  </si>
  <si>
    <t>Paul Grankowski</t>
  </si>
  <si>
    <t>pgtrombone@gmail.com</t>
  </si>
  <si>
    <t>Ojai;California;93003</t>
  </si>
  <si>
    <t>Ojai;California;93023</t>
  </si>
  <si>
    <t>5 years 0 months</t>
  </si>
  <si>
    <t>60</t>
  </si>
  <si>
    <t>1138203</t>
  </si>
  <si>
    <t>https://bnh.lightning.force.com/0012L00001BOfmvQAD</t>
  </si>
  <si>
    <t>Streamlined way to sell my unused gear. You have a process and it’s quite clear</t>
  </si>
  <si>
    <t>Wish I could have received more money for the gear.</t>
  </si>
  <si>
    <t>Benito Lemus - Used Trade-In Product</t>
  </si>
  <si>
    <t>Benito Lemus</t>
  </si>
  <si>
    <t>lemusbenito@gmail.com</t>
  </si>
  <si>
    <t>Pasadena;California;91106</t>
  </si>
  <si>
    <t>1 years 4 months</t>
  </si>
  <si>
    <t>16</t>
  </si>
  <si>
    <t>1137636</t>
  </si>
  <si>
    <t>https://bnh.lightning.force.com/0018X00003URCKBQA5</t>
  </si>
  <si>
    <t>Easy to get a quote and fast payment.</t>
  </si>
  <si>
    <t>Trade In &gt; Overall Process &gt; (Positive), Trade In &gt; Timeliness of Payment &gt; (Positive), Trade In &gt; Timeliness of Quote &gt; (Positive)</t>
  </si>
  <si>
    <t>James Bur - Used Trade-In Product</t>
  </si>
  <si>
    <t>James Bur</t>
  </si>
  <si>
    <t>northstar4001@gmail.com</t>
  </si>
  <si>
    <t>Levering;Michigan;49755</t>
  </si>
  <si>
    <t>2 years 2 months</t>
  </si>
  <si>
    <t>26</t>
  </si>
  <si>
    <t>1141160</t>
  </si>
  <si>
    <t>https://bnh.lightning.force.com/0018X00003PZJEGQA5</t>
  </si>
  <si>
    <t>I liked how easy it was to do a trade-in.</t>
  </si>
  <si>
    <t>Nothing really.</t>
  </si>
  <si>
    <t>Bob Brusky - Used Trade-In Product</t>
  </si>
  <si>
    <t>Bob Brusky</t>
  </si>
  <si>
    <t>rmbrusky@gmail.com</t>
  </si>
  <si>
    <t>Milwaukee;Wisconsin;53217</t>
  </si>
  <si>
    <t>6 years 3 months</t>
  </si>
  <si>
    <t>75</t>
  </si>
  <si>
    <t>1140051</t>
  </si>
  <si>
    <t>https://bnh.lightning.force.com/001WP00000rujpTYAQ</t>
  </si>
  <si>
    <t>Transaction ease</t>
  </si>
  <si>
    <t>Laura Scattergood - Used Trade-In Product</t>
  </si>
  <si>
    <t>Laura Scattergood</t>
  </si>
  <si>
    <t>lscattergood851@gmail.com</t>
  </si>
  <si>
    <t>Chattanooga;Tennessee;37405</t>
  </si>
  <si>
    <t>1140749</t>
  </si>
  <si>
    <t>https://bnh.lightning.force.com/001WP00000sJ6yxYAC</t>
  </si>
  <si>
    <t>You guys are total professionals.  You know what you are doing.  Your system is fair and efficient.</t>
  </si>
  <si>
    <t>Professional, experienced staff (trust signal)</t>
  </si>
  <si>
    <t>Kenneth Imler - Used Trade-In Product</t>
  </si>
  <si>
    <t>Kenneth Imler</t>
  </si>
  <si>
    <t>imler1ken@gmail.com</t>
  </si>
  <si>
    <t>Highlands Ranch;Colorado;80126</t>
  </si>
  <si>
    <t>1139794</t>
  </si>
  <si>
    <t>https://bnh.lightning.force.com/0011a00000WcWVHAA3</t>
  </si>
  <si>
    <t>fast and efficient</t>
  </si>
  <si>
    <t>Don Harlan - Used Trade-In Product</t>
  </si>
  <si>
    <t>Don Harlan</t>
  </si>
  <si>
    <t>dmharlan@charter.net</t>
  </si>
  <si>
    <t>Greer;South Carolina;29650</t>
  </si>
  <si>
    <t>5 years 11 months</t>
  </si>
  <si>
    <t>71</t>
  </si>
  <si>
    <t>1140366</t>
  </si>
  <si>
    <t>https://bnh.lightning.force.com/0012L000014JElkQAG</t>
  </si>
  <si>
    <t>Grat Easy process gret price,</t>
  </si>
  <si>
    <t>Trade In &gt; Overall Process &gt; (Positive), Used &gt; Pricing &gt; (Positive)</t>
  </si>
  <si>
    <t>Braden Boss - Used Trade-In Product</t>
  </si>
  <si>
    <t>Braden Boss</t>
  </si>
  <si>
    <t>bradenboss@alpinedistrict.org</t>
  </si>
  <si>
    <t>American Fork;Utah;84003</t>
  </si>
  <si>
    <t>1140306</t>
  </si>
  <si>
    <t>https://bnh.lightning.force.com/0011a00000rzyf1AAA</t>
  </si>
  <si>
    <t>Emily Schreier,Avraham Schwartz,Reina Caba</t>
  </si>
  <si>
    <t>I always love working with B&amp;H. Great prices. Great customer service, and the trade in experience was good.</t>
  </si>
  <si>
    <t>I feel like this is maybe my own fault, but at the same time very little information was provided. So I opted for a eGift Card instead of trade in credit, thinking I could use the EGC for an online transaction. Since I'm purchasing for a tax exempt organization, I couldn't use the EGC, which was a really big problem. I'm still trying to get things worked out, so we'll see how it all ends (fingers crossed). It would be extremely helpful to have more information about the payout options and how they can and can't be spent.</t>
  </si>
  <si>
    <t>Payment &gt; Tax Issues &gt;, People &gt; Overall Satisfaction &gt;, Pricing &gt; Value for Money &gt;, Used &gt; Description &gt;, Used &gt; Pricing &gt;, Website &gt; User Error &gt;</t>
  </si>
  <si>
    <t>B&amp;H &gt; Satisfaction &gt;, Payment &gt; Online &gt;, Payment &gt; Tax Issues &gt;, People &gt; Overall Satisfaction &gt;, Pricing &gt; Value for Money &gt;, Trade In &gt; Overall Process &gt;</t>
  </si>
  <si>
    <t>Payment &gt; Tax Issues &gt; (Negative), People &gt; Overall Satisfaction &gt; (Positive), Pricing &gt; Value for Money &gt; (Strongly positive), Used &gt; Description &gt; (Negative), Used &gt; Description &gt; (No opinion), Used &gt; Pricing &gt; (Strongly positive), Website &gt; User Error &gt; (Negative)</t>
  </si>
  <si>
    <t>B&amp;H &gt; Satisfaction &gt; (Positive), Payment &gt; Online &gt; (Negative), Payment &gt; Tax Issues &gt; (Negative), People &gt; Overall Satisfaction &gt; (Positive), Pricing &gt; Value for Money &gt; (Positive), Trade In &gt; Overall Process &gt; (Negative), Trade In &gt; Overall Process &gt; (Positive)</t>
  </si>
  <si>
    <t>Unclear of differences between trade-in credit and check (in general, different payout methods)</t>
  </si>
  <si>
    <t>Joseph Salerno - Used Trade-In Product</t>
  </si>
  <si>
    <t>Joseph Salerno</t>
  </si>
  <si>
    <t>jsalerno62@gmail.com</t>
  </si>
  <si>
    <t>Wytheville;Virginia;24382</t>
  </si>
  <si>
    <t>1141032</t>
  </si>
  <si>
    <t>https://bnh.lightning.force.com/0011a00000WHtaVAAT</t>
  </si>
  <si>
    <t>the honesty of the tech</t>
  </si>
  <si>
    <t>that my equipment outlived its worth</t>
  </si>
  <si>
    <t>Eric Weber - Used Trade-In Product</t>
  </si>
  <si>
    <t>Eric Weber</t>
  </si>
  <si>
    <t>ericweber1973@gmail.com</t>
  </si>
  <si>
    <t>Woodbury;New York;11797</t>
  </si>
  <si>
    <t>25 years 11 months</t>
  </si>
  <si>
    <t>311</t>
  </si>
  <si>
    <t>1141933</t>
  </si>
  <si>
    <t>https://bnh.lightning.force.com/0018X00003TueIFQAZ</t>
  </si>
  <si>
    <t>Very easy process, fair pricing</t>
  </si>
  <si>
    <t>not applicable</t>
  </si>
  <si>
    <t>Crystal Means - Used Trade-In Product</t>
  </si>
  <si>
    <t>Crystal Means</t>
  </si>
  <si>
    <t>gracephotographyva@gmail.com</t>
  </si>
  <si>
    <t>Winchester;Virginia;22602</t>
  </si>
  <si>
    <t>1142685</t>
  </si>
  <si>
    <t>https://bnh.lightning.force.com/0011a00000adfYbAAI</t>
  </si>
  <si>
    <t>Ease of acquiring the quote from beginning to end; quick turnaround.</t>
  </si>
  <si>
    <t>While I'm aware I was likely informed in the small print, I missed the detail that the trade in credit could not be used online until I received the email stating what my credit was and how to use it from there. I've requested change in how I receive the credit and am hopeful I can change it, but it did come as kind of a shock upon reading the email given I was planning to make the next purchase from it relatively quick to have in time for upcoming sessions.</t>
  </si>
  <si>
    <t>Trade In &gt; Overall Process &gt;, Used &gt; Description &gt;</t>
  </si>
  <si>
    <t>Trade In &gt; Overall Process &gt; (Positive), Used &gt; Description &gt; (Negative)</t>
  </si>
  <si>
    <t>Trade In &gt; Overall Process &gt; (Negative), Trade In &gt; Overall Process &gt; (Positive), Trade In &gt; Timeliness of Payment &gt; (Negative), Trade In &gt; Timeliness of Quote &gt; (Positive)</t>
  </si>
  <si>
    <t>Wants to use trade-in store credit online (instead of having to call in)</t>
  </si>
  <si>
    <t>Rhonda Carty - Used Trade-In Product</t>
  </si>
  <si>
    <t>Rhonda Carty</t>
  </si>
  <si>
    <t>rhondawcarty@gmail.com</t>
  </si>
  <si>
    <t>6 years 8 months</t>
  </si>
  <si>
    <t>80</t>
  </si>
  <si>
    <t>1138464</t>
  </si>
  <si>
    <t>https://bnh.lightning.force.com/0012L0000101CIHQA2</t>
  </si>
  <si>
    <t>The cost of shipping is paid for.</t>
  </si>
  <si>
    <t>Pricing &gt; Delivery Fees &gt;</t>
  </si>
  <si>
    <t>Pricing &gt; Delivery Fees &gt;, Trade In &gt; Overall Process &gt;</t>
  </si>
  <si>
    <t>Pricing &gt; Delivery Fees &gt; (No opinion)</t>
  </si>
  <si>
    <t>Pricing &gt; Delivery Fees &gt; (Positive), Trade In &gt; Overall Process &gt; (Positive)</t>
  </si>
  <si>
    <t>Jimmy Toner - Used Trade-In Product</t>
  </si>
  <si>
    <t>Jimmy Toner</t>
  </si>
  <si>
    <t>jttoner@gmail.com</t>
  </si>
  <si>
    <t>North Dartmouth;Massachusetts;02747</t>
  </si>
  <si>
    <t>1137221</t>
  </si>
  <si>
    <t>https://bnh.lightning.force.com/0011a00000YoETuAAN</t>
  </si>
  <si>
    <t>Got quote, shipped lens to store and received money quickly</t>
  </si>
  <si>
    <t>n</t>
  </si>
  <si>
    <t>Wynn Pickelsimer - Used Trade-In Product</t>
  </si>
  <si>
    <t>Wynn Pickelsimer</t>
  </si>
  <si>
    <t>wpickel@cfl.rr.com</t>
  </si>
  <si>
    <t>Casselberry;Florida;32707</t>
  </si>
  <si>
    <t>16 years 2 months</t>
  </si>
  <si>
    <t>194</t>
  </si>
  <si>
    <t>1139611</t>
  </si>
  <si>
    <t>https://bnh.lightning.force.com/001WP00000qxqJMYAY</t>
  </si>
  <si>
    <t>The service reps were very helpful. They explained the difference between my final payment and the original quote to my satisfaction. I have been dealing with B&amp;H Photo for many, many years. The equipment is fairly priced and arrives quickly. I highly recommend B&amp;H Photo!</t>
  </si>
  <si>
    <t>Nothing. Very satisfied.</t>
  </si>
  <si>
    <t>People &gt; Helpful / Efficient &gt;, Trade In &gt; Overall Process &gt;, Used &gt; Pricing &gt;, Warehouse Fulfillment &gt; Timeliness &gt;</t>
  </si>
  <si>
    <t>B&amp;H &gt; Loyalty &gt;, B&amp;H &gt; Recommended &gt;, B&amp;H &gt; Satisfaction &gt;, People &gt; Helpful / Efficient &gt;, People &gt; Knowledge / Recommend &gt;, People &gt; Overall Satisfaction &gt;, Pricing &gt; Value for Money &gt;, Trade In &gt; Overall Process &gt;, Traffic &gt; Timeliness &gt;, Warehouse Fulfillment &gt; Timeliness &gt;</t>
  </si>
  <si>
    <t>People &gt; Helpful / Efficient &gt; (Strongly positive), Trade In &gt; Overall Process &gt; (Positive), Used &gt; Pricing &gt; (Positive), Warehouse Fulfillment &gt; Timeliness &gt; (Positive)</t>
  </si>
  <si>
    <t>B&amp;H &gt; Loyalty &gt; (Positive), B&amp;H &gt; Recommended &gt; (Positive), B&amp;H &gt; Satisfaction &gt; (Positive), People &gt; Helpful / Efficient &gt; (Positive), People &gt; Knowledge / Recommend &gt; (Positive), People &gt; Overall Satisfaction &gt; (Positive), Pricing &gt; Value for Money &gt; (Positive), Trade In &gt; Overall Process &gt; (Positive), Traffic &gt; Timeliness &gt; (Positive), Warehouse Fulfillment &gt; Timeliness &gt; (Positive)</t>
  </si>
  <si>
    <t>Joshua Lee - Used Trade-In Product</t>
  </si>
  <si>
    <t>Joshua Lee</t>
  </si>
  <si>
    <t>joshjinlee12@gmail.com</t>
  </si>
  <si>
    <t>Placentia;California;92870</t>
  </si>
  <si>
    <t>1136888</t>
  </si>
  <si>
    <t>https://bnh.lightning.force.com/001WP00000q0dVTYAY</t>
  </si>
  <si>
    <t>The experience as smooth, effortless, and I did not have to do more than I needed and received a more than fair price for my used gear. Always will buy and sell from B&amp;H. Thank you!</t>
  </si>
  <si>
    <t>B&amp;H &gt; Reliable / Trustworthy &gt; (Positive), B&amp;H &gt; Satisfaction &gt; (Positive), Trade In &gt; Overall Process &gt; (Positive), Trade In &gt; Quote Price &gt; (Positive)</t>
  </si>
  <si>
    <t>Kelly Lem - Used Trade-In Product</t>
  </si>
  <si>
    <t>Kelly Lem</t>
  </si>
  <si>
    <t>kblem23@gmail.com</t>
  </si>
  <si>
    <t>Redwood City;California;94065</t>
  </si>
  <si>
    <t>17 years 6 months</t>
  </si>
  <si>
    <t>210</t>
  </si>
  <si>
    <t>1137556</t>
  </si>
  <si>
    <t>https://bnh.lightning.force.com/0011a00000WHvYCAA1</t>
  </si>
  <si>
    <t>I've done this a half dozen times and it's always gone smoothly.  Never a hiccup or problem.</t>
  </si>
  <si>
    <t>Not really a dislike, but getting more money back for the item would always be nice.</t>
  </si>
  <si>
    <t>Hung-Chieh Kuo - Used Trade-In Product</t>
  </si>
  <si>
    <t>Hung-Chieh Kuo</t>
  </si>
  <si>
    <t>kenny0930@hotmail.com</t>
  </si>
  <si>
    <t>Durham;North Carolina;27713</t>
  </si>
  <si>
    <t>1138466</t>
  </si>
  <si>
    <t>https://bnh.lightning.force.com/0012L00000xNnViQAK</t>
  </si>
  <si>
    <t>Instant quote.</t>
  </si>
  <si>
    <t>There is no direct deposit option.</t>
  </si>
  <si>
    <t>Trade In &gt; Overall Process &gt; (Negative), Trade In &gt; Timeliness of Quote &gt; (Positive)</t>
  </si>
  <si>
    <t>Amanda Barry - Used Trade-In Product</t>
  </si>
  <si>
    <t>Amanda Barry</t>
  </si>
  <si>
    <t>alulustiles@yahoo.com</t>
  </si>
  <si>
    <t>Del Mar;California;92014</t>
  </si>
  <si>
    <t>1136635</t>
  </si>
  <si>
    <t>https://bnh.lightning.force.com/0012L00001BOVAFQA5</t>
  </si>
  <si>
    <t>It is a very easy experience. I don’t have to worry about haggling when you receive my item.</t>
  </si>
  <si>
    <t>I wish you paid more used gear.</t>
  </si>
  <si>
    <t>Austin Corbett - Used Trade-In Product</t>
  </si>
  <si>
    <t>Austin Corbett</t>
  </si>
  <si>
    <t>austin@pointtopointphoto.com</t>
  </si>
  <si>
    <t>Flagstaff;Arizona;86001</t>
  </si>
  <si>
    <t>11 months</t>
  </si>
  <si>
    <t>11</t>
  </si>
  <si>
    <t>1138780</t>
  </si>
  <si>
    <t>https://bnh.lightning.force.com/001WP00000r3xOZYAY</t>
  </si>
  <si>
    <t>Easy to use and got my payment quickly!</t>
  </si>
  <si>
    <t>Nothing, B&amp;H is the best!</t>
  </si>
  <si>
    <t>Peter Szpakowski - Used Trade-In Product</t>
  </si>
  <si>
    <t>Peter Szpakowski</t>
  </si>
  <si>
    <t>pjs211971@gmail.com</t>
  </si>
  <si>
    <t>Haslet;Texas;76052</t>
  </si>
  <si>
    <t>17 years 1 months</t>
  </si>
  <si>
    <t>205</t>
  </si>
  <si>
    <t>1136589</t>
  </si>
  <si>
    <t>https://bnh.lightning.force.com/0018X00003PEB2pQAH</t>
  </si>
  <si>
    <t>Took a little while but I understand you are busy. The process was smooth and did not have to do any extra work.</t>
  </si>
  <si>
    <t>Took a while to get a check.</t>
  </si>
  <si>
    <t>Kory Kleinsasser - Used Trade-In Product</t>
  </si>
  <si>
    <t>Kory Kleinsasser</t>
  </si>
  <si>
    <t>kory@waiteparkchurch.org</t>
  </si>
  <si>
    <t>Minneapolis;Minnesota;55418</t>
  </si>
  <si>
    <t>11 years 6 months</t>
  </si>
  <si>
    <t>138</t>
  </si>
  <si>
    <t>1139058</t>
  </si>
  <si>
    <t>https://bnh.lightning.force.com/001WP00000oxmqJYAQ</t>
  </si>
  <si>
    <t>I was pleasantly surprised at how quick getting a quote was, and then I honestly expected to get less for my equipment than the original quote since I didn't have all of the accessories with it. Just a good experience all around.</t>
  </si>
  <si>
    <t>There was one piece of equipment that I was not able to sell on B&amp;H, but I can't say I'm too disappointed. It makes sense that B&amp;H would only buy what they felt they could sell.</t>
  </si>
  <si>
    <t>B&amp;H &gt; Satisfaction &gt; (Positive), Trade In &gt; Overall Process &gt; (Negative), Trade In &gt; Timeliness of Quote &gt; (Negative)</t>
  </si>
  <si>
    <t>Trade In &gt; Overall Process &gt; (Negative), Trade In &gt; Overall Process &gt; (Positive), Trade In &gt; Quote Price &gt; (Positive), Trade In &gt; Timeliness of Quote &gt; (Positive)</t>
  </si>
  <si>
    <t>Howard Williams - Used Trade-In Product</t>
  </si>
  <si>
    <t>Howard Williams</t>
  </si>
  <si>
    <t>speed98@goeaston.net</t>
  </si>
  <si>
    <t>Easton;Maryland;21601</t>
  </si>
  <si>
    <t>1140425</t>
  </si>
  <si>
    <t>https://bnh.lightning.force.com/0012L00001EUY8VQAX</t>
  </si>
  <si>
    <t>Customer  service</t>
  </si>
  <si>
    <t>Erika Maru - Used Trade-In Product</t>
  </si>
  <si>
    <t>Erika Maru</t>
  </si>
  <si>
    <t>emaru1990@mail.com</t>
  </si>
  <si>
    <t>Pasadena;California;91101</t>
  </si>
  <si>
    <t>1 years 8 months</t>
  </si>
  <si>
    <t>20</t>
  </si>
  <si>
    <t>1139230</t>
  </si>
  <si>
    <t>https://bnh.lightning.force.com/001WP00000qWykqYAC</t>
  </si>
  <si>
    <t>Andrea Garcia,Avraham Schwartz,Reina Caba</t>
  </si>
  <si>
    <t>The fact that they will buy your used equipment.</t>
  </si>
  <si>
    <t>The price quoted for my camera was below satisfaction, since it was still like new and cost over $200. I feel I got less for what I originally paid for the camera, but I was satisfied to finally sell it since I wasn’t using it.</t>
  </si>
  <si>
    <t>Trade In &gt; Quote Price &gt;, Used &gt; Description &gt;, Used &gt; Pricing &gt;</t>
  </si>
  <si>
    <t>Trade In &gt; Quote Price &gt; (Negative), Used &gt; Description &gt; (Positive), Used &gt; Pricing &gt; (Negative)</t>
  </si>
  <si>
    <t>Cheri Myers - Used Trade-In Product</t>
  </si>
  <si>
    <t>Cheri Myers</t>
  </si>
  <si>
    <t>cherimyers3@gmail.com</t>
  </si>
  <si>
    <t>South Lyon;Michigan;48178</t>
  </si>
  <si>
    <t>1137821</t>
  </si>
  <si>
    <t>https://bnh.lightning.force.com/001WP00000qayTTYAY</t>
  </si>
  <si>
    <t>Was an easy experience and I appreciated the fact I received the amount I was quoted.  I half expected (and would have declined) a lesser quote once the items were evaluated.  Thank you!</t>
  </si>
  <si>
    <t>Pricing &gt; Value for Money &gt;, Trade In &gt; Overall Process &gt;</t>
  </si>
  <si>
    <t>Pricing &gt; Value for Money &gt; (Negative), Trade In &gt; Overall Process &gt; (Negative), Trade In &gt; Overall Process &gt; (Positive)</t>
  </si>
  <si>
    <t>Trade In &gt; Quote Price &gt; (Positive)</t>
  </si>
  <si>
    <t>Jetson Andres - Used Trade-In Product</t>
  </si>
  <si>
    <t>Jetson Andres</t>
  </si>
  <si>
    <t>jetsonandres@gmail.com</t>
  </si>
  <si>
    <t>Fresno;California;93727</t>
  </si>
  <si>
    <t>10 years 1 months</t>
  </si>
  <si>
    <t>121</t>
  </si>
  <si>
    <t>1137778</t>
  </si>
  <si>
    <t>https://bnh.lightning.force.com/0011a00000JKDCIAA5</t>
  </si>
  <si>
    <t>Ease of use</t>
  </si>
  <si>
    <t>Maybe higher quote</t>
  </si>
  <si>
    <t>Trade In &gt; Overall Process &gt; (Negative), Trade In &gt; Quote Price &gt; (Negative)</t>
  </si>
  <si>
    <t>James Pan - Used Trade-In Product</t>
  </si>
  <si>
    <t>James Pan</t>
  </si>
  <si>
    <t>james155156@hotmail.com</t>
  </si>
  <si>
    <t>Flushing;New York;11354</t>
  </si>
  <si>
    <t>1142774</t>
  </si>
  <si>
    <t>https://bnh.lightning.force.com/001WP00000tXmucYAC</t>
  </si>
  <si>
    <t>Good nice any quick pay</t>
  </si>
  <si>
    <t>Just not easy to find the store.</t>
  </si>
  <si>
    <t>Trade In &gt; Timeliness of Payment &gt;</t>
  </si>
  <si>
    <t>Store &gt; Signage &gt;, Trade In &gt; Overall Process &gt;, Trade In &gt; Timeliness of Payment &gt;</t>
  </si>
  <si>
    <t>Trade In &gt; Timeliness of Payment &gt; (Positive)</t>
  </si>
  <si>
    <t>Store &gt; Signage &gt; (Negative), Trade In &gt; Overall Process &gt; (Positive), Trade In &gt; Timeliness of Payment &gt; (Positive)</t>
  </si>
  <si>
    <t>Amanda Pfannenstiel - Used Trade-In Product</t>
  </si>
  <si>
    <t>Amanda Pfannenstiel</t>
  </si>
  <si>
    <t>leaonna85@gmail.com</t>
  </si>
  <si>
    <t>Aberdeen;South Dakota;57401</t>
  </si>
  <si>
    <t>2 years 4 months</t>
  </si>
  <si>
    <t>28</t>
  </si>
  <si>
    <t>1140246</t>
  </si>
  <si>
    <t>https://bnh.lightning.force.com/001Hs00005pRrbTIAS</t>
  </si>
  <si>
    <t>The ease of getting a quote online.</t>
  </si>
  <si>
    <t>Having to purchase a label on my own to be able to send my items fully insured instead of using the free label provided.</t>
  </si>
  <si>
    <t>Trade In &gt; Overall Process &gt; (No opinion), Used &gt; Description &gt; (Negative)</t>
  </si>
  <si>
    <t>Pricing &gt; Delivery Fees &gt; (Negative), Trade In &gt; Overall Process &gt; (Positive)</t>
  </si>
  <si>
    <t>Had to pay for shipping to get insurance</t>
  </si>
  <si>
    <t>Donald Gilbert - Used Trade-In Product</t>
  </si>
  <si>
    <t>Donald Gilbert</t>
  </si>
  <si>
    <t>donnybg47@gmail.com</t>
  </si>
  <si>
    <t>Maple Heights;Ohio;44137</t>
  </si>
  <si>
    <t>10 years 6 months</t>
  </si>
  <si>
    <t>126</t>
  </si>
  <si>
    <t>1139650</t>
  </si>
  <si>
    <t>https://bnh.lightning.force.com/001Hs00005W1kjuIAB</t>
  </si>
  <si>
    <t>Easy to make a purchase with the BH credit card and nice savings on price. Products that were used that I received looked and worked close brand new.</t>
  </si>
  <si>
    <t>elapsed time to evaluate my trade in products.</t>
  </si>
  <si>
    <t>B&amp;H &gt; Satisfaction &gt;, Pricing &gt; Value for Money &gt;, Trade In &gt; Overall Process &gt;, Used &gt; Pricing &gt;</t>
  </si>
  <si>
    <t>B&amp;H &gt; Satisfaction &gt;, Trade In &gt; Overall Process &gt;, Trade In &gt; Timeliness of Quote &gt;, Used &gt; Pricing &gt;, Used &gt; Product Quality &gt;</t>
  </si>
  <si>
    <t>B&amp;H &gt; Satisfaction &gt; (Positive), Pricing &gt; Value for Money &gt; (Positive), Trade In &gt; Overall Process &gt; (Positive), Used &gt; Pricing &gt; (Positive)</t>
  </si>
  <si>
    <t>B&amp;H &gt; Satisfaction &gt; (Positive), Trade In &gt; Overall Process &gt; (Positive), Trade In &gt; Timeliness of Quote &gt; (Negative), Used &gt; Pricing &gt; (Positive), Used &gt; Product Quality &gt; (Positive)</t>
  </si>
  <si>
    <t>Likes trade-in benefts</t>
  </si>
  <si>
    <t>Duane Swank - Used Trade-In Product</t>
  </si>
  <si>
    <t>Duane Swank</t>
  </si>
  <si>
    <t>duanpol@aol.com</t>
  </si>
  <si>
    <t>Milwaukee;Wisconsin;53224</t>
  </si>
  <si>
    <t>2 years 7 months</t>
  </si>
  <si>
    <t>31</t>
  </si>
  <si>
    <t>1137987</t>
  </si>
  <si>
    <t>https://bnh.lightning.force.com/001WP00000qgkkBYAQ</t>
  </si>
  <si>
    <t>Fair price, relatively fast process</t>
  </si>
  <si>
    <t>Anthony Stone - Used Trade-In Product</t>
  </si>
  <si>
    <t>Anthony Stone</t>
  </si>
  <si>
    <t>amstonephoto@gmail.com</t>
  </si>
  <si>
    <t>1136386</t>
  </si>
  <si>
    <t>https://bnh.lightning.force.com/0011a00000j4RKVAA2</t>
  </si>
  <si>
    <t>Thank you for the accurate information and good communication about my items since I was helping a friend sell items from an estate.</t>
  </si>
  <si>
    <t>I wish there was a little more value given for the hard camera case.</t>
  </si>
  <si>
    <t>Used &gt; Description &gt;, Used &gt; Product Quality &gt;</t>
  </si>
  <si>
    <t>People &gt; Communication Skills &gt;, Trade In &gt; Quote Price &gt;, Used &gt; Description &gt;, Used &gt; Product Quality &gt;</t>
  </si>
  <si>
    <t>Used &gt; Description &gt; (Positive), Used &gt; Product Quality &gt; (Positive)</t>
  </si>
  <si>
    <t>People &gt; Communication Skills &gt; (Positive), Trade In &gt; Quote Price &gt; (Negative), Used &gt; Description &gt; (Positive), Used &gt; Product Quality &gt; (Positive)</t>
  </si>
  <si>
    <t>Matt Blue - Used Trade-In Product</t>
  </si>
  <si>
    <t>Matt Blue</t>
  </si>
  <si>
    <t>mrbmd2015@gmail.com</t>
  </si>
  <si>
    <t>Olathe;Kansas;66062</t>
  </si>
  <si>
    <t>7 months</t>
  </si>
  <si>
    <t>7</t>
  </si>
  <si>
    <t>1138731</t>
  </si>
  <si>
    <t>https://bnh.lightning.force.com/001Hs00005VK0e1IAD</t>
  </si>
  <si>
    <t>overall good experiance</t>
  </si>
  <si>
    <t>Kathy Balzer - Used Trade-In Product</t>
  </si>
  <si>
    <t>Kathy Balzer</t>
  </si>
  <si>
    <t>kbalzer@centurylink.net</t>
  </si>
  <si>
    <t>Jonesborough;Tennessee;37659</t>
  </si>
  <si>
    <t>1139458</t>
  </si>
  <si>
    <t>https://bnh.lightning.force.com/001WP00000rRQXlYAO</t>
  </si>
  <si>
    <t>The ease of use of the website, filling out the form and printing the shipping label.</t>
  </si>
  <si>
    <t>Nothing. Everything went smoothly. Couldn’t  have asked for anything to go any better!</t>
  </si>
  <si>
    <t>Website &gt; Overall Satisfaction &gt;</t>
  </si>
  <si>
    <t>Returns &gt; Ease &gt;, Returns &gt; Overall Process &gt;, Website &gt; Returns Self Service &gt;</t>
  </si>
  <si>
    <t>Website &gt; Overall Satisfaction &gt; (No opinion)</t>
  </si>
  <si>
    <t>Returns &gt; Ease &gt; (Positive), Returns &gt; Overall Process &gt; (Positive), Website &gt; Returns Self Service &gt; (Positive)</t>
  </si>
  <si>
    <t>John Wesley C O Gestautas - Used Trade-In Product</t>
  </si>
  <si>
    <t>John Wesley C O Gestautas</t>
  </si>
  <si>
    <t>jwwensley@gmail.com</t>
  </si>
  <si>
    <t>Chicago;Illinois;60616</t>
  </si>
  <si>
    <t>18 years 9 months</t>
  </si>
  <si>
    <t>225</t>
  </si>
  <si>
    <t>1141525</t>
  </si>
  <si>
    <t>https://bnh.lightning.force.com/001WP00000splqeYAA</t>
  </si>
  <si>
    <t>They called me.</t>
  </si>
  <si>
    <t>People &gt; Follow Up &gt;</t>
  </si>
  <si>
    <t>People &gt; Follow Up &gt; (Positive)</t>
  </si>
  <si>
    <t>Andrew Scotella - Used Trade-In Product</t>
  </si>
  <si>
    <t>Andrew Scotella</t>
  </si>
  <si>
    <t>theartisticaperture@gmail.com</t>
  </si>
  <si>
    <t>Westbrook;Connecticut;06498</t>
  </si>
  <si>
    <t>1141940</t>
  </si>
  <si>
    <t>https://bnh.lightning.force.com/0018X00003IO0AaQAL</t>
  </si>
  <si>
    <t>Quick easy process! And fair prices for quotes!</t>
  </si>
  <si>
    <t>No complaints!</t>
  </si>
  <si>
    <t>Benjamin Furbeck - Used Trade-In Product</t>
  </si>
  <si>
    <t>Benjamin Furbeck</t>
  </si>
  <si>
    <t>benmfurbeck@gmail.com</t>
  </si>
  <si>
    <t>Schenectady;New York;12304</t>
  </si>
  <si>
    <t>1141433</t>
  </si>
  <si>
    <t>https://bnh.lightning.force.com/0011a00000Y3pFQAAZ</t>
  </si>
  <si>
    <t>I liked how quick and responsive the whole process was! Everything was explained very thoroughly and in a timely manner. I will definitely use this service again in the future!!</t>
  </si>
  <si>
    <t>I enjoyed every part of the experience</t>
  </si>
  <si>
    <t>Trade In &gt; Overall Process &gt; (Positive), Used &gt; Description &gt; (Positive)</t>
  </si>
  <si>
    <t>Patrick Murphy - Used Trade-In Product</t>
  </si>
  <si>
    <t>Patrick Murphy</t>
  </si>
  <si>
    <t>mail@murphypatrick.com</t>
  </si>
  <si>
    <t>24 years 7 months</t>
  </si>
  <si>
    <t>295</t>
  </si>
  <si>
    <t>1137801</t>
  </si>
  <si>
    <t>https://bnh.lightning.force.com/0018X000039fXkPQAU</t>
  </si>
  <si>
    <t>Nick Badame,Avraham Schwartz,Reina Caba</t>
  </si>
  <si>
    <t>I would have received more at another online photo reseller. I did not find out about them until after B&amp;H, so next time I will check with them first.</t>
  </si>
  <si>
    <t>Trade In &gt; Quote Price &gt; (Negative)</t>
  </si>
  <si>
    <t>Mikel Leyva - Used Trade-In Product</t>
  </si>
  <si>
    <t>Mikel Leyva</t>
  </si>
  <si>
    <t>productions@kinstudios.tv</t>
  </si>
  <si>
    <t>10 years 3 months</t>
  </si>
  <si>
    <t>123</t>
  </si>
  <si>
    <t>1139765</t>
  </si>
  <si>
    <t>https://bnh.lightning.force.com/0012L000014K4TLQA0</t>
  </si>
  <si>
    <t>Overall, I like how smooth every transaction is with B&amp;H. You guys provide great service, have amazing stock of just about everything one can need—and dealing with your teams is a good experience.</t>
  </si>
  <si>
    <t>B&amp;H &gt; Satisfaction &gt;, People &gt; Overall Satisfaction &gt;, Product &gt; Selection / Variety &gt;</t>
  </si>
  <si>
    <t>B&amp;H &gt; Satisfaction &gt; (Positive), People &gt; Overall Satisfaction &gt; (Positive), Product &gt; Selection / Variety &gt; (Positive)</t>
  </si>
  <si>
    <t>Tonya Head - Used Trade-In Product</t>
  </si>
  <si>
    <t>Tonya Head</t>
  </si>
  <si>
    <t>tonyahead@yahoo.com</t>
  </si>
  <si>
    <t>Lexington;Kentucky;40502</t>
  </si>
  <si>
    <t>1138327</t>
  </si>
  <si>
    <t>https://bnh.lightning.force.com/0011a00000gwV2zAAE</t>
  </si>
  <si>
    <t>I have sold equipment to B&amp;H prior to this and was equally impressed with the service.  I also buy equipment from you and the service is always top-notch.  I love your store!
Tonya H.</t>
  </si>
  <si>
    <t>Benson Delaney - Used Trade-In Product</t>
  </si>
  <si>
    <t>Benson Delaney</t>
  </si>
  <si>
    <t>bensondelaney1@gmail.com</t>
  </si>
  <si>
    <t>Poughkeepsie;New York;12601</t>
  </si>
  <si>
    <t>4 years 0 months</t>
  </si>
  <si>
    <t>48</t>
  </si>
  <si>
    <t>1138148</t>
  </si>
  <si>
    <t>https://bnh.lightning.force.com/001WP00000qlNwXYAU</t>
  </si>
  <si>
    <t>Selling was super easy</t>
  </si>
  <si>
    <t>Did not list all the equipment</t>
  </si>
  <si>
    <t>Robert Armen - Used Trade-In Product</t>
  </si>
  <si>
    <t>Robert Armen</t>
  </si>
  <si>
    <t>bzybob@gmail.com</t>
  </si>
  <si>
    <t>Keswick;Virginia;22947</t>
  </si>
  <si>
    <t>1142037</t>
  </si>
  <si>
    <t>https://bnh.lightning.force.com/0018X000035Ly9DQAS</t>
  </si>
  <si>
    <t>ease and speed of getting a quote; being provided a mail label for the shipment of the item being sold; being notified when item was received in New York; accuracy of the time that would be required for B&amp;H to inspect the item; flawless on-line process from start to finish</t>
  </si>
  <si>
    <t>disappointed with 30% offer for something never used/never even taken outside my home once, in flawless condition in original box with original packing and all accompanying manufacturer's originaL materials.</t>
  </si>
  <si>
    <t>Trade In &gt; Overall Process &gt;, Trade In &gt; Timeliness of Quote &gt;, Warehouse Fulfillment &gt; Packing Quality-Condition &gt;</t>
  </si>
  <si>
    <t>B&amp;H &gt; Communication / Notification &gt;, Trade In &gt; Overall Process &gt;, Trade In &gt; Quote Price &gt;, Trade In &gt; Timeliness of Quote &gt;</t>
  </si>
  <si>
    <t>Trade In &gt; Overall Process &gt; (Positive), Trade In &gt; Timeliness of Quote &gt; (Positive), Warehouse Fulfillment &gt; Packing Quality-Condition &gt; (Positive)</t>
  </si>
  <si>
    <t>B&amp;H &gt; Communication / Notification &gt; (Positive), Trade In &gt; Overall Process &gt; (Positive), Trade In &gt; Quote Price &gt; (Negative), Trade In &gt; Timeliness of Quote &gt; (Positive)</t>
  </si>
  <si>
    <t>Liked receiving status updates</t>
  </si>
  <si>
    <t>Rodrick Anglin - Used Trade-In Product</t>
  </si>
  <si>
    <t>Rodrick Anglin</t>
  </si>
  <si>
    <t>anglin.rodrick@gmail.com</t>
  </si>
  <si>
    <t>Frisco;Texas;75034</t>
  </si>
  <si>
    <t>1138883</t>
  </si>
  <si>
    <t>https://bnh.lightning.force.com/001WP00000r6rZhYAI</t>
  </si>
  <si>
    <t>B&amp;H is the absolute best!!</t>
  </si>
  <si>
    <t>Only if you had more locations around the states.  But your customer service is amazing. So shopping online is a breeze</t>
  </si>
  <si>
    <t>B&amp;H &gt; Geographical Location &gt;, B&amp;H &gt; Satisfaction &gt;, Customer Service &gt; Satisfaction &gt;, Website &gt; Overall Satisfaction &gt;</t>
  </si>
  <si>
    <t>B&amp;H &gt; Geographical Location &gt; (Negative), B&amp;H &gt; Satisfaction &gt; (Positive), Customer Service &gt; Satisfaction &gt; (Positive), Website &gt; Overall Satisfaction &gt; (Positive)</t>
  </si>
  <si>
    <t>Michael Morrison - Used Trade-In Product</t>
  </si>
  <si>
    <t>Michael Morrison</t>
  </si>
  <si>
    <t>mike159159@yahoo.com</t>
  </si>
  <si>
    <t>Buzzards Bay;Massachusetts;02532</t>
  </si>
  <si>
    <t>11 years 0 months</t>
  </si>
  <si>
    <t>132</t>
  </si>
  <si>
    <t>1139386</t>
  </si>
  <si>
    <t>https://bnh.lightning.force.com/0012L00001EcsP3QAJ</t>
  </si>
  <si>
    <t>Very smooth process from start to finish.</t>
  </si>
  <si>
    <t>Trade In &gt; Overall Process &gt; (Positive), Website &gt; Overall Satisfaction &gt; (Positive)</t>
  </si>
  <si>
    <t>Melanie Starkman - Used Trade-In Product</t>
  </si>
  <si>
    <t>Melanie Starkman</t>
  </si>
  <si>
    <t>gatoronthego17@gmail.com</t>
  </si>
  <si>
    <t>Hendersonville;North Carolina;28792</t>
  </si>
  <si>
    <t>7 years 6 months</t>
  </si>
  <si>
    <t>90</t>
  </si>
  <si>
    <t>1138649</t>
  </si>
  <si>
    <t>https://bnh.lightning.force.com/001Hs00005HeyceIAB</t>
  </si>
  <si>
    <t>Website is very user friendly. Received quote almost immediately. Quote was very fair. Excellent communication. Quick check.</t>
  </si>
  <si>
    <t>Wish you had direct deposit for receiving money.</t>
  </si>
  <si>
    <t>B&amp;H &gt; Communication / Notification &gt;, Trade In &gt; Overall Process &gt;, Trade In &gt; Quote Price &gt;, Trade In &gt; Timeliness of Quote &gt;, Website &gt; Navigation &gt;</t>
  </si>
  <si>
    <t>B&amp;H &gt; Communication / Notification &gt; (Positive), Trade In &gt; Overall Process &gt; (Negative), Trade In &gt; Overall Process &gt; (Positive), Trade In &gt; Quote Price &gt; (Positive), Trade In &gt; Timeliness of Quote &gt; (Positive), Website &gt; Navigation &gt; (Positive)</t>
  </si>
  <si>
    <t>Wants to be paid through direct deposit, electronic funds transfer (or faster/secure method)</t>
  </si>
  <si>
    <t>David Rubin - Used Trade-In Product</t>
  </si>
  <si>
    <t>David Rubin</t>
  </si>
  <si>
    <t>dsrphoto1@gmail.com</t>
  </si>
  <si>
    <t>Pittsburgh;Pennsylvania;15217</t>
  </si>
  <si>
    <t>13 years 1 months</t>
  </si>
  <si>
    <t>157</t>
  </si>
  <si>
    <t>1140094</t>
  </si>
  <si>
    <t>https://bnh.lightning.force.com/0018X000038D0wHQAS</t>
  </si>
  <si>
    <t>I'd like to make the TID purchase through the website.</t>
  </si>
  <si>
    <t>Joyce M Kringen - Used Trade-In Product</t>
  </si>
  <si>
    <t>Joyce M Kringen</t>
  </si>
  <si>
    <t>60.flat_crumbs@icloud.com</t>
  </si>
  <si>
    <t>Rapid City;South Dakota;57702</t>
  </si>
  <si>
    <t>1137309</t>
  </si>
  <si>
    <t>https://bnh.lightning.force.com/001WP00000qFQHSYA4</t>
  </si>
  <si>
    <t>Honest snd very fast service</t>
  </si>
  <si>
    <t>Nothing bad</t>
  </si>
  <si>
    <t>1137642</t>
  </si>
  <si>
    <t>B&amp;H gave me the highest quote out of 3 companies.</t>
  </si>
  <si>
    <t>The lens was mint, used only once. It sells for $1,000 new and it's disappointing that I got half of that. That said, B&amp;H made the highest offer. My husband bought me the newer version of the same lens at B&amp;H. I wish there was a trade in option. Some companies offer a bonus if you buy and sell at the same time.</t>
  </si>
  <si>
    <t>Didn't know about trade-in program</t>
  </si>
  <si>
    <t>Rose Kakimoto - Used Trade-In Product</t>
  </si>
  <si>
    <t>Rose Kakimoto</t>
  </si>
  <si>
    <t>rkakimoto@google.com</t>
  </si>
  <si>
    <t>San Jose;California;95138</t>
  </si>
  <si>
    <t>1136647</t>
  </si>
  <si>
    <t>https://bnh.lightning.force.com/0011a00000KXhGNAA1</t>
  </si>
  <si>
    <t>Easy to sell my items.  No issues experiences.</t>
  </si>
  <si>
    <t>Barb Hamm - Used Trade-In Product</t>
  </si>
  <si>
    <t>Barb Hamm</t>
  </si>
  <si>
    <t>hammbarb@ymail.com</t>
  </si>
  <si>
    <t>Wentzville;Missouri;63385</t>
  </si>
  <si>
    <t>11 years 9 months</t>
  </si>
  <si>
    <t>141</t>
  </si>
  <si>
    <t>1138532</t>
  </si>
  <si>
    <t>https://bnh.lightning.force.com/0011a00000JIZt1AAH</t>
  </si>
  <si>
    <t>Very easy to work with. Love the ease of knowing if I purchase something and it not what I was thinking, there no problem exchanging or returning.</t>
  </si>
  <si>
    <t>I had not ran into any issues with purchasing , returns, or trades. Everything ran smoothly .</t>
  </si>
  <si>
    <t>B&amp;H &gt; Satisfaction &gt;, Returns &gt; Ease &gt;, Trade In &gt; Overall Process &gt;</t>
  </si>
  <si>
    <t>B&amp;H &gt; Satisfaction &gt; (Positive), Returns &gt; Ease &gt; (Positive), Trade In &gt; Overall Process &gt; (Positive)</t>
  </si>
  <si>
    <t>Sherri Badalaty - Used Trade-In Product</t>
  </si>
  <si>
    <t>Sherri Badalaty</t>
  </si>
  <si>
    <t>sherri6807@gmail.com</t>
  </si>
  <si>
    <t>Estero;Florida;33928</t>
  </si>
  <si>
    <t>1137247</t>
  </si>
  <si>
    <t>https://bnh.lightning.force.com/001WP00000qCJPFYA4</t>
  </si>
  <si>
    <t>Process was incredibly easy, and the communication throughout was great.</t>
  </si>
  <si>
    <t>nothing</t>
  </si>
  <si>
    <t>Sevil Hajiyeva - Used Trade-In Product</t>
  </si>
  <si>
    <t>Sevil Hajiyeva</t>
  </si>
  <si>
    <t>orkhan@baylarov.com</t>
  </si>
  <si>
    <t>Davie;Florida;33328</t>
  </si>
  <si>
    <t>6 years 10 months</t>
  </si>
  <si>
    <t>82</t>
  </si>
  <si>
    <t>1136283</t>
  </si>
  <si>
    <t>https://bnh.lightning.force.com/0012L00001H70lNQAR</t>
  </si>
  <si>
    <t>smooth</t>
  </si>
  <si>
    <t>Tou Yang - Used Trade-In Product</t>
  </si>
  <si>
    <t>Tou Yang</t>
  </si>
  <si>
    <t>toupac27@yahoo.com</t>
  </si>
  <si>
    <t>Clovis;California;93619</t>
  </si>
  <si>
    <t>18 years 5 months</t>
  </si>
  <si>
    <t>221</t>
  </si>
  <si>
    <t>1138547</t>
  </si>
  <si>
    <t>https://bnh.lightning.force.com/0012L000019Eni7QAC</t>
  </si>
  <si>
    <t>Price was honored</t>
  </si>
  <si>
    <t>Took longer than the expected date for it to be inspected</t>
  </si>
  <si>
    <t>Trade In &gt; Quote Price &gt;, Trade In &gt; Timeliness of Quote &gt;</t>
  </si>
  <si>
    <t>Trade In &gt; Quote Price &gt; (Positive), Trade In &gt; Timeliness of Quote &gt; (Negative)</t>
  </si>
  <si>
    <t>Kyle Khani - Used Trade-In Product</t>
  </si>
  <si>
    <t>Kyle Khani</t>
  </si>
  <si>
    <t>kyleskhani@gmail.com</t>
  </si>
  <si>
    <t>Manchester;Massachusetts;01944</t>
  </si>
  <si>
    <t>Boston;Massachusetts;02215</t>
  </si>
  <si>
    <t>1139060</t>
  </si>
  <si>
    <t>https://bnh.lightning.force.com/001WP00000r8LLmYAM</t>
  </si>
  <si>
    <t>Camera</t>
  </si>
  <si>
    <t>Price</t>
  </si>
  <si>
    <t>Used &gt; Pricing &gt; (No opinion)</t>
  </si>
  <si>
    <t>Ortha James Morgan - Used Trade-In Product</t>
  </si>
  <si>
    <t>Ortha James Morgan</t>
  </si>
  <si>
    <t>ojmorgan@gmail.com</t>
  </si>
  <si>
    <t>Hixson;Tennessee;37343</t>
  </si>
  <si>
    <t>8 years 9 months</t>
  </si>
  <si>
    <t>105</t>
  </si>
  <si>
    <t>1141252</t>
  </si>
  <si>
    <t>https://bnh.lightning.force.com/0018X00003ScEIwQAN</t>
  </si>
  <si>
    <t>Easy, fast, efficient.</t>
  </si>
  <si>
    <t>Michael Carlson - Used Trade-In Product</t>
  </si>
  <si>
    <t>Michael Carlson</t>
  </si>
  <si>
    <t>bland-racket-0a@icloud.com</t>
  </si>
  <si>
    <t>Elk Grove;California;95624</t>
  </si>
  <si>
    <t>1139128</t>
  </si>
  <si>
    <t>https://bnh.lightning.force.com/0011a00000rx5JpAAI</t>
  </si>
  <si>
    <t>Straightforward, clear, timely communication.</t>
  </si>
  <si>
    <t>B&amp;H &gt; Communication / Notification &gt;, Trade In &gt; Overall Process &gt;</t>
  </si>
  <si>
    <t>B&amp;H &gt; Communication / Notification &gt; (Positive), Trade In &gt; Overall Process &gt; (Positive)</t>
  </si>
  <si>
    <t>Nick Dimaso - Used Trade-In Product</t>
  </si>
  <si>
    <t>Nick Dimaso</t>
  </si>
  <si>
    <t>hi@nickdimaso.com</t>
  </si>
  <si>
    <t>Chicago;Illinois;60640</t>
  </si>
  <si>
    <t>3 years 2 months</t>
  </si>
  <si>
    <t>38</t>
  </si>
  <si>
    <t>1138258</t>
  </si>
  <si>
    <t>https://bnh.lightning.force.com/0018X0000397dp7QAA</t>
  </si>
  <si>
    <t>B&amp;H is the go-to place.</t>
  </si>
  <si>
    <t>I would have liked a bit more trade-in value, but I understand business is business!</t>
  </si>
  <si>
    <t>Pricing &gt; Value for Money &gt;</t>
  </si>
  <si>
    <t>B&amp;H &gt; Satisfaction &gt;, Trade In &gt; Quote Price &gt;</t>
  </si>
  <si>
    <t>Pricing &gt; Value for Money &gt; (Negative)</t>
  </si>
  <si>
    <t>B&amp;H &gt; Satisfaction &gt; (Positive), Trade In &gt; Quote Price &gt; (Negative)</t>
  </si>
  <si>
    <t>Sandra Auman - Used Trade-In Product</t>
  </si>
  <si>
    <t>Sandra Auman</t>
  </si>
  <si>
    <t>aumansea@gmail.com</t>
  </si>
  <si>
    <t>Falls Church;Virginia;22043</t>
  </si>
  <si>
    <t>6 years 9 months</t>
  </si>
  <si>
    <t>81</t>
  </si>
  <si>
    <t>1125662</t>
  </si>
  <si>
    <t>https://bnh.lightning.force.com/0012L0000100ZeSQAU</t>
  </si>
  <si>
    <t>B &amp; H made it very easy to sell my used equipment, providing efficient procedures and timely communications. I appreciated the free shipping of my equipment to B &amp; H.</t>
  </si>
  <si>
    <t>The prices B &amp; H offered were somewhat less than I would have liked. I purchased a used lens from B &amp; H and was awarded only 50% of the price I had paid a few years ago and I had used the lens very little.</t>
  </si>
  <si>
    <t>Pricing &gt; Delivery Fees &gt;, Pricing &gt; Value for Money &gt;, Trade In &gt; Overall Process &gt;, Trade In &gt; Quote Price &gt;, Used &gt; Pricing &gt;</t>
  </si>
  <si>
    <t>B&amp;H &gt; Communication / Notification &gt;, Pricing &gt; Delivery Fees &gt;, Trade In &gt; Overall Process &gt;, Trade In &gt; Quote Price &gt;</t>
  </si>
  <si>
    <t>Pricing &gt; Delivery Fees &gt; (Positive), Pricing &gt; Value for Money &gt; (Negative), Trade In &gt; Overall Process &gt; (Positive), Trade In &gt; Quote Price &gt; (Negative), Used &gt; Pricing &gt; (Negative)</t>
  </si>
  <si>
    <t>B&amp;H &gt; Communication / Notification &gt; (Positive), Pricing &gt; Delivery Fees &gt; (Positive), Trade In &gt; Overall Process &gt; (Positive), Trade In &gt; Quote Price &gt; (Negative)</t>
  </si>
  <si>
    <t>Joshua Powers - Used Trade-In Product</t>
  </si>
  <si>
    <t>Joshua Powers</t>
  </si>
  <si>
    <t>mrpowersj@gmail.com</t>
  </si>
  <si>
    <t>Boise;Idaho;83713</t>
  </si>
  <si>
    <t>9 years 2 months</t>
  </si>
  <si>
    <t>110</t>
  </si>
  <si>
    <t>1140172</t>
  </si>
  <si>
    <t>https://bnh.lightning.force.com/0018X00003Sc7q2QAB</t>
  </si>
  <si>
    <t>It wasn’t clear that I couldn’t submit a quote when check out was closed</t>
  </si>
  <si>
    <t>B&amp;H &gt; Hours of Operation &gt;, Trade In &gt; Overall Process &gt;</t>
  </si>
  <si>
    <t>B&amp;H &gt; Hours of Operation &gt; (Negative), Trade In &gt; Overall Process &gt; (Negative)</t>
  </si>
  <si>
    <t>Unclear if customer can submit quote when checkout is closed</t>
  </si>
  <si>
    <t>Susan Runo - Used Trade-In Product</t>
  </si>
  <si>
    <t>Susan Runo</t>
  </si>
  <si>
    <t>apsbruno@gmail.com</t>
  </si>
  <si>
    <t>Aurora;Ohio;44202</t>
  </si>
  <si>
    <t>1139013</t>
  </si>
  <si>
    <t>https://bnh.lightning.force.com/001WP00000rCcZTYA0</t>
  </si>
  <si>
    <t>Super easy</t>
  </si>
  <si>
    <t>John Murphy - Used Trade-In Product</t>
  </si>
  <si>
    <t>John Murphy</t>
  </si>
  <si>
    <t>jrmurphy1@me.com</t>
  </si>
  <si>
    <t>New Orleans;Louisiana;70131</t>
  </si>
  <si>
    <t>1136840</t>
  </si>
  <si>
    <t>https://bnh.lightning.force.com/0011a00000FzOQbAAN</t>
  </si>
  <si>
    <t>I got slightly more than the quote. They gave me a good honest experience</t>
  </si>
  <si>
    <t>Received higher product valuation (than online quote) post-inspection (trust signal)</t>
  </si>
  <si>
    <t>James Thornton - Used Trade-In Product</t>
  </si>
  <si>
    <t>James Thornton</t>
  </si>
  <si>
    <t>jim@photosbyelenaandjim.com</t>
  </si>
  <si>
    <t>Phoenix;Arizona;85032</t>
  </si>
  <si>
    <t>3 years 11 months</t>
  </si>
  <si>
    <t>47</t>
  </si>
  <si>
    <t>1136793</t>
  </si>
  <si>
    <t>https://bnh.lightning.force.com/0012L00001LfpKlQAJ</t>
  </si>
  <si>
    <t>The process is simple to go through and thought the price offered was reasonable.</t>
  </si>
  <si>
    <t>Did not realize how long the process would take after you received the item. I did receive an email notifying me that you received the item but did not hear for a week after that. I guess I was a little inpatient.</t>
  </si>
  <si>
    <t>Pricing &gt; Value for Money &gt; (Positive), Trade In &gt; Overall Process &gt; (Negative), Trade In &gt; Overall Process &gt; (Positive), Trade In &gt; Quote Price &gt; (Positive), Used &gt; Pricing &gt; (Positive)</t>
  </si>
  <si>
    <t>Trade In &gt; Overall Process &gt; (Positive), Trade In &gt; Quote Price &gt; (Positive), Trade In &gt; Timeliness of Quote &gt; (Negative)</t>
  </si>
  <si>
    <t>Samantha Davis - Used Trade-In Product</t>
  </si>
  <si>
    <t>Samantha Davis</t>
  </si>
  <si>
    <t>sdphotographyobx@gmail.com</t>
  </si>
  <si>
    <t>Manteo;North Carolina;27954</t>
  </si>
  <si>
    <t>1138132</t>
  </si>
  <si>
    <t>https://bnh.lightning.force.com/0018X00003AViO7QAL</t>
  </si>
  <si>
    <t>Easy to do and free shipping label</t>
  </si>
  <si>
    <t>Took a little long to have my items evaluated</t>
  </si>
  <si>
    <t>Pricing &gt; Delivery Fees &gt; (Positive)</t>
  </si>
  <si>
    <t>Trade In &gt; Overall Process &gt; (Positive), Trade In &gt; Timeliness of Quote &gt; (Negative)</t>
  </si>
  <si>
    <t>Hakim Benkrid - Used Trade-In Product</t>
  </si>
  <si>
    <t>Hakim Benkrid</t>
  </si>
  <si>
    <t>hakimbenkrid@gmail.com</t>
  </si>
  <si>
    <t>Macungie;Pennsylvania;18062</t>
  </si>
  <si>
    <t>6 years 2 months</t>
  </si>
  <si>
    <t>74</t>
  </si>
  <si>
    <t>1138084</t>
  </si>
  <si>
    <t>https://bnh.lightning.force.com/001WP00000qjSKUYA2</t>
  </si>
  <si>
    <t>Professional handling of my gear</t>
  </si>
  <si>
    <t>Professional, experienced, trustworthy staff (trust signal)</t>
  </si>
  <si>
    <t>Chris Rhea - Used Trade-In Product</t>
  </si>
  <si>
    <t>Chris Rhea</t>
  </si>
  <si>
    <t>cmrhea62@gmail.com</t>
  </si>
  <si>
    <t>Village Of Loch Lloyd;Missouri;64012</t>
  </si>
  <si>
    <t>Belton;Missouri;64012</t>
  </si>
  <si>
    <t>10 years 8 months</t>
  </si>
  <si>
    <t>128</t>
  </si>
  <si>
    <t>1136189</t>
  </si>
  <si>
    <t>https://bnh.lightning.force.com/001WP00000kgKeTYAU</t>
  </si>
  <si>
    <t>Ease of selling my Canon lens.</t>
  </si>
  <si>
    <t>I thought the $ offered and received was a little low considering the lens was originally purchased at B&amp;H and was in virtually “like new” condition.</t>
  </si>
  <si>
    <t>Sean Gallagher - Used Trade-In Product</t>
  </si>
  <si>
    <t>Sean Gallagher</t>
  </si>
  <si>
    <t>seangallagher8@gmail.com</t>
  </si>
  <si>
    <t>Seattle;Washington;98115</t>
  </si>
  <si>
    <t>1136566</t>
  </si>
  <si>
    <t>https://bnh.lightning.force.com/001WP00000psryFYAQ</t>
  </si>
  <si>
    <t>Ease</t>
  </si>
  <si>
    <t>Kenneth Kohan - Used Trade-In Product</t>
  </si>
  <si>
    <t>Kenneth Kohan</t>
  </si>
  <si>
    <t>kohank@comcast.net</t>
  </si>
  <si>
    <t>Amesbury;Massachusetts;01913</t>
  </si>
  <si>
    <t>24 years 2 months</t>
  </si>
  <si>
    <t>290</t>
  </si>
  <si>
    <t>1137741</t>
  </si>
  <si>
    <t>https://bnh.lightning.force.com/001WP00000jmnptYAA</t>
  </si>
  <si>
    <t>B&amp;H quoted a very reasonable  price for my used equipment. This excellant service has been very consistent over the year.</t>
  </si>
  <si>
    <t>This time It took longer to recieve the payment for my used equipment. To be fair, B&amp;H stated upfront that the evaluation service was running late due to high demand.</t>
  </si>
  <si>
    <t>Trade In &gt; Overall Process &gt; (Positive), Trade In &gt; Quote Price &gt; (Positive), Trade In &gt; Timeliness of Payment &gt; (Negative)</t>
  </si>
  <si>
    <t>Paul Malone - Used Trade-In Product</t>
  </si>
  <si>
    <t>Paul Malone</t>
  </si>
  <si>
    <t>paulmalone1@gmail.com</t>
  </si>
  <si>
    <t>Long Beach;New York;11561</t>
  </si>
  <si>
    <t>1143043</t>
  </si>
  <si>
    <t>https://bnh.lightning.force.com/0011a00000G5zJeAAJ</t>
  </si>
  <si>
    <t>Being able to do a quote online, have some idea of how my gear would be valued, and then going to the store and seeing the prices be honored.</t>
  </si>
  <si>
    <t>Used &gt; Pricing &gt; (Negative)</t>
  </si>
  <si>
    <t>Liked having a valuation estimate with online quote</t>
  </si>
  <si>
    <t>Reynaldo Martinez - Used Trade-In Product</t>
  </si>
  <si>
    <t>Reynaldo Martinez</t>
  </si>
  <si>
    <t>reymartinezz@gmail.com</t>
  </si>
  <si>
    <t>North Bay Village;Florida;33141</t>
  </si>
  <si>
    <t>10 years 10 months</t>
  </si>
  <si>
    <t>130</t>
  </si>
  <si>
    <t>1137526</t>
  </si>
  <si>
    <t>https://bnh.lightning.force.com/0011a00000G6b6gAAB</t>
  </si>
  <si>
    <t>seriousness...</t>
  </si>
  <si>
    <t>In some cases, they are slow to pay.</t>
  </si>
  <si>
    <t>Trade In &gt; Timeliness of Payment &gt; (Negative)</t>
  </si>
  <si>
    <t>Hyung Lee - Used Trade-In Product</t>
  </si>
  <si>
    <t>Hyung Lee</t>
  </si>
  <si>
    <t>lhs628@gmail.com</t>
  </si>
  <si>
    <t>Glenview;Illinois;60025</t>
  </si>
  <si>
    <t>1138224</t>
  </si>
  <si>
    <t>https://bnh.lightning.force.com/001WP00000qt62QYAQ</t>
  </si>
  <si>
    <t>Easy straightforward process</t>
  </si>
  <si>
    <t>None.</t>
  </si>
  <si>
    <t>Chuck Gilbert - Used Trade-In Product</t>
  </si>
  <si>
    <t>Chuck Gilbert</t>
  </si>
  <si>
    <t>chuck.c.gilbert@gmail.com</t>
  </si>
  <si>
    <t>Okemos;Michigan;48864</t>
  </si>
  <si>
    <t>Lansing;Michigan;48911</t>
  </si>
  <si>
    <t>8 years 11 months</t>
  </si>
  <si>
    <t>107</t>
  </si>
  <si>
    <t>1140265</t>
  </si>
  <si>
    <t>https://bnh.lightning.force.com/0011a00000e9f6KAAQ</t>
  </si>
  <si>
    <t>B&amp;H offers exceptional customer service... would recommend them to anyone.</t>
  </si>
  <si>
    <t>People &gt; Knowledge / Recommend &gt;, People &gt; Overall Satisfaction &gt;</t>
  </si>
  <si>
    <t>B&amp;H &gt; Loyalty &gt;, Customer Service &gt; Satisfaction &gt;</t>
  </si>
  <si>
    <t>People &gt; Knowledge / Recommend &gt; (Positive), People &gt; Overall Satisfaction &gt; (Positive)</t>
  </si>
  <si>
    <t>B&amp;H &gt; Loyalty &gt; (Positive), Customer Service &gt; Satisfaction &gt; (Positive)</t>
  </si>
  <si>
    <t>Mike Buchholz - Used Trade-In Product</t>
  </si>
  <si>
    <t>Mike Buchholz</t>
  </si>
  <si>
    <t>buchhomr@gmail.com</t>
  </si>
  <si>
    <t>Durham;New Hampshire;03824</t>
  </si>
  <si>
    <t>1138223</t>
  </si>
  <si>
    <t>https://bnh.lightning.force.com/001WP00000oodO1YAI</t>
  </si>
  <si>
    <t>Ease to get a quote, speed to have quote processed, and the fact that a check could be mailed for the trade-in. I tend to purchase first and trade-in after, so I was glad to not be forced into a gift card as the only payment method.</t>
  </si>
  <si>
    <t>Likes check payment (not being forced to choose store credit)</t>
  </si>
  <si>
    <t>Kristin Probst - Used Trade-In Product</t>
  </si>
  <si>
    <t>Kristin Probst</t>
  </si>
  <si>
    <t>dresselka@gmail.com</t>
  </si>
  <si>
    <t>Teutopolis;Illinois;62467</t>
  </si>
  <si>
    <t>1138430</t>
  </si>
  <si>
    <t>https://bnh.lightning.force.com/001WP00000qwszsYAA</t>
  </si>
  <si>
    <t>I know that I could have gotten more had I sold privately but this was fair and no hassle at all. The actual price ended up being more than the estimate so I appreciate the honesty a lot.</t>
  </si>
  <si>
    <t>Nothing to mention</t>
  </si>
  <si>
    <t>Keith Brust - Used Trade-In Product</t>
  </si>
  <si>
    <t>Keith Brust</t>
  </si>
  <si>
    <t>keith@wildtimemedia.com</t>
  </si>
  <si>
    <t>Tucson;Arizona;85719</t>
  </si>
  <si>
    <t>21 years 4 months</t>
  </si>
  <si>
    <t>256</t>
  </si>
  <si>
    <t>1137064</t>
  </si>
  <si>
    <t>https://bnh.lightning.force.com/001WP00000q8YGbYAM</t>
  </si>
  <si>
    <t>Easy and straight forward</t>
  </si>
  <si>
    <t>Would like a direct deposit or other immediate and more secure method of payment.</t>
  </si>
  <si>
    <t>Wants to be paid through direct deposit (or faster/secure method)</t>
  </si>
  <si>
    <t>William Baldygo - Used Trade-In Product</t>
  </si>
  <si>
    <t>William Baldygo</t>
  </si>
  <si>
    <t>william.baldygo@icloud.com</t>
  </si>
  <si>
    <t>Beavercreek;Ohio;45434</t>
  </si>
  <si>
    <t>1138322</t>
  </si>
  <si>
    <t>https://bnh.lightning.force.com/0011a00000rzGFQAA2</t>
  </si>
  <si>
    <t>The entire experience was straight-forward, fast and convenient, and B&amp;H kept me informed with status along the way.  Very well done - thank you!</t>
  </si>
  <si>
    <t>There was nothing I disliked.</t>
  </si>
  <si>
    <t>Alberto Chong - Used Trade-In Product</t>
  </si>
  <si>
    <t>Alberto Chong</t>
  </si>
  <si>
    <t>albertoechong@gmail.com</t>
  </si>
  <si>
    <t>Italy</t>
  </si>
  <si>
    <t>1138529</t>
  </si>
  <si>
    <t>https://bnh.lightning.force.com/001WP00000qxjbLYAQ</t>
  </si>
  <si>
    <t>Quote was somewhat lower than true value.</t>
  </si>
  <si>
    <t>Kevin Wiese - Used Trade-In Product</t>
  </si>
  <si>
    <t>Kevin Wiese</t>
  </si>
  <si>
    <t>kevin.wiese@outlook.com</t>
  </si>
  <si>
    <t>Elmhurst;Illinois;60126</t>
  </si>
  <si>
    <t>1138233</t>
  </si>
  <si>
    <t>https://bnh.lightning.force.com/0012L00000xMzNTQA0</t>
  </si>
  <si>
    <t>Easy and very straightforward.</t>
  </si>
  <si>
    <t>It would be nice to have an online status page to see where the equipment is in the process vs. relying entirely on email. That’s just a nitpick because you asked for something to complain about.</t>
  </si>
  <si>
    <t>Donald Betsworth - Used Trade-In Product</t>
  </si>
  <si>
    <t>Donald Betsworth</t>
  </si>
  <si>
    <t>donbetsworth@gmail.com</t>
  </si>
  <si>
    <t>Jacksonville;Florida;32211</t>
  </si>
  <si>
    <t>1138847</t>
  </si>
  <si>
    <t>https://bnh.lightning.force.com/001WP00000r69mwYAA</t>
  </si>
  <si>
    <t>I chose the trade in credit option for over the phone or in store purchases and like very much not having to pay tax!  I worked with your customer service rep, Michelle and she made the over the phone purchase quick and easy!!</t>
  </si>
  <si>
    <t>People &gt; Helpful / Efficient &gt;, Trade In &gt; Overall Process &gt;</t>
  </si>
  <si>
    <t>People &gt; Helpful / Efficient &gt; (Positive), Trade In &gt; Overall Process &gt; (Positive)</t>
  </si>
  <si>
    <t>Israel Soler - Used Trade-In Product</t>
  </si>
  <si>
    <t>Israel Soler</t>
  </si>
  <si>
    <t>israel.soler1@gmail.com</t>
  </si>
  <si>
    <t>Redding;California;96003</t>
  </si>
  <si>
    <t>17 years 7 months</t>
  </si>
  <si>
    <t>211</t>
  </si>
  <si>
    <t>1134317</t>
  </si>
  <si>
    <t>https://bnh.lightning.force.com/001Hs00005gPllaIAC</t>
  </si>
  <si>
    <t>In this particular instance, the price I got was great compared to your competitors.</t>
  </si>
  <si>
    <t>There was a bit of a delay between my item being received and it being inspected. Not that big a deal but it was a while.</t>
  </si>
  <si>
    <t>B&amp;H &gt; Competitor Mentions &gt;, Used &gt; Pricing &gt;, Warehouse Fulfillment &gt; Timeliness &gt;</t>
  </si>
  <si>
    <t>B&amp;H &gt; Competitor Mentions &gt;, Trade In &gt; Timeliness of Quote &gt;, Used &gt; Pricing &gt;</t>
  </si>
  <si>
    <t>B&amp;H &gt; Competitor Mentions &gt; (Positive), Used &gt; Pricing &gt; (Positive), Warehouse Fulfillment &gt; Timeliness &gt; (Negative)</t>
  </si>
  <si>
    <t>B&amp;H &gt; Competitor Mentions &gt; (Positive), Trade In &gt; Timeliness of Quote &gt; (Negative), Used &gt; Pricing &gt; (Positive)</t>
  </si>
  <si>
    <t>Theodor Rohr - Used Trade-In Product</t>
  </si>
  <si>
    <t>Theodor Rohr</t>
  </si>
  <si>
    <t>theorohr@cox.net</t>
  </si>
  <si>
    <t>Hayes;Virginia;23072</t>
  </si>
  <si>
    <t>1138101</t>
  </si>
  <si>
    <t>https://bnh.lightning.force.com/0012L00001BQ8eTQAT</t>
  </si>
  <si>
    <t>easy peasy process</t>
  </si>
  <si>
    <t>Tony Curtis - Used Trade-In Product</t>
  </si>
  <si>
    <t>Tony Curtis</t>
  </si>
  <si>
    <t>tony.curtis30@gmail.com</t>
  </si>
  <si>
    <t>Milton;Florida;32570</t>
  </si>
  <si>
    <t>6 months</t>
  </si>
  <si>
    <t>6</t>
  </si>
  <si>
    <t>1137678</t>
  </si>
  <si>
    <t>https://bnh.lightning.force.com/001Hs00005lhD7uIAE</t>
  </si>
  <si>
    <t>The ease of ordering.</t>
  </si>
  <si>
    <t>I didn't like that a tracking number wasn't available. My area isn't the best for correct deliveries and the check could've easily been delivered to the wrong address. I got lucky.</t>
  </si>
  <si>
    <t>Traffic &gt; Lost or Delivered to Wrong Address &gt;, Warehouse Fulfillment &gt; Issues &gt;, Website &gt; Order Tracking &gt;</t>
  </si>
  <si>
    <t>Trade In &gt; Overall Process &gt;, Traffic &gt; Carrier Satisfaction &gt;, Website &gt; Order Tracking &gt;</t>
  </si>
  <si>
    <t>Traffic &gt; Lost or Delivered to Wrong Address &gt; (Negative), Warehouse Fulfillment &gt; Issues &gt; (Negative), Website &gt; Order Tracking &gt; (Negative)</t>
  </si>
  <si>
    <t>Trade In &gt; Overall Process &gt; (Positive), Traffic &gt; Carrier Satisfaction &gt; (Negative), Website &gt; Order Tracking &gt; (Negative)</t>
  </si>
  <si>
    <t>Jason Hernandez - Used Trade-In Product</t>
  </si>
  <si>
    <t>Jason Hernandez</t>
  </si>
  <si>
    <t>jayfilms@gmail.com</t>
  </si>
  <si>
    <t>Ventura;California;93003</t>
  </si>
  <si>
    <t>1139705</t>
  </si>
  <si>
    <t>https://bnh.lightning.force.com/0018X00003T6eBEQAZ</t>
  </si>
  <si>
    <t>The ease of use, shipping supplied, etc…</t>
  </si>
  <si>
    <t>Nothing I liked it all. 
Thank you !</t>
  </si>
  <si>
    <t>Salomon Maestas - Used Trade-In Product</t>
  </si>
  <si>
    <t>Salomon Maestas</t>
  </si>
  <si>
    <t>salmaestas@icloud.com</t>
  </si>
  <si>
    <t>Espanola;New Mexico;87532</t>
  </si>
  <si>
    <t>1139152</t>
  </si>
  <si>
    <t>https://bnh.lightning.force.com/001WP00000rGUzuYAG</t>
  </si>
  <si>
    <t>Easy. Overall good experience.</t>
  </si>
  <si>
    <t>Took a bit long to evaluate gear. I would have liked a final quote and choice to accept/reject before getting the gift card. 
• An option for electronic funds transfer, instead of only a check, would be nice for non-store credit transactions.</t>
  </si>
  <si>
    <t>B&amp;H &gt; Satisfaction &gt;, Programs and Services &gt; Gift Card &gt;, Trade In &gt; Overall Process &gt;</t>
  </si>
  <si>
    <t>B&amp;H &gt; Satisfaction &gt;, Trade In &gt; Overall Process &gt;, Trade In &gt; Timeliness of Payment &gt;</t>
  </si>
  <si>
    <t>B&amp;H &gt; Satisfaction &gt; (Positive), Programs and Services &gt; Gift Card &gt; (Negative), Trade In &gt; Overall Process &gt; (Negative)</t>
  </si>
  <si>
    <t>B&amp;H &gt; Satisfaction &gt; (Positive), Trade In &gt; Overall Process &gt; (Negative), Trade In &gt; Overall Process &gt; (Positive), Trade In &gt; Timeliness of Payment &gt; (Negative)</t>
  </si>
  <si>
    <t>Timothy Jackson - Used Trade-In Product</t>
  </si>
  <si>
    <t>Timothy Jackson</t>
  </si>
  <si>
    <t>timothygarrettjackson@gmail.com</t>
  </si>
  <si>
    <t>Albany;New York;12210</t>
  </si>
  <si>
    <t>3 years 8 months</t>
  </si>
  <si>
    <t>44</t>
  </si>
  <si>
    <t>1138035</t>
  </si>
  <si>
    <t>https://bnh.lightning.force.com/001WP00000oKy3JYAS</t>
  </si>
  <si>
    <t>Straightforward</t>
  </si>
  <si>
    <t>Tracking/delays but you did give updates so overall not bad!</t>
  </si>
  <si>
    <t>Trade In &gt; Overall Process &gt;, Website &gt; Order Tracking &gt;</t>
  </si>
  <si>
    <t>Trade In &gt; Overall Process &gt; (Positive), Website &gt; Order Tracking &gt; (Negative)</t>
  </si>
  <si>
    <t>Deasia Jackson - Used Trade-In Product</t>
  </si>
  <si>
    <t>Deasia Jackson</t>
  </si>
  <si>
    <t>asiadjaxon@gmail.com</t>
  </si>
  <si>
    <t>Dallas;Texas;75248</t>
  </si>
  <si>
    <t>1134428</t>
  </si>
  <si>
    <t>https://bnh.lightning.force.com/001WP00000onJpeYAE</t>
  </si>
  <si>
    <t>It was so easy and I received updates as the process went on.</t>
  </si>
  <si>
    <t>Nothing to dislike</t>
  </si>
  <si>
    <t>William Hurley - Used Trade-In Product</t>
  </si>
  <si>
    <t>William Hurley</t>
  </si>
  <si>
    <t>hurleywheel@gmail.com</t>
  </si>
  <si>
    <t>Salt Lake City;Utah;84107</t>
  </si>
  <si>
    <t>1137151</t>
  </si>
  <si>
    <t>https://bnh.lightning.force.com/001WP00000qBL3eYAG</t>
  </si>
  <si>
    <t>A smooth, straightforward experience. Excellent service every time!</t>
  </si>
  <si>
    <t>Charlie Jones - Used Trade-In Product</t>
  </si>
  <si>
    <t>Charlie Jones</t>
  </si>
  <si>
    <t>charliejonespdx@frontier.com</t>
  </si>
  <si>
    <t>Beaverton;Oregon;97005</t>
  </si>
  <si>
    <t>1136614</t>
  </si>
  <si>
    <t>https://bnh.lightning.force.com/0011a00000lPMgwAAG</t>
  </si>
  <si>
    <t>The ease of selling gear that I don't plan on using again.</t>
  </si>
  <si>
    <t>Nothing other than I think it would be great if B&amp;H gave you extra $ if you send the money at B&amp;H on future purchases.  I sold two Canon EF lens with the intention of making room in the lens lineup for new RF len(s).  Why not make sure that I make the future purchase(s) at B&amp;H and not somewhere else.</t>
  </si>
  <si>
    <t>Used &gt; Description &gt; (No opinion)</t>
  </si>
  <si>
    <t>Wants additional incentive for choosing store credit as payment method</t>
  </si>
  <si>
    <t>Kerry Drager - Used Trade-In Product</t>
  </si>
  <si>
    <t>Kerry Drager</t>
  </si>
  <si>
    <t>kerry.drager@gmail.com</t>
  </si>
  <si>
    <t>Morro Bay;California;93442</t>
  </si>
  <si>
    <t>1135977</t>
  </si>
  <si>
    <t>https://bnh.lightning.force.com/0018X00003MYGsNQAX</t>
  </si>
  <si>
    <t>The ease of receiving the quote and then completing the transaction.</t>
  </si>
  <si>
    <t>Gary Wiemokly - Used Trade-In Product</t>
  </si>
  <si>
    <t>Gary Wiemokly</t>
  </si>
  <si>
    <t>gwiemokl@gmail.com</t>
  </si>
  <si>
    <t>Lafayette;Colorado;80026</t>
  </si>
  <si>
    <t>8 years 8 months</t>
  </si>
  <si>
    <t>104</t>
  </si>
  <si>
    <t>1137423</t>
  </si>
  <si>
    <t>https://bnh.lightning.force.com/001WP00000nAlUrYAK</t>
  </si>
  <si>
    <t>This is a very easy experience. Your online process is very simple and precise. Then I get updates on the status. It's pretty fast and usually what was assessed online. This time I screwed up the version (I had version 1 and put down 2). Your team called me up and explained. Pretty easy my mistake - they updated price, asked if ok, and then off to process. Check came in the mail.</t>
  </si>
  <si>
    <t>Usually I sell something old, not used anymore to replace with something I could use more. So I sell and then buy through B&amp;H (I don't shop too much since I know prices are good). What I'd like is to have store credit that I can use online. Instead I either have to take credit and call to order, or I have to get a check mailed and then order. Not the end of the world but it would be more convenient to have the credit to use online</t>
  </si>
  <si>
    <t>Pricing &gt; Value for Money &gt;, Trade In &gt; Overall Process &gt;, Trade In &gt; Quote Price &gt;, Used &gt; Description &gt;, Used &gt; Pricing &gt;, Website &gt; Order Tracking &gt;</t>
  </si>
  <si>
    <t>Payment &gt; Online &gt;, People &gt; Follow Up &gt;, Pricing &gt; Value for Money &gt;, Trade In &gt; Overall Process &gt;, Trade In &gt; Quote Price &gt;, Used &gt; Description &gt;, Used &gt; Pricing &gt;, Website &gt; Order Tracking &gt;</t>
  </si>
  <si>
    <t>Pricing &gt; Value for Money &gt; (Positive), Trade In &gt; Overall Process &gt; (Positive), Trade In &gt; Quote Price &gt; (Positive), Used &gt; Description &gt; (Negative), Used &gt; Description &gt; (No opinion), Used &gt; Pricing &gt; (Positive), Website &gt; Order Tracking &gt; (No opinion)</t>
  </si>
  <si>
    <t>Payment &gt; Online &gt; (Negative), People &gt; Follow Up &gt; (Positive), Pricing &gt; Value for Money &gt; (Positive), Trade In &gt; Overall Process &gt; (Negative), Trade In &gt; Overall Process &gt; (Positive), Trade In &gt; Quote Price &gt; (Positive), Used &gt; Description &gt; (No opinion), Used &gt; Pricing &gt; (Positive), Website &gt; Order Tracking &gt; (No opinion)</t>
  </si>
  <si>
    <t>Jinger Brulz - Used Trade-In Product</t>
  </si>
  <si>
    <t>Jinger Brulz</t>
  </si>
  <si>
    <t>jingerbrulz@gmail.com</t>
  </si>
  <si>
    <t>Menomonie;Wisconsin;54751</t>
  </si>
  <si>
    <t>1134744</t>
  </si>
  <si>
    <t>https://bnh.lightning.force.com/001WP00000oqkBkYAI</t>
  </si>
  <si>
    <t>B&amp;H were great at keeping me up to date.  There was a bit of a delay but they communicated that effectively.  I will definitely sell used items and look for used items to buy as well.</t>
  </si>
  <si>
    <t>They did not want some of my used sony gear.</t>
  </si>
  <si>
    <t>People &gt; Follow Up &gt;, Trade In &gt; Overall Process &gt;, Trade In &gt; Timeliness of Payment &gt;</t>
  </si>
  <si>
    <t>People &gt; Follow Up &gt; (Positive), Trade In &gt; Overall Process &gt; (Negative), Trade In &gt; Timeliness of Payment &gt; (Negative)</t>
  </si>
  <si>
    <t>Stanley Rothstein - Used Trade-In Product</t>
  </si>
  <si>
    <t>Stanley Rothstein</t>
  </si>
  <si>
    <t>stanleyrothstein2@gmail.com</t>
  </si>
  <si>
    <t>West Simsbury;Connecticut;06092</t>
  </si>
  <si>
    <t>4 years 1 months</t>
  </si>
  <si>
    <t>49</t>
  </si>
  <si>
    <t>1137645</t>
  </si>
  <si>
    <t>https://bnh.lightning.force.com/0012L00001JTluYQAT</t>
  </si>
  <si>
    <t>Efficient and effective experience throughout the transaction.</t>
  </si>
  <si>
    <t>Took longer than expected to examine the item.</t>
  </si>
  <si>
    <t>Paul Westbrook - Used Trade-In Product</t>
  </si>
  <si>
    <t>Paul Westbrook</t>
  </si>
  <si>
    <t>westbrookpr@gmail.com</t>
  </si>
  <si>
    <t>Godfrey;Illinois;62035</t>
  </si>
  <si>
    <t>1136819</t>
  </si>
  <si>
    <t>https://bnh.lightning.force.com/001WP00000pzyfLYAQ</t>
  </si>
  <si>
    <t>This was a very convenient, seamless process that took the hassle out of deciding what to do with my older camera equipment. From shipping the equipment with the provided pre-paid label, to receiving the check in the mail, I am quite pleased.</t>
  </si>
  <si>
    <t>Kenneth Clason - Used Trade-In Product</t>
  </si>
  <si>
    <t>Kenneth Clason</t>
  </si>
  <si>
    <t>kenneth.clason@gmail.com</t>
  </si>
  <si>
    <t>Tiffin;Ohio;44883</t>
  </si>
  <si>
    <t>1137199</t>
  </si>
  <si>
    <t>https://bnh.lightning.force.com/001Hs00005n0c6LIAQ</t>
  </si>
  <si>
    <t>Very easy and quick.</t>
  </si>
  <si>
    <t>Higher quote would always be great!</t>
  </si>
  <si>
    <t>Lisa Maco - Used Trade-In Product</t>
  </si>
  <si>
    <t>Lisa Maco</t>
  </si>
  <si>
    <t>lisa@lisamaco.com</t>
  </si>
  <si>
    <t>Washington;District Of Columbia;20007</t>
  </si>
  <si>
    <t>1137154</t>
  </si>
  <si>
    <t>https://bnh.lightning.force.com/0012L00001Ef927QAB</t>
  </si>
  <si>
    <t>It was all very straight-forward and there was no dickering on the price after you received the lens from me.</t>
  </si>
  <si>
    <t>I wish you had a description of your ranges of quality. I chatted with someone to get the explanations of each level, but having it on the same page as the form would have been a better experience. Also, I initiated a trade of old lens for a new lens through Nikon, but did not complete it. Nikon was willing to give me slightly more for my old lens and this would have been 1 transaction, but Nikon did not have the lens I wanted in stock and you did. I do like the idea of a trade-in and wish you also had that option.</t>
  </si>
  <si>
    <t>B&amp;H &gt; Satisfaction &gt;, Product &gt; Selection / Variety &gt;, Used &gt; Pricing &gt;</t>
  </si>
  <si>
    <t>B&amp;H &gt; Competitor Mentions &gt;, B&amp;H &gt; Satisfaction &gt;, Trade In &gt; Overall Process &gt;, Trade In &gt; Timeliness of Payment &gt;, Website &gt; Content Product Details / Information &gt;</t>
  </si>
  <si>
    <t>B&amp;H &gt; Satisfaction &gt; (Negative), Product &gt; Selection / Variety &gt; (Negative), Used &gt; Pricing &gt; (Positive)</t>
  </si>
  <si>
    <t>B&amp;H &gt; Competitor Mentions &gt; (Positive), B&amp;H &gt; Satisfaction &gt; (Negative), Trade In &gt; Overall Process &gt; (Positive), Trade In &gt; Timeliness of Payment &gt; (Positive), Website &gt; Content Product Details / Information &gt; (Negative)</t>
  </si>
  <si>
    <t>Wants description of quality ranges online</t>
  </si>
  <si>
    <t>Barry Swidler - Used Trade-In Product</t>
  </si>
  <si>
    <t>Barry Swidler</t>
  </si>
  <si>
    <t>barryswid@gmail.com</t>
  </si>
  <si>
    <t>Missoula;Montana;59808</t>
  </si>
  <si>
    <t>9 years 0 months</t>
  </si>
  <si>
    <t>108</t>
  </si>
  <si>
    <t>1135959</t>
  </si>
  <si>
    <t>https://bnh.lightning.force.com/0011a00000c0crSAAQ</t>
  </si>
  <si>
    <t>How efficient it all went with excellent communication.</t>
  </si>
  <si>
    <t>Landon Johnson - Used Trade-In Product</t>
  </si>
  <si>
    <t>Landon Johnson</t>
  </si>
  <si>
    <t>jlandon917@gmail.com</t>
  </si>
  <si>
    <t>Ridgecrest;California;93555</t>
  </si>
  <si>
    <t>1136646</t>
  </si>
  <si>
    <t>https://bnh.lightning.force.com/001WP00000ptVyqYAE</t>
  </si>
  <si>
    <t>Efficiency</t>
  </si>
  <si>
    <t>Ken Tyndall - Used Trade-In Product</t>
  </si>
  <si>
    <t>Ken Tyndall</t>
  </si>
  <si>
    <t>historyguy@me.com</t>
  </si>
  <si>
    <t>Trent Woods;North Carolina;28562</t>
  </si>
  <si>
    <t>New Bern;North Carolina;28562</t>
  </si>
  <si>
    <t>6 years 4 months</t>
  </si>
  <si>
    <t>76</t>
  </si>
  <si>
    <t>1138866</t>
  </si>
  <si>
    <t>https://bnh.lightning.force.com/0012L000012J2XlQAK</t>
  </si>
  <si>
    <t>It was an easy process.</t>
  </si>
  <si>
    <t>Pretty simple process that I'm not sure there's enough to it to really dislike.</t>
  </si>
  <si>
    <t>Eric Moor - Used Trade-In Product</t>
  </si>
  <si>
    <t>Eric Moor</t>
  </si>
  <si>
    <t>moor110@comcast.net</t>
  </si>
  <si>
    <t>North Adams;Michigan;49262</t>
  </si>
  <si>
    <t>1140045</t>
  </si>
  <si>
    <t>https://bnh.lightning.force.com/0018X000034ZeqRQAS</t>
  </si>
  <si>
    <t>B&amp;H communicated with me through every step of the process. From sending the quote and the shipping label, to communicating when it was received and how long it would take to get to it, I was never in the dark about the process. Thank you.</t>
  </si>
  <si>
    <t>People &gt; Follow Up &gt;, Trade In &gt; Overall Process &gt;</t>
  </si>
  <si>
    <t>Trade In &gt; Overall Process &gt; (No opinion), Trade In &gt; Overall Process &gt; (Positive)</t>
  </si>
  <si>
    <t>People &gt; Follow Up &gt; (Positive), Trade In &gt; Overall Process &gt; (Positive)</t>
  </si>
  <si>
    <t>Trevor Scott - Used Trade-In Product</t>
  </si>
  <si>
    <t>Trevor Scott</t>
  </si>
  <si>
    <t>trev.r.scott@outlook.com</t>
  </si>
  <si>
    <t>Wilmington;North Carolina;28405</t>
  </si>
  <si>
    <t>4 years 5 months</t>
  </si>
  <si>
    <t>53</t>
  </si>
  <si>
    <t>1139634</t>
  </si>
  <si>
    <t>https://bnh.lightning.force.com/0012L00001H5EWPQA3</t>
  </si>
  <si>
    <t>Very easy to navigate the whole selling process</t>
  </si>
  <si>
    <t>Trade In &gt; Overall Process &gt;, Website &gt; Navigation &gt;</t>
  </si>
  <si>
    <t>Trade In &gt; Overall Process &gt; (Positive), Website &gt; Navigation &gt; (Positive)</t>
  </si>
  <si>
    <t>Charles Coleman - Used Trade-In Product</t>
  </si>
  <si>
    <t>Charles Coleman</t>
  </si>
  <si>
    <t>charlesdcj17@icloud.com</t>
  </si>
  <si>
    <t>Cleveland;Mississippi;38732</t>
  </si>
  <si>
    <t>1136446</t>
  </si>
  <si>
    <t>https://bnh.lightning.force.com/001WP00000ps0x3YAA</t>
  </si>
  <si>
    <t>Expedited process.</t>
  </si>
  <si>
    <t>Thomas Kennedy - Used Trade-In Product</t>
  </si>
  <si>
    <t>Thomas Kennedy</t>
  </si>
  <si>
    <t>trentvictus@gmail.com</t>
  </si>
  <si>
    <t>Vineland;New Jersey;08360</t>
  </si>
  <si>
    <t>1139043</t>
  </si>
  <si>
    <t>https://bnh.lightning.force.com/0012L00001LhyEJQAZ</t>
  </si>
  <si>
    <t>Since 2019 B&amp;H was my go to store, have referred plenty of people here to start their photo, video experiences.</t>
  </si>
  <si>
    <t>Quote# 1139043 
Sent in a undamaged Black Magic Atem Mini ISO mixer was told it was chipped and there is no value to it. 
Was issued a credit on the other item a Black Magic Streaming Bridge, that could not be used online, when asking to have this put in a gift card, gift card was issued without a number on the image. 
Have been working with B&amp;H since 2019 and over the last hour this is by far the worst experience I've ever had, once I am done paying down my payboo account likely will be shopping elsewhere after this.</t>
  </si>
  <si>
    <t>B&amp;H &gt; Loyalty &gt;, B&amp;H &gt; Satisfaction &gt;, Payment &gt; General Mentions &gt;, Trade In &gt; Overall Process &gt;</t>
  </si>
  <si>
    <t>B&amp;H &gt; Loyalty &gt; (Positive), B&amp;H &gt; Satisfaction &gt; (Negative), Payment &gt; General Mentions &gt; (Negative), Trade In &gt; Overall Process &gt; (Negative)</t>
  </si>
  <si>
    <t>Mauricio E Gutierrez - Used Trade-In Product</t>
  </si>
  <si>
    <t>Mauricio E Gutierrez</t>
  </si>
  <si>
    <t>mauriciog3096@gmail.com</t>
  </si>
  <si>
    <t>Glendale;California;91202</t>
  </si>
  <si>
    <t>12 years 8 months</t>
  </si>
  <si>
    <t>152</t>
  </si>
  <si>
    <t>1138641</t>
  </si>
  <si>
    <t>https://bnh.lightning.force.com/0012L00001EX03QQAT</t>
  </si>
  <si>
    <t>Everything.  I would like to visit the store someday!</t>
  </si>
  <si>
    <t>Not one thing.</t>
  </si>
  <si>
    <t>Rollo, Watkins - Used Trade-In Product</t>
  </si>
  <si>
    <t>Rollo, Watkins</t>
  </si>
  <si>
    <t>rollowatkins@gmail.com</t>
  </si>
  <si>
    <t>Springfield;Missouri;65804</t>
  </si>
  <si>
    <t>1133834</t>
  </si>
  <si>
    <t>https://bnh.lightning.force.com/001WP00000oU1RwYAK</t>
  </si>
  <si>
    <t>Check promptly arrived. Thank you.</t>
  </si>
  <si>
    <t>Ellen Leffingwell - Used Trade-In Product</t>
  </si>
  <si>
    <t>Ellen Leffingwell</t>
  </si>
  <si>
    <t>ellen_ln@yahoo.com</t>
  </si>
  <si>
    <t>Bozrah;Connecticut;06334</t>
  </si>
  <si>
    <t>20 years 10 months</t>
  </si>
  <si>
    <t>250</t>
  </si>
  <si>
    <t>1137880</t>
  </si>
  <si>
    <t>https://bnh.lightning.force.com/0012L00001LhqFYQAZ</t>
  </si>
  <si>
    <t>B&amp;H staff are experienced and know how to inspect my equipment expertly.  It was an easy process to get a quote and send in my lens.</t>
  </si>
  <si>
    <t>The price quotes are lower than what I could sell my equipment for if I were to sell directly on ebay or other sites.  (Note: It's completely understandable why the price quotes are what they are, but really there is nothing else I dislike about B&amp;H used process)</t>
  </si>
  <si>
    <t>B&amp;H &gt; Competitor Mentions &gt;, People &gt; Knowledge / Recommend &gt;, Trade In &gt; Overall Process &gt;, Trade In &gt; Quote Price &gt;</t>
  </si>
  <si>
    <t>Pricing &gt; Value for Money &gt; (Negative), Trade In &gt; Overall Process &gt; (Positive), Trade In &gt; Quote Price &gt; (Negative), Trade In &gt; Quote Price &gt; (No opinion), Used &gt; Pricing &gt; (Negative), Used &gt; Pricing &gt; (No opinion)</t>
  </si>
  <si>
    <t>B&amp;H &gt; Competitor Mentions &gt; (Negative), People &gt; Knowledge / Recommend &gt; (Positive), Trade In &gt; Overall Process &gt; (Positive), Trade In &gt; Quote Price &gt; (Negative), Trade In &gt; Quote Price &gt; (Positive)</t>
  </si>
  <si>
    <t>Yifan Chen - Used Trade-In Product</t>
  </si>
  <si>
    <t>Yifan Chen</t>
  </si>
  <si>
    <t>yifanyc@gmail.com</t>
  </si>
  <si>
    <t>State College;Pennsylvania;16801</t>
  </si>
  <si>
    <t>1137357</t>
  </si>
  <si>
    <t>https://bnh.lightning.force.com/0018X00003VOF8BQAX</t>
  </si>
  <si>
    <t>The process is very transparent, and there are updates to let me know the equipment has arrived at B&amp;H safely.</t>
  </si>
  <si>
    <t>The search tool for selecting equipment is a little wonky.</t>
  </si>
  <si>
    <t>Buggy/wonky search tool</t>
  </si>
  <si>
    <t>Arthur Bridgewater - Used Trade-In Product</t>
  </si>
  <si>
    <t>Arthur Bridgewater</t>
  </si>
  <si>
    <t>champc73@aol.com</t>
  </si>
  <si>
    <t>Conyers;Georgia;30013</t>
  </si>
  <si>
    <t>1139320</t>
  </si>
  <si>
    <t>https://bnh.lightning.force.com/001WP00000rNnO7YAK</t>
  </si>
  <si>
    <t>Once I was credited for lens, I was able to order a new lens quickly.  The salesman was very helpful.</t>
  </si>
  <si>
    <t>My package arrived to the store earlier than I expected, but it took several days longer than the estimated time to inspect my lens.</t>
  </si>
  <si>
    <t>People &gt; Helpful / Efficient &gt;, Warehouse Fulfillment &gt; Timeliness &gt;</t>
  </si>
  <si>
    <t>People &gt; Helpful / Efficient &gt;, Trade In &gt; Overall Process &gt;, Trade In &gt; Timeliness of Quote &gt;</t>
  </si>
  <si>
    <t>People &gt; Helpful / Efficient &gt; (Positive), Warehouse Fulfillment &gt; Timeliness &gt; (Positive)</t>
  </si>
  <si>
    <t>People &gt; Helpful / Efficient &gt; (Positive), Trade In &gt; Overall Process &gt; (Positive), Trade In &gt; Timeliness of Quote &gt; (Negative)</t>
  </si>
  <si>
    <t>Kenneth Speckler - Used Trade-In Product</t>
  </si>
  <si>
    <t>Kenneth Speckler</t>
  </si>
  <si>
    <t>kspeckler@verizon.net</t>
  </si>
  <si>
    <t>Cabin John;Maryland;20818</t>
  </si>
  <si>
    <t>27 years 2 months</t>
  </si>
  <si>
    <t>326</t>
  </si>
  <si>
    <t>1139487</t>
  </si>
  <si>
    <t>https://bnh.lightning.force.com/001WP00000rRd0NYAS</t>
  </si>
  <si>
    <t>Fair Pricing</t>
  </si>
  <si>
    <t>Having a hard time getting my a/c in order. Still donn't think I have my password
finalized...??</t>
  </si>
  <si>
    <t>Account Activities &gt; Password/Access &gt;, Trade In &gt; Quote Price &gt;</t>
  </si>
  <si>
    <t>Account Activities &gt; Password/Access &gt; (Negative), Trade In &gt; Quote Price &gt; (Positive)</t>
  </si>
  <si>
    <t>Richard Freiman - Used Trade-In Product</t>
  </si>
  <si>
    <t>Richard Freiman</t>
  </si>
  <si>
    <t>rfreiman@me.com</t>
  </si>
  <si>
    <t>Hallandale Beach;Florida;33009</t>
  </si>
  <si>
    <t>1136791</t>
  </si>
  <si>
    <t>https://bnh.lightning.force.com/0011a00000iRghqAAC</t>
  </si>
  <si>
    <t>Professionally done, I was a little disappointed that my strobe light was not accepted in trade, but it did have some minor damage to the battery area and I guess you have to have it perfect for you to sell it</t>
  </si>
  <si>
    <t>Product &gt; Product Function &gt;</t>
  </si>
  <si>
    <t>Product &gt; Product Function &gt; (Negative)</t>
  </si>
  <si>
    <t>Gary Sylvester - Used Trade-In Product</t>
  </si>
  <si>
    <t>Gary Sylvester</t>
  </si>
  <si>
    <t>j4cvyqxcjc@privaterelay.appleid.com</t>
  </si>
  <si>
    <t>Madison Heights;Michigan;48071</t>
  </si>
  <si>
    <t>1135887</t>
  </si>
  <si>
    <t>https://bnh.lightning.force.com/0012L000014IgqQQAS</t>
  </si>
  <si>
    <t>Received $50 more than quote!   Thank you!</t>
  </si>
  <si>
    <t>Marie Schaller - Used Trade-In Product</t>
  </si>
  <si>
    <t>Marie Schaller</t>
  </si>
  <si>
    <t>mschaller719@gmail.com</t>
  </si>
  <si>
    <t>Tarpon Springs;Florida;34689</t>
  </si>
  <si>
    <t>1138558</t>
  </si>
  <si>
    <t>https://bnh.lightning.force.com/0018X00003OTGXBQA5</t>
  </si>
  <si>
    <t>Everything.  My quote was easy to achieve, and inspection/follow through on my trade in was quick, as was receipt of my egiftcard from trade in.</t>
  </si>
  <si>
    <t>Nothing at all.</t>
  </si>
  <si>
    <t>Steven Sasson - Used Trade-In Product</t>
  </si>
  <si>
    <t>Steven Sasson</t>
  </si>
  <si>
    <t>ssasson1@rochester.rr.com</t>
  </si>
  <si>
    <t>Charlottesville;Virginia;22901</t>
  </si>
  <si>
    <t>10 years 2 months</t>
  </si>
  <si>
    <t>122</t>
  </si>
  <si>
    <t>1137496</t>
  </si>
  <si>
    <t>https://bnh.lightning.force.com/001WP00000qNtvaYAC</t>
  </si>
  <si>
    <t>simple process</t>
  </si>
  <si>
    <t>took a while to confirm the value by B&amp;H</t>
  </si>
  <si>
    <t>Ronald Witt - Used Trade-In Product</t>
  </si>
  <si>
    <t>Ronald Witt</t>
  </si>
  <si>
    <t>2249362@gmail.com</t>
  </si>
  <si>
    <t>Cedarburg;Wisconsin;53012</t>
  </si>
  <si>
    <t>1136812</t>
  </si>
  <si>
    <t>https://bnh.lightning.force.com/001Hs00005AZWagIAH</t>
  </si>
  <si>
    <t>I've been shopping with you for nearly two decades and you are the only supplier for all my cameras and most of my computers. I say most of the computers because some of the Apple products I buy are purchase direct. However, for my business all my products typically go through your business because it is simply the best...</t>
  </si>
  <si>
    <t>I think a manually cut, check and sent in the mail seems a little backwards. I think we could be starting to consider utilizing PayPal or venmo for payout systems.</t>
  </si>
  <si>
    <t>Payment &gt; Online &gt;</t>
  </si>
  <si>
    <t>Payment &gt; Online &gt; (Negative)</t>
  </si>
  <si>
    <t>B&amp;H &gt; Loyalty &gt; (Positive), B&amp;H &gt; Satisfaction &gt; (Positive), Trade In &gt; Overall Process &gt; (Negative)</t>
  </si>
  <si>
    <t>B&amp;H is trustworthy/honest/great/reliable/best</t>
  </si>
  <si>
    <t>Meredith Lee - Used Trade-In Product</t>
  </si>
  <si>
    <t>Meredith Lee</t>
  </si>
  <si>
    <t>meri.lee@mangwe.com</t>
  </si>
  <si>
    <t>Monticello;Minnesota;55362</t>
  </si>
  <si>
    <t>16 years 6 months</t>
  </si>
  <si>
    <t>198</t>
  </si>
  <si>
    <t>1135901</t>
  </si>
  <si>
    <t>https://bnh.lightning.force.com/0018X00003T7QCCQA3</t>
  </si>
  <si>
    <t>Finding a reputable and fair company to trade my dad's gear to. It was very easy to complete the process.</t>
  </si>
  <si>
    <t>B&amp;H &gt; Reliable / Trustworthy &gt; (Positive), Trade In &gt; Overall Process &gt; (Strongly positive)</t>
  </si>
  <si>
    <t>David Migdal - Used Trade-In Product</t>
  </si>
  <si>
    <t>David Migdal</t>
  </si>
  <si>
    <t>migdaldj@yahoo.com</t>
  </si>
  <si>
    <t>Long Branch;New Jersey;07740</t>
  </si>
  <si>
    <t>1136268</t>
  </si>
  <si>
    <t>https://bnh.lightning.force.com/001WP00000pia4CYAQ</t>
  </si>
  <si>
    <t>Seamless experience with no issues...payment was prompt</t>
  </si>
  <si>
    <t>Christopher Harper - Used Trade-In Product</t>
  </si>
  <si>
    <t>Christopher Harper</t>
  </si>
  <si>
    <t>charper2076@icloud.com</t>
  </si>
  <si>
    <t>Clarksville;Tennessee;37043</t>
  </si>
  <si>
    <t>1137793</t>
  </si>
  <si>
    <t>https://bnh.lightning.force.com/001WP00000qYOKPYA4</t>
  </si>
  <si>
    <t>Reliable, trustworthy.</t>
  </si>
  <si>
    <t>Steven Hirohama - Used Trade-In Product</t>
  </si>
  <si>
    <t>Steven Hirohama</t>
  </si>
  <si>
    <t>stevenhirohama@mac.com</t>
  </si>
  <si>
    <t>Culver City;California;90230</t>
  </si>
  <si>
    <t>16 years 3 months</t>
  </si>
  <si>
    <t>195</t>
  </si>
  <si>
    <t>1136452</t>
  </si>
  <si>
    <t>https://bnh.lightning.force.com/0012L00001EeyhnQAB</t>
  </si>
  <si>
    <t>Morris worked late on Monday to take care of my order. 
I only would use B&amp;H again to trade-in - whereas some of my friends use KEH.</t>
  </si>
  <si>
    <t>B&amp;H &gt; Competitor Mentions &gt;, B&amp;H &gt; Loyalty &gt;, People &gt; Helpful / Efficient &gt;, Trade In &gt; Overall Process &gt;</t>
  </si>
  <si>
    <t>Used &gt; Description &gt; (No opinion), Used &gt; Description &gt; (Positive)</t>
  </si>
  <si>
    <t>B&amp;H &gt; Competitor Mentions &gt; (Negative), B&amp;H &gt; Loyalty &gt; (Positive), People &gt; Helpful / Efficient &gt; (Positive), Trade In &gt; Overall Process &gt; (Positive)</t>
  </si>
  <si>
    <t>Gerald Jenkins - Used Trade-In Product</t>
  </si>
  <si>
    <t>Gerald Jenkins</t>
  </si>
  <si>
    <t>artfun12@gmail.com</t>
  </si>
  <si>
    <t>Margate;Florida;33063</t>
  </si>
  <si>
    <t>9 years 8 months</t>
  </si>
  <si>
    <t>116</t>
  </si>
  <si>
    <t>1137826</t>
  </si>
  <si>
    <t>https://bnh.lightning.force.com/0012L00001AyBAXQA3</t>
  </si>
  <si>
    <t>I've been with b&amp;h for as long as I can remember.  "Quite a professional  business".  Ritz camera etc have all closed but B&amp;H will always stand strong. Now excuse me while I purchase some equipment.</t>
  </si>
  <si>
    <t>Too far from Margate, Florida.</t>
  </si>
  <si>
    <t>B&amp;H &gt; Geographical Location &gt;, B&amp;H &gt; Loyalty &gt;, B&amp;H &gt; Reliable / Trustworthy &gt;</t>
  </si>
  <si>
    <t>B&amp;H &gt; Geographical Location &gt; (Negative), B&amp;H &gt; Loyalty &gt; (Positive), B&amp;H &gt; Reliable / Trustworthy &gt; (Positive)</t>
  </si>
  <si>
    <t>Sheree Turner - Used Trade-In Product</t>
  </si>
  <si>
    <t>Sheree Turner</t>
  </si>
  <si>
    <t>1134264</t>
  </si>
  <si>
    <t>https://bnh.lightning.force.com/0011a00000FPf9TAAT</t>
  </si>
  <si>
    <t>The web app is very streamlined.</t>
  </si>
  <si>
    <t>Mobile | App &gt; Overall Satisfaction &gt;</t>
  </si>
  <si>
    <t>Mobile | App &gt; Overall Satisfaction &gt; (Positive)</t>
  </si>
  <si>
    <t>John Papenberg - Used Trade-In Product</t>
  </si>
  <si>
    <t>John Papenberg</t>
  </si>
  <si>
    <t>jpap1059@gmail.com</t>
  </si>
  <si>
    <t>Ballwin;Missouri;63021</t>
  </si>
  <si>
    <t>1139176</t>
  </si>
  <si>
    <t>https://bnh.lightning.force.com/0012L000012K2K0QAK</t>
  </si>
  <si>
    <t>I always feel like the prices are totally fair and I never have you all tell me that it’s not worth what I think it’s worth.</t>
  </si>
  <si>
    <t>Nothing at all really on this one</t>
  </si>
  <si>
    <t>Vijay Damaraju - Used Trade-In Product</t>
  </si>
  <si>
    <t>Vijay Damaraju</t>
  </si>
  <si>
    <t>vijay.d@gmail.com</t>
  </si>
  <si>
    <t>Holly Springs;North Carolina;27540</t>
  </si>
  <si>
    <t>10 years 4 months</t>
  </si>
  <si>
    <t>124</t>
  </si>
  <si>
    <t>1134277</t>
  </si>
  <si>
    <t>https://bnh.lightning.force.com/001WP00000ohUsXYAU</t>
  </si>
  <si>
    <t>Very easy to select/ include all accessories to get a proper quote</t>
  </si>
  <si>
    <t>Rich Cotte - Used Trade-In Product</t>
  </si>
  <si>
    <t>Rich Cotte</t>
  </si>
  <si>
    <t>richc@firsthuntfoundation.org</t>
  </si>
  <si>
    <t>Plains;Montana;59859</t>
  </si>
  <si>
    <t>17 years 2 months</t>
  </si>
  <si>
    <t>206</t>
  </si>
  <si>
    <t>1132592</t>
  </si>
  <si>
    <t>https://bnh.lightning.force.com/0018X00003Gp2GYQAZ</t>
  </si>
  <si>
    <t>The ease of the overall process and timeliness of payment.</t>
  </si>
  <si>
    <t>Nothing at all!</t>
  </si>
  <si>
    <t>Kent Thompson - Used Trade-In Product</t>
  </si>
  <si>
    <t>Kent Thompson</t>
  </si>
  <si>
    <t>s_man38@hotmail.com</t>
  </si>
  <si>
    <t>New York;New York;10011</t>
  </si>
  <si>
    <t>1139569</t>
  </si>
  <si>
    <t>Very professional service.</t>
  </si>
  <si>
    <t>Kenneth Kraemer - Used Trade-In Product</t>
  </si>
  <si>
    <t>Kenneth Kraemer</t>
  </si>
  <si>
    <t>partskenn@yahoo.com</t>
  </si>
  <si>
    <t>Tucson;Arizona;85746</t>
  </si>
  <si>
    <t>4 months</t>
  </si>
  <si>
    <t>4</t>
  </si>
  <si>
    <t>1134822</t>
  </si>
  <si>
    <t>https://bnh.lightning.force.com/001Hs00005n3vYGIAY</t>
  </si>
  <si>
    <t>Easy</t>
  </si>
  <si>
    <t>Delay in  inspecting my item before issuing payment.</t>
  </si>
  <si>
    <t>John R Lego Sr. - Used Trade-In Product</t>
  </si>
  <si>
    <t>John R Lego Sr.</t>
  </si>
  <si>
    <t>ron.lego@me.com</t>
  </si>
  <si>
    <t>Phoenixville;Pennsylvania;19460</t>
  </si>
  <si>
    <t>1136633</t>
  </si>
  <si>
    <t>https://bnh.lightning.force.com/0018X00003VOBTeQAP</t>
  </si>
  <si>
    <t>Ease of doing business.</t>
  </si>
  <si>
    <t>Prices benchmarked a little low.</t>
  </si>
  <si>
    <t>Darrin Lingle - Used Trade-In Product</t>
  </si>
  <si>
    <t>Darrin Lingle</t>
  </si>
  <si>
    <t>dalin@lingletech.com</t>
  </si>
  <si>
    <t>Lakewood;Colorado;80232</t>
  </si>
  <si>
    <t>1136642</t>
  </si>
  <si>
    <t>https://bnh.lightning.force.com/001WP00000ptZsuYAE</t>
  </si>
  <si>
    <t>easy to sell my gear.</t>
  </si>
  <si>
    <t>waiting for an old fashion paper check. MPB sends money through ACH.</t>
  </si>
  <si>
    <t>B&amp;H &gt; Competitor Mentions &gt;, Trade In &gt; Overall Process &gt;, Trade In &gt; Timeliness of Payment &gt;</t>
  </si>
  <si>
    <t>B&amp;H &gt; Competitor Mentions &gt; (Negative), Trade In &gt; Overall Process &gt; (Positive), Trade In &gt; Timeliness of Payment &gt; (Negative)</t>
  </si>
  <si>
    <t>Roger Dubois - Used Trade-In Product</t>
  </si>
  <si>
    <t>Roger Dubois</t>
  </si>
  <si>
    <t>roger.a.dubois@gmail.com</t>
  </si>
  <si>
    <t>Newport News;Virginia;23606</t>
  </si>
  <si>
    <t>1138513</t>
  </si>
  <si>
    <t>https://bnh.lightning.force.com/001WP00000qxs51YAA</t>
  </si>
  <si>
    <t>I believe the pricing was a fair trade.  I liked the confirmation email with an update to when my equipment would be evaluated.  The time to receive payment was super quick.</t>
  </si>
  <si>
    <t>No complaints, here.</t>
  </si>
  <si>
    <t>Trade In &gt; Timeliness of Payment &gt;, Used &gt; Pricing &gt;</t>
  </si>
  <si>
    <t>Trade In &gt; Timeliness of Payment &gt; (Positive), Used &gt; Pricing &gt; (Positive)</t>
  </si>
  <si>
    <t>Russell Schwers - Used Trade-In Product</t>
  </si>
  <si>
    <t>Russell Schwers</t>
  </si>
  <si>
    <t>r.schwers@gmail.com</t>
  </si>
  <si>
    <t>Hollis;New Hampshire;03049</t>
  </si>
  <si>
    <t>1135273</t>
  </si>
  <si>
    <t>https://bnh.lightning.force.com/001WP00000p8UqJYAU</t>
  </si>
  <si>
    <t>How Fast Your Response Was with a great Fair Offer. 
I was using one of your competitors previously &amp; became so dissatisfied that will never use them again for trades or new purchases of used gear.</t>
  </si>
  <si>
    <t>Nothing At All</t>
  </si>
  <si>
    <t>B&amp;H &gt; Competitor Mentions &gt;, Used &gt; Description &gt;</t>
  </si>
  <si>
    <t>B&amp;H &gt; Competitor Mentions &gt;, Trade In &gt; Overall Process &gt;, Trade In &gt; Quote Price &gt;, Trade In &gt; Timeliness of Quote &gt;</t>
  </si>
  <si>
    <t>B&amp;H &gt; Competitor Mentions &gt; (Negative), Used &gt; Description &gt; (Negative)</t>
  </si>
  <si>
    <t>B&amp;H &gt; Competitor Mentions &gt; (Positive), Trade In &gt; Overall Process &gt; (Positive), Trade In &gt; Quote Price &gt; (Positive), Trade In &gt; Timeliness of Quote &gt; (Positive)</t>
  </si>
  <si>
    <t>Jasmine Smith-Cherry - Used Trade-In Product</t>
  </si>
  <si>
    <t>Jasmine Smith-Cherry</t>
  </si>
  <si>
    <t>jasminecherryartwork@gmail.com</t>
  </si>
  <si>
    <t>Old Orchard Beach;Maine;04064</t>
  </si>
  <si>
    <t>1134394</t>
  </si>
  <si>
    <t>https://bnh.lightning.force.com/001WP00000onRwdYAE</t>
  </si>
  <si>
    <t>Extremely easy throughout the entirety of the process</t>
  </si>
  <si>
    <t>Sean Ardor - Used Trade-In Product</t>
  </si>
  <si>
    <t>Sean Ardor</t>
  </si>
  <si>
    <t>promo@trueparallelgroup.com</t>
  </si>
  <si>
    <t>La Quinta;California;92253</t>
  </si>
  <si>
    <t>Indian Wells;California;92210</t>
  </si>
  <si>
    <t>5 years 1 months</t>
  </si>
  <si>
    <t>61</t>
  </si>
  <si>
    <t>1137348</t>
  </si>
  <si>
    <t>https://bnh.lightning.force.com/0018X00003VRl15QAD</t>
  </si>
  <si>
    <t>It was not possible to look up my exact item through your online tool. The lookup tool is extremely imperfect - searching “canon fd /f1.4” didn’t even return Canon lenses, but non-lens products from other manufacturers. It makes it hard to sell.</t>
  </si>
  <si>
    <t>Website &gt; Overall Satisfaction &gt; (Negative)</t>
  </si>
  <si>
    <t>Couldn't find the product (customer was trying to sell) in the used search bar</t>
  </si>
  <si>
    <t>Lindsay Sanderson - Used Trade-In Product</t>
  </si>
  <si>
    <t>Lindsay Sanderson</t>
  </si>
  <si>
    <t>imagerybylindsay@gmail.com</t>
  </si>
  <si>
    <t>Alpine;Utah;84004</t>
  </si>
  <si>
    <t>1138267</t>
  </si>
  <si>
    <t>https://bnh.lightning.force.com/001WP00000qsXW6YAM</t>
  </si>
  <si>
    <t>I appreciated the update when my used item was received.</t>
  </si>
  <si>
    <t>I am bummed to have lost money on the lens, but I understand this is normal.</t>
  </si>
  <si>
    <t>Joshua Shorter - Used Trade-In Product</t>
  </si>
  <si>
    <t>Joshua Shorter</t>
  </si>
  <si>
    <t>joshuashorter333@gmail.com</t>
  </si>
  <si>
    <t>Las Vegas;Nevada;89131</t>
  </si>
  <si>
    <t>1131206</t>
  </si>
  <si>
    <t>https://bnh.lightning.force.com/001WP00000nCUkaYAG</t>
  </si>
  <si>
    <t>It was very straightforward, the price was very reasonable, and the time it took was minimal.</t>
  </si>
  <si>
    <t>Pricing &gt; Value for Money &gt;, Used &gt; Pricing &gt;</t>
  </si>
  <si>
    <t>Pricing &gt; Value for Money &gt; (Positive), Used &gt; Pricing &gt; (Positive)</t>
  </si>
  <si>
    <t>Nancy L Campbell - Used Trade-In Product</t>
  </si>
  <si>
    <t>Nancy L Campbell</t>
  </si>
  <si>
    <t>nlcmd@earthlink.net</t>
  </si>
  <si>
    <t>Southport;North Carolina;28461</t>
  </si>
  <si>
    <t>1134262</t>
  </si>
  <si>
    <t>https://bnh.lightning.force.com/001WP00000oeMlDYAU</t>
  </si>
  <si>
    <t>No refund for quality UV lenses purchased from you, and would have hoped for more for my essentially unused equipment.  But, it is what it is…</t>
  </si>
  <si>
    <t>Pricing &gt; Refund &gt;</t>
  </si>
  <si>
    <t>Pricing &gt; Refund &gt; (Negative)</t>
  </si>
  <si>
    <t>Thomas Heim - Used Trade-In Product</t>
  </si>
  <si>
    <t>Thomas Heim</t>
  </si>
  <si>
    <t>theim33@icloud.com</t>
  </si>
  <si>
    <t>Westborough;Massachusetts;01581</t>
  </si>
  <si>
    <t>1137634</t>
  </si>
  <si>
    <t>https://bnh.lightning.force.com/001Hs00004m6Z2YIAU</t>
  </si>
  <si>
    <t>B&amp;H continues to set high standards which all retailers should strive for.  Highly efficient and a very professional staff who are very pleasant to deal with.</t>
  </si>
  <si>
    <t>B&amp;H &gt; Satisfaction &gt;, People &gt; Courtesy / Professional &gt;</t>
  </si>
  <si>
    <t>B&amp;H &gt; Satisfaction &gt; (Positive), People &gt; Courtesy / Professional &gt; (Positive)</t>
  </si>
  <si>
    <t>Suzanne Wisher - Used Trade-In Product</t>
  </si>
  <si>
    <t>Suzanne Wisher</t>
  </si>
  <si>
    <t>swisher65@gmail.com</t>
  </si>
  <si>
    <t>West Hartford;Connecticut;06119</t>
  </si>
  <si>
    <t>1 years 10 months</t>
  </si>
  <si>
    <t>22</t>
  </si>
  <si>
    <t>1137050</t>
  </si>
  <si>
    <t>https://bnh.lightning.force.com/0018X00003OSTBKQA5</t>
  </si>
  <si>
    <t>The ease of sending in used items and getting a decent return for them!</t>
  </si>
  <si>
    <t>Nothing as usual</t>
  </si>
  <si>
    <t>Steven Paschen - Used Trade-In Product</t>
  </si>
  <si>
    <t>Steven Paschen</t>
  </si>
  <si>
    <t>paschen@paschen.org</t>
  </si>
  <si>
    <t>Port Charlotte;Florida;33953</t>
  </si>
  <si>
    <t>7 years 9 months</t>
  </si>
  <si>
    <t>93</t>
  </si>
  <si>
    <t>1135965</t>
  </si>
  <si>
    <t>https://bnh.lightning.force.com/001WP00000pXPVkYAO</t>
  </si>
  <si>
    <t>Gershon Orenstein,Sergio Jonusas,Aine Hoye</t>
  </si>
  <si>
    <t>Very simple and straightforward</t>
  </si>
  <si>
    <t>nothing here</t>
  </si>
  <si>
    <t>David Machek - Used Trade-In Product</t>
  </si>
  <si>
    <t>David Machek</t>
  </si>
  <si>
    <t>dmachek@yahoo.com</t>
  </si>
  <si>
    <t>Bloomington;Illinois;61704</t>
  </si>
  <si>
    <t>1135593</t>
  </si>
  <si>
    <t>https://bnh.lightning.force.com/001WP00000pK4mxYAC</t>
  </si>
  <si>
    <t>Quote was a fair price. It was easy to ship to you and email noticed once you received my gear and payment in hand within two weeks!! Very happy thank you</t>
  </si>
  <si>
    <t>Nothing everything was straight forward!</t>
  </si>
  <si>
    <t>Steven Sirois - Used Trade-In Product</t>
  </si>
  <si>
    <t>Steven Sirois</t>
  </si>
  <si>
    <t>sirois72@gmail.com</t>
  </si>
  <si>
    <t>Kansas City;Missouri;64154</t>
  </si>
  <si>
    <t>1137794</t>
  </si>
  <si>
    <t>https://bnh.lightning.force.com/001WP00000ndK69YAE</t>
  </si>
  <si>
    <t>Your store is very easy to deal with, fast response, good service</t>
  </si>
  <si>
    <t>Johanna Heidorn - Used Trade-In Product</t>
  </si>
  <si>
    <t>Johanna Heidorn</t>
  </si>
  <si>
    <t>jheidorn@umn.edu</t>
  </si>
  <si>
    <t>Burnsville;Minnesota;55337</t>
  </si>
  <si>
    <t>1134931</t>
  </si>
  <si>
    <t>https://bnh.lightning.force.com/001WP00000ovdKcYAI</t>
  </si>
  <si>
    <t>I have trusted B &amp; H for over a decade and have never been disappointed. They continue to prove themselves with great and efficient service. I will continue to shop and trade in gear because I receive fair quotes and pricing and always walk away a happy customer. Thanks for making it easy!</t>
  </si>
  <si>
    <t>I have nothing bad to say about my experience.</t>
  </si>
  <si>
    <t>B&amp;H &gt; Reliable / Trustworthy &gt;, Trade In &gt; Overall Process &gt;, Trade In &gt; Quote Price &gt;, Used &gt; Pricing &gt;</t>
  </si>
  <si>
    <t>B&amp;H &gt; Loyalty &gt;, B&amp;H &gt; Reliable / Trustworthy &gt;, B&amp;H &gt; Satisfaction &gt;, Pricing &gt; Value for Money &gt;, Trade In &gt; Overall Process &gt;, Trade In &gt; Quote Price &gt;</t>
  </si>
  <si>
    <t>B&amp;H &gt; Reliable / Trustworthy &gt; (Positive), Trade In &gt; Overall Process &gt; (Positive), Trade In &gt; Quote Price &gt; (Positive), Used &gt; Pricing &gt; (Positive)</t>
  </si>
  <si>
    <t>B&amp;H &gt; Loyalty &gt; (Positive), B&amp;H &gt; Reliable / Trustworthy &gt; (Positive), B&amp;H &gt; Satisfaction &gt; (Positive), Pricing &gt; Value for Money &gt; (Positive), Trade In &gt; Overall Process &gt; (Positive), Trade In &gt; Quote Price &gt; (Positive)</t>
  </si>
  <si>
    <t>Lori Mitchell - Used Trade-In Product</t>
  </si>
  <si>
    <t>Lori Mitchell</t>
  </si>
  <si>
    <t>ldm58@yahoo.com</t>
  </si>
  <si>
    <t>Leander;Texas;78641</t>
  </si>
  <si>
    <t>1138575</t>
  </si>
  <si>
    <t>https://bnh.lightning.force.com/001WP00000r1MRWYA2</t>
  </si>
  <si>
    <t>The ease is submitting.</t>
  </si>
  <si>
    <t>Katherine Hidalgo - Used Trade-In Product</t>
  </si>
  <si>
    <t>Katherine Hidalgo</t>
  </si>
  <si>
    <t>kat_hidalgo@yahoo.com</t>
  </si>
  <si>
    <t>21 years 2 months</t>
  </si>
  <si>
    <t>254</t>
  </si>
  <si>
    <t>1135473</t>
  </si>
  <si>
    <t>https://bnh.lightning.force.com/0012L00000tuF7RQAU</t>
  </si>
  <si>
    <t>Doing everything online</t>
  </si>
  <si>
    <t>Likes being able to do everything online (convenience of online sale)</t>
  </si>
  <si>
    <t>Thomas Sutcliffe - Used Trade-In Product</t>
  </si>
  <si>
    <t>Thomas Sutcliffe</t>
  </si>
  <si>
    <t>thomas60sutcliffe@gmail.com</t>
  </si>
  <si>
    <t>Richmond;Rhode Island;02812</t>
  </si>
  <si>
    <t>1136175</t>
  </si>
  <si>
    <t>https://bnh.lightning.force.com/0018X00003SdbGLQAZ</t>
  </si>
  <si>
    <t>The process was very easy and straightforward.</t>
  </si>
  <si>
    <t>Although the equipment I sold was older, it included all the original items to include packaging, instructions etc. with the lens being in perfect condition I would have expected a bit more than the actual quote once it was reviewed by your team.</t>
  </si>
  <si>
    <t>1136990</t>
  </si>
  <si>
    <t>Seriousness, responsibility, and quick contact.</t>
  </si>
  <si>
    <t>It took a long time to send the check after receiving the merchandise. More than two weeks seems like a long time to me.</t>
  </si>
  <si>
    <t>People &gt; Courtesy / Professional &gt;, Trade In &gt; Timeliness of Payment &gt;, Trade In &gt; Timeliness of Quote &gt;</t>
  </si>
  <si>
    <t>People &gt; Courtesy / Professional &gt; (Positive), Trade In &gt; Timeliness of Payment &gt; (Negative), Trade In &gt; Timeliness of Quote &gt; (Positive)</t>
  </si>
  <si>
    <t>Savannah Sosebee - Used Trade-In Product</t>
  </si>
  <si>
    <t>Savannah Sosebee</t>
  </si>
  <si>
    <t>savsosebee@gmail.com</t>
  </si>
  <si>
    <t>Cartersville;Georgia;30120</t>
  </si>
  <si>
    <t>1136195</t>
  </si>
  <si>
    <t>https://bnh.lightning.force.com/001WP00000pfzc4YAA</t>
  </si>
  <si>
    <t>You guys gave me the best quote, easy to live chat with an associate if needed and turn around times were great!</t>
  </si>
  <si>
    <t>B&amp;H &gt; Satisfaction &gt;, Chat Experience &gt; Satisfaction &gt;, Trade In &gt; Overall Process &gt;</t>
  </si>
  <si>
    <t>Chat Experience &gt; Satisfaction &gt;, Trade In &gt; Overall Process &gt;, Trade In &gt; Quote Price &gt;</t>
  </si>
  <si>
    <t>B&amp;H &gt; Satisfaction &gt; (Positive), Chat Experience &gt; Satisfaction &gt; (Positive), Trade In &gt; Overall Process &gt; (Positive)</t>
  </si>
  <si>
    <t>Chat Experience &gt; Satisfaction &gt; (Positive), Trade In &gt; Overall Process &gt; (Positive), Trade In &gt; Quote Price &gt; (Positive)</t>
  </si>
  <si>
    <t>Divine Velasquez - Used Trade-In Product</t>
  </si>
  <si>
    <t>Divine Velasquez</t>
  </si>
  <si>
    <t>divinemvelasquez@gmail.com</t>
  </si>
  <si>
    <t>Mountain View;California;94041</t>
  </si>
  <si>
    <t>1135002</t>
  </si>
  <si>
    <t>https://bnh.lightning.force.com/001WP00000oyGANYA2</t>
  </si>
  <si>
    <t>B&amp;H was honest about everything and called me back to explain the issues that made the camera ineligible, but was also willing to send it back or recycle it. I appreciate that.</t>
  </si>
  <si>
    <t>That I couldn't see the progress of the selling process. After I sent it I was just kinda in the dark about what was happening until I got an email. I would have been nice to see some sort status or info on my gear on the website, and see info on the quote, the gear I sent, that I had shipped it etc.</t>
  </si>
  <si>
    <t>B&amp;H &gt; Reliable / Trustworthy &gt;, Trade In &gt; Overall Process &gt;, Website &gt; Order Tracking &gt;</t>
  </si>
  <si>
    <t>B&amp;H &gt; Reliable / Trustworthy &gt;, People &gt; Overall Satisfaction &gt;, Trade In &gt; Overall Process &gt;</t>
  </si>
  <si>
    <t>B&amp;H &gt; Reliable / Trustworthy &gt; (Positive), Trade In &gt; Overall Process &gt; (Negative), Website &gt; Order Tracking &gt; (Negative)</t>
  </si>
  <si>
    <t>B&amp;H &gt; Reliable / Trustworthy &gt; (Positive), People &gt; Overall Satisfaction &gt; (Positive), Trade In &gt; Overall Process &gt; (Negative), Trade In &gt; Overall Process &gt; (Positive)</t>
  </si>
  <si>
    <t>Adam Morley - Used Trade-In Product</t>
  </si>
  <si>
    <t>Adam Morley</t>
  </si>
  <si>
    <t>morleycontracting@gmail.com</t>
  </si>
  <si>
    <t>Georgetown;Kentucky;40324</t>
  </si>
  <si>
    <t>1135112</t>
  </si>
  <si>
    <t>https://bnh.lightning.force.com/001WP00000p0fnaYAA</t>
  </si>
  <si>
    <t>Good price for the stuff</t>
  </si>
  <si>
    <t>Not being able to receive payment electronically
Difficulty finding the product in the quote builder</t>
  </si>
  <si>
    <t>Pricing &gt; Value for Money &gt; (Positive), Trade In &gt; Overall Process &gt; (Negative), Trade In &gt; Quote Price &gt; (Positive), Used &gt; Pricing &gt; (Positive)</t>
  </si>
  <si>
    <t>Trade In &gt; Overall Process &gt; (Negative), Trade In &gt; Quote Price &gt; (Positive)</t>
  </si>
  <si>
    <t>Eric Peebles - Used Trade-In Product</t>
  </si>
  <si>
    <t>Eric Peebles</t>
  </si>
  <si>
    <t>peebles.eric@gmail.com</t>
  </si>
  <si>
    <t>Fairfax;Virginia;22031</t>
  </si>
  <si>
    <t>1137551</t>
  </si>
  <si>
    <t>https://bnh.lightning.force.com/0012L00001Li9EbQAJ</t>
  </si>
  <si>
    <t>Very easy to complete the process.</t>
  </si>
  <si>
    <t>Eric Heaton - Used Trade-In Product</t>
  </si>
  <si>
    <t>Eric Heaton</t>
  </si>
  <si>
    <t>e.heaton@cox.net</t>
  </si>
  <si>
    <t>Gilbert;Arizona;85233</t>
  </si>
  <si>
    <t>1135206</t>
  </si>
  <si>
    <t>https://bnh.lightning.force.com/0011a00000FvFMVAA3</t>
  </si>
  <si>
    <t>Strong offer and free shipping.</t>
  </si>
  <si>
    <t>Long wait after shipping.</t>
  </si>
  <si>
    <t>Pricing &gt; Delivery Fees &gt;, Warehouse Fulfillment &gt; Timeliness &gt;</t>
  </si>
  <si>
    <t>Pricing &gt; Delivery Fees &gt;, Trade In &gt; Quote Price &gt;, Trade In &gt; Timeliness of Payment &gt;</t>
  </si>
  <si>
    <t>Pricing &gt; Delivery Fees &gt; (Positive), Warehouse Fulfillment &gt; Timeliness &gt; (Negative)</t>
  </si>
  <si>
    <t>Pricing &gt; Delivery Fees &gt; (Positive), Trade In &gt; Quote Price &gt; (Positive), Trade In &gt; Timeliness of Payment &gt; (Negative)</t>
  </si>
  <si>
    <t>Easy/fast shipping process/likes prepaid label/free shipping</t>
  </si>
  <si>
    <t>Jackie Bryant - Used Trade-In Product</t>
  </si>
  <si>
    <t>Jackie Bryant</t>
  </si>
  <si>
    <t>tdybryant@aol.com</t>
  </si>
  <si>
    <t>Evans;Georgia;30809</t>
  </si>
  <si>
    <t>2 years 11 months</t>
  </si>
  <si>
    <t>35</t>
  </si>
  <si>
    <t>1137775</t>
  </si>
  <si>
    <t>https://bnh.lightning.force.com/0018X00003EFLX0QAP</t>
  </si>
  <si>
    <t>Nick Badame,Avraham Schwartz,Reina Caba,Avraham Schwartz,Reina Caba</t>
  </si>
  <si>
    <t>The ease of your web based application to complete this transaction.</t>
  </si>
  <si>
    <t>I thought I would get a little more for the transaction because I provided an extra battery in the package along with lense hoods for both lenses.</t>
  </si>
  <si>
    <t>John Ko - Used Trade-In Product</t>
  </si>
  <si>
    <t>John Ko</t>
  </si>
  <si>
    <t>setfuture2@gmail.com</t>
  </si>
  <si>
    <t>Leesburg;Virginia;20175</t>
  </si>
  <si>
    <t>7 years 10 months</t>
  </si>
  <si>
    <t>94</t>
  </si>
  <si>
    <t>1136232</t>
  </si>
  <si>
    <t>https://bnh.lightning.force.com/0011a00000peV4CAAU</t>
  </si>
  <si>
    <t>Responsive associates and mailed my sd card back</t>
  </si>
  <si>
    <t>Slow check process, still don't have 8 days after mailing notification</t>
  </si>
  <si>
    <t>People &gt; Communication Listening &gt;, People &gt; Courtesy / Professional &gt;, People &gt; Helpful / Efficient &gt;, People &gt; Overall Satisfaction &gt;, Trade In &gt; Overall Process &gt;</t>
  </si>
  <si>
    <t>People &gt; Communication Skills &gt;, Trade In &gt; Overall Process &gt;, Trade In &gt; Timeliness of Payment &gt;</t>
  </si>
  <si>
    <t>People &gt; Communication Listening &gt; (Positive), People &gt; Courtesy / Professional &gt; (Positive), People &gt; Helpful / Efficient &gt; (Positive), People &gt; Overall Satisfaction &gt; (Positive), Trade In &gt; Overall Process &gt; (Negative)</t>
  </si>
  <si>
    <t>People &gt; Communication Skills &gt; (Positive), Trade In &gt; Overall Process &gt; (Positive), Trade In &gt; Timeliness of Payment &gt; (Negative)</t>
  </si>
  <si>
    <t>Elizabeth Whitcomb - Used Trade-In Product</t>
  </si>
  <si>
    <t>Elizabeth Whitcomb</t>
  </si>
  <si>
    <t>lizannwhit@gmail.com</t>
  </si>
  <si>
    <t>Waukesha;Wisconsin;53188</t>
  </si>
  <si>
    <t>21 years 1 months</t>
  </si>
  <si>
    <t>253</t>
  </si>
  <si>
    <t>1134705</t>
  </si>
  <si>
    <t>https://bnh.lightning.force.com/0011a00000FQ7tpAAD</t>
  </si>
  <si>
    <t>The experience was easy and direct. I knew exactly where my item was in the peeves at all times and payment was quick once the review of my item was complete</t>
  </si>
  <si>
    <t>Nothing to dislike at all</t>
  </si>
  <si>
    <t>Catherine Gaidos - Used Trade-In Product</t>
  </si>
  <si>
    <t>Catherine Gaidos</t>
  </si>
  <si>
    <t>gaidos@twinvalley.net</t>
  </si>
  <si>
    <t>Manhattan;Kansas;66503</t>
  </si>
  <si>
    <t>1135456</t>
  </si>
  <si>
    <t>https://bnh.lightning.force.com/0018X000034WPejQAG</t>
  </si>
  <si>
    <t>Easy to use.</t>
  </si>
  <si>
    <t>Feel like decrease in quote amount was for reasons different than what they should have been. I don’t believe I said I would include battery, charger etc. Would have been fine with decrease for condition or something like that. Not enough to really care about but would have made it more palatable.</t>
  </si>
  <si>
    <t>Doesn't like price quote cut due to missing accessories (battery, charger, etc.)</t>
  </si>
  <si>
    <t>K Leslie Hammond - Used Trade-In Product</t>
  </si>
  <si>
    <t>K Leslie Hammond</t>
  </si>
  <si>
    <t>klhdesign1@gmail.com</t>
  </si>
  <si>
    <t>Tucson;Arizona;85750</t>
  </si>
  <si>
    <t>10 years 7 months</t>
  </si>
  <si>
    <t>127</t>
  </si>
  <si>
    <t>1134157</t>
  </si>
  <si>
    <t>https://bnh.lightning.force.com/001WP00000oaBIPYA2</t>
  </si>
  <si>
    <t>I have been a client of B&amp;H for 20 years and I find the information online or in person excellent.</t>
  </si>
  <si>
    <t>B&amp;H &gt; Loyalty &gt;, People &gt; Knowledge / Recommend &gt;, Website &gt; Content Product Details / Information &gt;</t>
  </si>
  <si>
    <t>B&amp;H &gt; Loyalty &gt; (Positive), People &gt; Knowledge / Recommend &gt; (Positive), Website &gt; Content Product Details / Information &gt; (Positive)</t>
  </si>
  <si>
    <t>Asgeir Olafsson - Used Trade-In Product</t>
  </si>
  <si>
    <t>Asgeir Olafsson</t>
  </si>
  <si>
    <t>amolafsson@gmail.com</t>
  </si>
  <si>
    <t>Iceland</t>
  </si>
  <si>
    <t>1136921</t>
  </si>
  <si>
    <t>https://bnh.lightning.force.com/0018X00003IezeaQAB</t>
  </si>
  <si>
    <t>yase of use the service. i got paid as the quote said so the judgment was fair.</t>
  </si>
  <si>
    <t>i live in a small town in Iceland so i had to travel to Reykjavik to talk to fedx with extra cost. also i had to pay over 170usd for the shipping. i dont think that is fair.</t>
  </si>
  <si>
    <t>Trade In &gt; Overall Process &gt; (No opinion), Used &gt; Description &gt; (No opinion)</t>
  </si>
  <si>
    <t>Doesn't like international shipping fees</t>
  </si>
  <si>
    <t>Robert Slavonia - Used Trade-In Product</t>
  </si>
  <si>
    <t>Robert Slavonia</t>
  </si>
  <si>
    <t>bslavonia@nc.rr.com</t>
  </si>
  <si>
    <t>Pittsboro;North Carolina;27312</t>
  </si>
  <si>
    <t>1136213</t>
  </si>
  <si>
    <t>https://bnh.lightning.force.com/001WP00000pfhIMYAY</t>
  </si>
  <si>
    <t>The ease of the experience, the honesty of B&amp;H, the feed back and prompt payment.</t>
  </si>
  <si>
    <t>Not being able to increase the payment against follow up purchase from B&amp;H</t>
  </si>
  <si>
    <t>B&amp;H &gt; Reliable / Trustworthy &gt;, People &gt; Follow Up &gt;, Trade In &gt; Timeliness of Payment &gt;</t>
  </si>
  <si>
    <t>B&amp;H &gt; Reliable / Trustworthy &gt;, Trade In &gt; Quote Price &gt;, Trade In &gt; Timeliness of Payment &gt;</t>
  </si>
  <si>
    <t>B&amp;H &gt; Reliable / Trustworthy &gt; (Positive), People &gt; Follow Up &gt; (Negative), Trade In &gt; Timeliness of Payment &gt; (Positive)</t>
  </si>
  <si>
    <t>B&amp;H &gt; Reliable / Trustworthy &gt; (Positive), Trade In &gt; Quote Price &gt; (Negative), Trade In &gt; Timeliness of Payment &gt; (Positive)</t>
  </si>
  <si>
    <t>Floyd R Pearson - Used Trade-In Product</t>
  </si>
  <si>
    <t>Floyd R Pearson</t>
  </si>
  <si>
    <t>randallpearson40@gmail.com</t>
  </si>
  <si>
    <t>Santa Barbara;California;93101</t>
  </si>
  <si>
    <t>1134023</t>
  </si>
  <si>
    <t>https://bnh.lightning.force.com/0018X00003OTGSxQAP</t>
  </si>
  <si>
    <t>It was very quick and easy!</t>
  </si>
  <si>
    <t>Jeffrey Hausknecht - Used Trade-In Product</t>
  </si>
  <si>
    <t>Jeffrey Hausknecht</t>
  </si>
  <si>
    <t>jeffreykeith17@gmail.com</t>
  </si>
  <si>
    <t>Carolina Beach;North Carolina;28428</t>
  </si>
  <si>
    <t>1134911</t>
  </si>
  <si>
    <t>https://bnh.lightning.force.com/001WP00000owRBfYAM</t>
  </si>
  <si>
    <t>B&amp;H always makes the process simple and easy.  They have good communication and their offers are more than fair. Always happy dealing with them and will remain my first choice for my photography needs.  Good stuff.</t>
  </si>
  <si>
    <t>B&amp;H &gt; Satisfaction &gt; (Positive), People &gt; Follow Up &gt; (Positive), Trade In &gt; Overall Process &gt; (Positive), Trade In &gt; Quote Price &gt; (Positive)</t>
  </si>
  <si>
    <t>Yiping Yang - Used Trade-In Product</t>
  </si>
  <si>
    <t>Yiping Yang</t>
  </si>
  <si>
    <t>yang.charles@ymail.com</t>
  </si>
  <si>
    <t>Lexington;Massachusetts;02420</t>
  </si>
  <si>
    <t>1135526</t>
  </si>
  <si>
    <t>https://bnh.lightning.force.com/001WP00000pHiVoYAK</t>
  </si>
  <si>
    <t>Very professional.</t>
  </si>
  <si>
    <t>David Corsaky - Used Trade-In Product</t>
  </si>
  <si>
    <t>David Corsaky</t>
  </si>
  <si>
    <t>djc8415@yahoo.com</t>
  </si>
  <si>
    <t>Toms River;New Jersey;08755</t>
  </si>
  <si>
    <t>0 months</t>
  </si>
  <si>
    <t>0</t>
  </si>
  <si>
    <t>1137784</t>
  </si>
  <si>
    <t>https://bnh.lightning.force.com/001WP00000qY3qtYAC</t>
  </si>
  <si>
    <t>Both my online and telephone experiences were great and your associates were informative and helpful.</t>
  </si>
  <si>
    <t>B&amp;H &gt; Satisfaction &gt;, People &gt; Helpful / Efficient &gt;, People &gt; Knowledge / Recommend &gt;</t>
  </si>
  <si>
    <t>People &gt; Helpful / Efficient &gt;, People &gt; Knowledge / Recommend &gt;, Trade In &gt; Overall Process &gt;</t>
  </si>
  <si>
    <t>B&amp;H &gt; Satisfaction &gt; (Positive), People &gt; Helpful / Efficient &gt; (Positive), People &gt; Knowledge / Recommend &gt; (Positive)</t>
  </si>
  <si>
    <t>People &gt; Helpful / Efficient &gt; (Positive), People &gt; Knowledge / Recommend &gt; (Positive), Trade In &gt; Overall Process &gt; (Positive)</t>
  </si>
  <si>
    <t>Chris Straigis - Used Trade-In Product</t>
  </si>
  <si>
    <t>Chris Straigis</t>
  </si>
  <si>
    <t>cstraigis@allaroundcreative.com</t>
  </si>
  <si>
    <t>Medford;New Jersey;08055</t>
  </si>
  <si>
    <t>Blue Bell;Pennsylvania;19422</t>
  </si>
  <si>
    <t>1135824</t>
  </si>
  <si>
    <t>https://bnh.lightning.force.com/0012L000018WfwJQAS</t>
  </si>
  <si>
    <t>The ease of the process.</t>
  </si>
  <si>
    <t>One of my items was declined and I could discuss the specific problem with the appraiser.</t>
  </si>
  <si>
    <t>Wants more transparency around valuation process (specifically why certain products received a price cut or were rejected)</t>
  </si>
  <si>
    <t>Nichole Palacio - Used Trade-In Product</t>
  </si>
  <si>
    <t>Nichole Palacio</t>
  </si>
  <si>
    <t>gimmethathighfive@gmail.com</t>
  </si>
  <si>
    <t>Las Cruces;New Mexico;88011</t>
  </si>
  <si>
    <t>5 years 8 months</t>
  </si>
  <si>
    <t>68</t>
  </si>
  <si>
    <t>1137837</t>
  </si>
  <si>
    <t>https://bnh.lightning.force.com/0018X00003VOaj1QAD</t>
  </si>
  <si>
    <t>It was easy!</t>
  </si>
  <si>
    <t>I don't think I was quite able to find the correct product I was trying to sell to B&amp;H, but that's on me.</t>
  </si>
  <si>
    <t>B&amp;H &gt; Satisfaction &gt; (Positive), Trade In &gt; Overall Process &gt; (Negative)</t>
  </si>
  <si>
    <t>Zhenhua Yao - Used Trade-In Product</t>
  </si>
  <si>
    <t>Zhenhua Yao</t>
  </si>
  <si>
    <t>yaozhenhua1975@gmail.com</t>
  </si>
  <si>
    <t>Plano;Texas;75025</t>
  </si>
  <si>
    <t>1133703</t>
  </si>
  <si>
    <t>https://bnh.lightning.force.com/001Hs00005TiVfwIAF</t>
  </si>
  <si>
    <t>Satisfied with my experience. B&amp;H is a reliable, professional, and honest place to buy gear, look no further than B&amp;H.</t>
  </si>
  <si>
    <t>Not now</t>
  </si>
  <si>
    <t>Vedant Desai - Used Trade-In Product</t>
  </si>
  <si>
    <t>Vedant Desai</t>
  </si>
  <si>
    <t>vd@vadesai.com</t>
  </si>
  <si>
    <t>Muncie;Indiana;47303</t>
  </si>
  <si>
    <t>1135079</t>
  </si>
  <si>
    <t>https://bnh.lightning.force.com/001WP00000nZNnpYAG</t>
  </si>
  <si>
    <t>Efrat Malachi,Avraham Schwartz,Reina Caba,Avraham Schwartz,Reina Caba</t>
  </si>
  <si>
    <t>The ease of getting a quote and sending my equipment. Moreover getting a fair price consistent with my quote.</t>
  </si>
  <si>
    <t>The snail mail check payment method which I haven’t received even now a week later. I understand this is now a USPS issue and logistically the entire continental US including the East Coast to my own Great Lakes regions are under FEMA levels of weather emergencies; although either using a track able mailing system with a tracking number would’ve been preferable. Ideally a simple ACH check portal can be better than a hard paper check; this is how even most car insurances I’ve worked with as a customer now payout liability claims.</t>
  </si>
  <si>
    <t>Trade In &gt; Overall Process &gt;, Trade In &gt; Quote Price &gt;, Trade In &gt; Timeliness of Payment &gt;, Website &gt; Overall Satisfaction &gt;</t>
  </si>
  <si>
    <t>Pricing &gt; Value for Money &gt; (Positive), Trade In &gt; Overall Process &gt; (Positive), Trade In &gt; Quote Price &gt; (Positive), Used &gt; Description &gt; (Negative), Used &gt; Pricing &gt; (Positive), Website &gt; Order Tracking &gt; (Negative)</t>
  </si>
  <si>
    <t>Trade In &gt; Overall Process &gt; (Negative), Trade In &gt; Overall Process &gt; (Positive), Trade In &gt; Quote Price &gt; (Positive), Trade In &gt; Timeliness of Payment &gt; (Negative), Website &gt; Overall Satisfaction &gt; (Positive)</t>
  </si>
  <si>
    <t>Dean Theodosakis - Used Trade-In Product</t>
  </si>
  <si>
    <t>Dean Theodosakis</t>
  </si>
  <si>
    <t>theodo4@outlook.com</t>
  </si>
  <si>
    <t>Yorktown;Virginia;23693</t>
  </si>
  <si>
    <t>12 years 11 months</t>
  </si>
  <si>
    <t>155</t>
  </si>
  <si>
    <t>1138123</t>
  </si>
  <si>
    <t>https://bnh.lightning.force.com/0011a00000T7cAIAAZ</t>
  </si>
  <si>
    <t>Always easy to do business with B&amp;H</t>
  </si>
  <si>
    <t>All good</t>
  </si>
  <si>
    <t>Jennifer Millas - Used Trade-In Product</t>
  </si>
  <si>
    <t>Jennifer Millas</t>
  </si>
  <si>
    <t>jleaphotography@yahoo.com</t>
  </si>
  <si>
    <t>Mystic;Connecticut;06355</t>
  </si>
  <si>
    <t>1133401</t>
  </si>
  <si>
    <t>https://bnh.lightning.force.com/0011a00000olWwrAAE</t>
  </si>
  <si>
    <t>Smooth and easy transaction, was effortless to get the quote, mailing labels and promptly received a check for equipment sent in. Thank you!</t>
  </si>
  <si>
    <t>nothing noted</t>
  </si>
  <si>
    <t>2 years 5 months</t>
  </si>
  <si>
    <t>29</t>
  </si>
  <si>
    <t>1133692</t>
  </si>
  <si>
    <t>I liked that i can easily get a quote online without needing to create an account</t>
  </si>
  <si>
    <t>It takes along time between gear arrival and eveluation amd payment</t>
  </si>
  <si>
    <t>Account Activities &gt; Log In / Out &gt;, Trade In &gt; Overall Process &gt;</t>
  </si>
  <si>
    <t>Account Activities &gt; Log In / Out &gt; (Positive), Trade In &gt; Overall Process &gt; (Positive)</t>
  </si>
  <si>
    <t>Likes being able to get an online quote without an account</t>
  </si>
  <si>
    <t>Yoonjong Jo - Used Trade-In Product</t>
  </si>
  <si>
    <t>Yoonjong Jo</t>
  </si>
  <si>
    <t>yoonjongjo@hotmail.com</t>
  </si>
  <si>
    <t>Waxhaw;North Carolina;28173</t>
  </si>
  <si>
    <t>1132617</t>
  </si>
  <si>
    <t>https://bnh.lightning.force.com/001WP00000o2BXyYAM</t>
  </si>
  <si>
    <t>Ease and speed.</t>
  </si>
  <si>
    <t>None. Everything worked great.</t>
  </si>
  <si>
    <t>Sofia Lareau - Used Trade-In Product</t>
  </si>
  <si>
    <t>Sofia Lareau</t>
  </si>
  <si>
    <t>sonniy_kotenok@yahoo.com</t>
  </si>
  <si>
    <t>Irvine;California;92603</t>
  </si>
  <si>
    <t>1136395</t>
  </si>
  <si>
    <t>https://bnh.lightning.force.com/0018X00003EFUDpQAP</t>
  </si>
  <si>
    <t>Emily Schreier,Avraham Schwartz,Reina Caba,Avraham Schwartz,Reina Caba</t>
  </si>
  <si>
    <t>Every time before I was able to use credit for online shopping, but now your email says 
in-store or over the phone purchases only!
Super inconvenient as your phone connection is terrible and I had to find all sorts of codes plus my Payboo card number to give....
Wasted so much time!</t>
  </si>
  <si>
    <t>Payment &gt; Online &gt; (Negative), Payment &gt; Online &gt; (No opinion)</t>
  </si>
  <si>
    <t>Kayanna Gibson - Used Trade-In Product</t>
  </si>
  <si>
    <t>Kayanna Gibson</t>
  </si>
  <si>
    <t>kkandnatwedding@gmail.com</t>
  </si>
  <si>
    <t>Oklahoma City;Oklahoma;73145</t>
  </si>
  <si>
    <t>1117586</t>
  </si>
  <si>
    <t>https://bnh.lightning.force.com/001WP00000fyjyrYAA</t>
  </si>
  <si>
    <t>The process was very smooth.</t>
  </si>
  <si>
    <t>Kathie O'Donnell - Used Trade-In Product</t>
  </si>
  <si>
    <t>Kathie O'Donnell</t>
  </si>
  <si>
    <t>wildone7@rap.midco.net</t>
  </si>
  <si>
    <t>Rapid City;South Dakota;57701</t>
  </si>
  <si>
    <t>1135589</t>
  </si>
  <si>
    <t>https://bnh.lightning.force.com/0011a00000aH9hWAAS</t>
  </si>
  <si>
    <t>Hi - was wishing for a bit more but probably unrealistic. However, it was 50 dollars more than another seller's quote and I am a B&amp;H customer. That made me happy.</t>
  </si>
  <si>
    <t>B&amp;H &gt; Competitor Mentions &gt;, B&amp;H &gt; Loyalty &gt;, Trade In &gt; Quote Price &gt;</t>
  </si>
  <si>
    <t>B&amp;H &gt; Competitor Mentions &gt; (Positive), B&amp;H &gt; Loyalty &gt; (Positive), Trade In &gt; Quote Price &gt; (Negative), Trade In &gt; Quote Price &gt; (Positive)</t>
  </si>
  <si>
    <t>Kimberly Baker - Used Trade-In Product</t>
  </si>
  <si>
    <t>Kimberly Baker</t>
  </si>
  <si>
    <t>kmbaker45@gmail.com</t>
  </si>
  <si>
    <t>1136119</t>
  </si>
  <si>
    <t>https://bnh.lightning.force.com/001WP00000pZsrWYAS</t>
  </si>
  <si>
    <t>Web based option to quickly get an idea of what's to be expected for equipment. The fact that you buy used equipment makes it easier to move to new versions without having to try to see myself.</t>
  </si>
  <si>
    <t>not one thing</t>
  </si>
  <si>
    <t>Bruce Harteneck - Used Trade-In Product</t>
  </si>
  <si>
    <t>Bruce Harteneck</t>
  </si>
  <si>
    <t>bharteneck@sbcglobal.net</t>
  </si>
  <si>
    <t>33 years 4 months</t>
  </si>
  <si>
    <t>400</t>
  </si>
  <si>
    <t>1134440</t>
  </si>
  <si>
    <t>https://bnh.lightning.force.com/0011a00000LiuMgAAJ</t>
  </si>
  <si>
    <t>free shipping was very important</t>
  </si>
  <si>
    <t>I had no problems at all</t>
  </si>
  <si>
    <t>Luis Meza - Used Trade-In Product</t>
  </si>
  <si>
    <t>Luis Meza</t>
  </si>
  <si>
    <t>luis.mez314@gmail.com</t>
  </si>
  <si>
    <t>1 years 2 months</t>
  </si>
  <si>
    <t>14</t>
  </si>
  <si>
    <t>1134466</t>
  </si>
  <si>
    <t>https://bnh.lightning.force.com/0018X00003USfiUQAT</t>
  </si>
  <si>
    <t>Ease of putting in the gear and receiving a quote</t>
  </si>
  <si>
    <t>Time it took to ship gear and receive back the check</t>
  </si>
  <si>
    <t>Andrew Olmo - Used Trade-In Product</t>
  </si>
  <si>
    <t>Andrew Olmo</t>
  </si>
  <si>
    <t>olmo.andrew@gmail.com</t>
  </si>
  <si>
    <t>5 years 10 months</t>
  </si>
  <si>
    <t>70</t>
  </si>
  <si>
    <t>1133875</t>
  </si>
  <si>
    <t>https://bnh.lightning.force.com/0012L000014JoWeQAK</t>
  </si>
  <si>
    <t>The ease and professionalism. Constant communication on the process.</t>
  </si>
  <si>
    <t>B&amp;H &gt; Reliable / Trustworthy &gt;, People &gt; Follow Up &gt;, Trade In &gt; Overall Process &gt;</t>
  </si>
  <si>
    <t>B&amp;H &gt; Reliable / Trustworthy &gt; (Positive), People &gt; Follow Up &gt; (Positive), Trade In &gt; Overall Process &gt; (Positive)</t>
  </si>
  <si>
    <t>David Cunicelli - Used Trade-In Product</t>
  </si>
  <si>
    <t>David Cunicelli</t>
  </si>
  <si>
    <t>davidcunicelli@gmail.com</t>
  </si>
  <si>
    <t>1134937</t>
  </si>
  <si>
    <t>https://bnh.lightning.force.com/0011a00000voLTQAA2</t>
  </si>
  <si>
    <t>Fair prices paid</t>
  </si>
  <si>
    <t>I still don’t have my checks. I have no way of tracking them.</t>
  </si>
  <si>
    <t>Pricing &gt; Value for Money &gt;, Trade In &gt; Quote Price &gt;, Used &gt; Pricing &gt;, Website &gt; Order Tracking &gt;</t>
  </si>
  <si>
    <t>Pricing &gt; Value for Money &gt; (Positive), Trade In &gt; Quote Price &gt; (Positive), Used &gt; Pricing &gt; (Positive), Website &gt; Order Tracking &gt; (No opinion)</t>
  </si>
  <si>
    <t>James Adams - Used Trade-In Product</t>
  </si>
  <si>
    <t>James Adams</t>
  </si>
  <si>
    <t>jkladams@sbcglobal.net</t>
  </si>
  <si>
    <t>28 years 4 months</t>
  </si>
  <si>
    <t>340</t>
  </si>
  <si>
    <t>1135866</t>
  </si>
  <si>
    <t>https://bnh.lightning.force.com/0011a00000G4ftBAAR</t>
  </si>
  <si>
    <t>Quick and efficient
Online quotes are usually fair and accurate</t>
  </si>
  <si>
    <t>No problems with any recent transactions</t>
  </si>
  <si>
    <t>Sam Stierman - Used Trade-In Product</t>
  </si>
  <si>
    <t>Sam Stierman</t>
  </si>
  <si>
    <t>sstierman@gmail.com</t>
  </si>
  <si>
    <t>15 years 10 months</t>
  </si>
  <si>
    <t>190</t>
  </si>
  <si>
    <t>1133878</t>
  </si>
  <si>
    <t>https://bnh.lightning.force.com/0011a00000FRIJCAA5</t>
  </si>
  <si>
    <t>Easy process.</t>
  </si>
  <si>
    <t>Bob Dunlap - Used Trade-In Product</t>
  </si>
  <si>
    <t>Bob Dunlap</t>
  </si>
  <si>
    <t>bob.dunlap@icloud.com</t>
  </si>
  <si>
    <t>1131320</t>
  </si>
  <si>
    <t>https://bnh.lightning.force.com/001WP00000nIngIYAS</t>
  </si>
  <si>
    <t>It was extremely easy to gather all of my gear and check everything off as I packed it up in the original box.</t>
  </si>
  <si>
    <t>It would be nice to have a check status of quote on the B&amp;H web site but I was kept up to date via email.</t>
  </si>
  <si>
    <t>People &gt; Follow Up &gt; (Positive), Trade In &gt; Overall Process &gt; (Negative), Trade In &gt; Overall Process &gt; (Positive)</t>
  </si>
  <si>
    <t>Robert B Macdougall - Used Trade-In Product</t>
  </si>
  <si>
    <t>Robert B Macdougall</t>
  </si>
  <si>
    <t>bob.macdougall@comcast.net</t>
  </si>
  <si>
    <t>1135706</t>
  </si>
  <si>
    <t>https://bnh.lightning.force.com/001WP00000pNMb1YAG</t>
  </si>
  <si>
    <t>No hassle, honest, quick results. Thank you!</t>
  </si>
  <si>
    <t>Jessica Downs - Used Trade-In Product</t>
  </si>
  <si>
    <t>Jessica Downs</t>
  </si>
  <si>
    <t>jesswaller27@gmail.com</t>
  </si>
  <si>
    <t>10 months</t>
  </si>
  <si>
    <t>10</t>
  </si>
  <si>
    <t>1135316</t>
  </si>
  <si>
    <t>https://bnh.lightning.force.com/0018X00003W9GqIQAV</t>
  </si>
  <si>
    <t>I am a returning customer to B&amp;H. The ease from getting the quote to receiving payment for the used items, was wonderful! Had no issues.</t>
  </si>
  <si>
    <t>B&amp;H &gt; Loyalty &gt;, Trade In &gt; Overall Process &gt;</t>
  </si>
  <si>
    <t>B&amp;H &gt; Loyalty &gt; (Positive), Trade In &gt; Overall Process &gt; (Positive)</t>
  </si>
  <si>
    <t>Siu Chan - Used Trade-In Product</t>
  </si>
  <si>
    <t>Siu Chan</t>
  </si>
  <si>
    <t>siuate@mac.com</t>
  </si>
  <si>
    <t>23 years 11 months</t>
  </si>
  <si>
    <t>287</t>
  </si>
  <si>
    <t>1137243</t>
  </si>
  <si>
    <t>https://bnh.lightning.force.com/0011a00000FRFAMAA5</t>
  </si>
  <si>
    <t>it was fast and received check within minutes</t>
  </si>
  <si>
    <t>person gave me a different (lower) quote at the store than online; left a bad taste as if B&amp;H was playing games and tried to lowball person who shows up in person.</t>
  </si>
  <si>
    <t>Trade In &gt; Overall Process &gt; (Positive), Trade In &gt; Quote Price &gt; (Negative), Trade In &gt; Timeliness of Payment &gt; (Positive)</t>
  </si>
  <si>
    <t>Didn't like receiving a lower quote in-person than online</t>
  </si>
  <si>
    <t>Vedant Sapra - Used Trade-In Product</t>
  </si>
  <si>
    <t>Vedant Sapra</t>
  </si>
  <si>
    <t>vedantsapra@gmail.com</t>
  </si>
  <si>
    <t>3 years 5 months</t>
  </si>
  <si>
    <t>41</t>
  </si>
  <si>
    <t>1133329</t>
  </si>
  <si>
    <t>https://bnh.lightning.force.com/001WP00000oEyZEYA0</t>
  </si>
  <si>
    <t>I didn’t think half the equipment would get shipped back</t>
  </si>
  <si>
    <t>Ivan Shepperd - Used Trade-In Product</t>
  </si>
  <si>
    <t>Ivan Shepperd</t>
  </si>
  <si>
    <t>ivan.shepperd@gmail.com</t>
  </si>
  <si>
    <t>1134699</t>
  </si>
  <si>
    <t>https://bnh.lightning.force.com/0018X00003BSzdXQAT</t>
  </si>
  <si>
    <t>One of your New York competitors seems to be more limited in what they will consider buying, even though what I was selling was a currently available item.</t>
  </si>
  <si>
    <t>That same New York competitor tends to offer a bit more money. But for this particular item, they offered nothing.</t>
  </si>
  <si>
    <t>B&amp;H &gt; Competitor Mentions &gt;, Product &gt; Selection / Variety &gt;</t>
  </si>
  <si>
    <t>B&amp;H &gt; Competitor Mentions &gt; (Negative), B&amp;H &gt; Competitor Mentions &gt; (No opinion), Product &gt; Selection / Variety &gt; (No opinion)</t>
  </si>
  <si>
    <t>William Lackey - Used Trade-In Product</t>
  </si>
  <si>
    <t>William Lackey</t>
  </si>
  <si>
    <t>lackey.bill@att.net</t>
  </si>
  <si>
    <t>1133189</t>
  </si>
  <si>
    <t>https://bnh.lightning.force.com/0011a00000iRF9XAAW</t>
  </si>
  <si>
    <t>It was a little difficult to find my items to list for quote. However I received a quote fast from customer service</t>
  </si>
  <si>
    <t>Pricing &gt; Value for Money &gt;, Trade In &gt; Overall Process &gt;, Trade In &gt; Timeliness of Quote &gt;</t>
  </si>
  <si>
    <t>Pricing &gt; Value for Money &gt; (Negative), Trade In &gt; Overall Process &gt; (Negative), Trade In &gt; Overall Process &gt; (Positive), Trade In &gt; Timeliness of Quote &gt; (Positive)</t>
  </si>
  <si>
    <t>Edward Peters - Used Trade-In Product</t>
  </si>
  <si>
    <t>Edward Peters</t>
  </si>
  <si>
    <t>ednkelly2015@gmail.com</t>
  </si>
  <si>
    <t>1131238</t>
  </si>
  <si>
    <t>https://bnh.lightning.force.com/001WP00000nIWSYYA4</t>
  </si>
  <si>
    <t>The quick turn around with reply of quote and the entire transaction. I Was very happy with the BHPhoto’s customer service.</t>
  </si>
  <si>
    <t>Brady Stoever - Used Trade-In Product</t>
  </si>
  <si>
    <t>Brady Stoever</t>
  </si>
  <si>
    <t>bmstoeve@gmail.com</t>
  </si>
  <si>
    <t>1136627</t>
  </si>
  <si>
    <t>https://bnh.lightning.force.com/0018X00003USWYlQAP</t>
  </si>
  <si>
    <t>It was easy to sell the gear I no longer used and got a fairly reasonable price for it.</t>
  </si>
  <si>
    <t>Not much about the experience, just wish my gear was worth more.</t>
  </si>
  <si>
    <t>Peter Yoon - Used Trade-In Product</t>
  </si>
  <si>
    <t>Peter Yoon</t>
  </si>
  <si>
    <t>phyoon7@gmail.com</t>
  </si>
  <si>
    <t>1136985</t>
  </si>
  <si>
    <t>https://bnh.lightning.force.com/001WP00000q41pUYAQ</t>
  </si>
  <si>
    <t>Good instructions and facilitation of process</t>
  </si>
  <si>
    <t>Time needed before appraisal (but understandable given the volume you probably deal with)</t>
  </si>
  <si>
    <t>James Clark - Used Trade-In Product</t>
  </si>
  <si>
    <t>James Clark</t>
  </si>
  <si>
    <t>clark348@gmail.com</t>
  </si>
  <si>
    <t>16 years 4 months</t>
  </si>
  <si>
    <t>196</t>
  </si>
  <si>
    <t>1134173</t>
  </si>
  <si>
    <t>https://bnh.lightning.force.com/0018X00003PF053QAD</t>
  </si>
  <si>
    <t>I feel I can trust B&amp;H</t>
  </si>
  <si>
    <t>How I received the payment. I would prefer an electronic deposit to my Bank.</t>
  </si>
  <si>
    <t>Paul Arthur - Used Trade-In Product</t>
  </si>
  <si>
    <t>Paul Arthur</t>
  </si>
  <si>
    <t>53.blackguard@gmail.com</t>
  </si>
  <si>
    <t>1134039</t>
  </si>
  <si>
    <t>https://bnh.lightning.force.com/001WP00000ob6cpYAA</t>
  </si>
  <si>
    <t>Easy to create list of items to sell. Fast quote, easy to pack and ship. Quick turnaround time when receiving payment.</t>
  </si>
  <si>
    <t>Can’t think of anything.</t>
  </si>
  <si>
    <t>Douglas Bruggemeyer - Used Trade-In Product</t>
  </si>
  <si>
    <t>Douglas Bruggemeyer</t>
  </si>
  <si>
    <t>loganpass@yahoo.com</t>
  </si>
  <si>
    <t>1132668</t>
  </si>
  <si>
    <t>https://bnh.lightning.force.com/001Hs00005W4sp2IAB</t>
  </si>
  <si>
    <t>No issues. Was a little slow but I understand that there is a backlog.</t>
  </si>
  <si>
    <t>Steven Simmons - Used Trade-In Product</t>
  </si>
  <si>
    <t>Steven Simmons</t>
  </si>
  <si>
    <t>ssimmons53@gmail.com</t>
  </si>
  <si>
    <t>1134378</t>
  </si>
  <si>
    <t>https://bnh.lightning.force.com/001WP00000onRvOYAU</t>
  </si>
  <si>
    <t>Nick Badame,Avraham Schwartz</t>
  </si>
  <si>
    <t>Avraham Schwartz</t>
  </si>
  <si>
    <t>I thought the price I received for the Nikon 70-200 F2.8 was rather low but oh well. Everything else seemed reasonable.</t>
  </si>
  <si>
    <t>Natasha Blum - Used Trade-In Product</t>
  </si>
  <si>
    <t>Natasha Blum</t>
  </si>
  <si>
    <t>perisites@proton.me</t>
  </si>
  <si>
    <t>1131815</t>
  </si>
  <si>
    <t>https://bnh.lightning.force.com/001WP00000nUkZ7YAK</t>
  </si>
  <si>
    <t>The web application is how I submitted initially. Your system database is outdated and lacked many models. I liked the quote and quote ranges provided; this helped me immediately assess whether to invest more time into the process with B&amp;H and to identify you as one of the top candidates for resale. I liked that Ryan, the person I worked with was forced into integrity and honoring his word. See why I didn’t like this as well.</t>
  </si>
  <si>
    <t>The biggest issue with this process is the power imbalance after you accept a quote and ship your equipment.
Once your gear arrives, it is entirely out of your hands — and at that point, B&amp;H has the ability to revise the quote downward, whether justified or not. This is every seller’s fear, and unfortunately, in my case, that fear was realized.
I received an initial quote through the web application and followed up with a phone call with the same representative to confirm details before shipping. After my equipment arrived, I was suddenly told it was “not in the condition expected,” despite the fact that the condition had already been discussed and disclosed. I was also told that I had failed to include power modules — even though I had been explicitly told earlier that those power modules would not be accepted.
Only because I keep meticulous records — receipts, documentation, and notes from the original call — was I able to challenge this. Once confronted with the documented facts, the representative was forced to backtrack.
The problem is not that mistakes happen; it’s that the system allows them to happen when the customer has no leverage. By the time these issues surfaced, I could no longer easily sell the equipment elsewhere, and the changing requirements created a cascade of unnecessary stress and lost options.
My advice to anyone considering this process:
keep all receipts, document every conversation, and be prepared to advocate aggressively for yourself. You may still get paid, but only if you are willing to push back when the quote changes after your equipment is already in their possession.</t>
  </si>
  <si>
    <t>People &gt; Follow Up &gt;, Product &gt; Selection / Variety &gt;, Trade In &gt; Overall Process &gt;, Website &gt; Order Tracking &gt;</t>
  </si>
  <si>
    <t>People &gt; Overall Satisfaction &gt;, Trade In &gt; Overall Process &gt;, Trade In &gt; Quote Price &gt;</t>
  </si>
  <si>
    <t>People &gt; Follow Up &gt; (No opinion), Product &gt; Selection / Variety &gt; (Positive), Trade In &gt; Overall Process &gt; (Negative), Trade In &gt; Overall Process &gt; (No opinion), Trade In &gt; Overall Process &gt; (Positive), Website &gt; Order Tracking &gt; (No opinion)</t>
  </si>
  <si>
    <t>People &gt; Overall Satisfaction &gt; (Positive), Trade In &gt; Overall Process &gt; (Negative), Trade In &gt; Quote Price &gt; (Positive)</t>
  </si>
  <si>
    <t>William Griffin - Used Trade-In Product</t>
  </si>
  <si>
    <t>William Griffin</t>
  </si>
  <si>
    <t>will@claytonbaptistchurch.com</t>
  </si>
  <si>
    <t>1133775</t>
  </si>
  <si>
    <t>https://bnh.lightning.force.com/0011a00000hLFx5AAG</t>
  </si>
  <si>
    <t>B&amp;H has become the go-to source for new and used gear, in my business.  What I like most is the fact the I know I will always be treated with the best customer care and service.  B&amp;H has the most user friendly website, and stands at the forefront of customer confidence and convenience.</t>
  </si>
  <si>
    <t>A few of my items were difficult to find through the search function on the used quote portal. But after a little bit of work, I was able to find items and receive a quote for them. I should reiterate this was a very light inconvenience. My overall experience with BNH has always been wonderful.</t>
  </si>
  <si>
    <t>B&amp;H &gt; Satisfaction &gt;, People &gt; Overall Satisfaction &gt;, Pricing &gt; Value for Money &gt;, Trade In &gt; Overall Process &gt;</t>
  </si>
  <si>
    <t>B&amp;H &gt; Loyalty &gt;, B&amp;H &gt; Reliable / Trustworthy &gt;, B&amp;H &gt; Satisfaction &gt;, People &gt; Overall Satisfaction &gt;, Trade In &gt; Overall Process &gt;, Website &gt; Overall Satisfaction &gt;</t>
  </si>
  <si>
    <t>B&amp;H &gt; Satisfaction &gt; (Positive), People &gt; Overall Satisfaction &gt; (Positive), Pricing &gt; Value for Money &gt; (Positive), Trade In &gt; Overall Process &gt; (Negative), Trade In &gt; Overall Process &gt; (Positive)</t>
  </si>
  <si>
    <t>B&amp;H &gt; Loyalty &gt; (Positive), B&amp;H &gt; Reliable / Trustworthy &gt; (Positive), B&amp;H &gt; Satisfaction &gt; (Positive), People &gt; Overall Satisfaction &gt; (Positive), Trade In &gt; Overall Process &gt; (Negative), Website &gt; Overall Satisfaction &gt; (Positive)</t>
  </si>
  <si>
    <t>James Thomas - Used Trade-In Product</t>
  </si>
  <si>
    <t>James Thomas</t>
  </si>
  <si>
    <t>jimthomasphotos@gmail.com</t>
  </si>
  <si>
    <t>1133959</t>
  </si>
  <si>
    <t>https://bnh.lightning.force.com/0018X00003SdJlPQAV</t>
  </si>
  <si>
    <t>The offer ai received</t>
  </si>
  <si>
    <t>David Prochnow - Used Trade-In Product</t>
  </si>
  <si>
    <t>David Prochnow</t>
  </si>
  <si>
    <t>popsci.builder@gmail.com</t>
  </si>
  <si>
    <t>1133963</t>
  </si>
  <si>
    <t>https://bnh.lightning.force.com/0018X00003ScXikQAF</t>
  </si>
  <si>
    <t>Ryan is da Man!!</t>
  </si>
  <si>
    <t>Roberto Beyra - Used Trade-In Product</t>
  </si>
  <si>
    <t>Roberto Beyra</t>
  </si>
  <si>
    <t>rcbeyra@gmail.com</t>
  </si>
  <si>
    <t>1133920</t>
  </si>
  <si>
    <t>https://bnh.lightning.force.com/001WP00000lo82qYAA</t>
  </si>
  <si>
    <t>super easy experience</t>
  </si>
  <si>
    <t>Andrew Le - Used Trade-In Product</t>
  </si>
  <si>
    <t>Andrew Le</t>
  </si>
  <si>
    <t>drew@drewle.com</t>
  </si>
  <si>
    <t>13 years 11 months</t>
  </si>
  <si>
    <t>167</t>
  </si>
  <si>
    <t>1133011</t>
  </si>
  <si>
    <t>https://bnh.lightning.force.com/001Hs00004mKdWCIA0</t>
  </si>
  <si>
    <t>I liked the ease of getting an online quote via the web app. Your quote was reasonable and fair.</t>
  </si>
  <si>
    <t>The equipment evaluation process took way too much time. It was almost four weeks before I received the check from B&amp;H in the mail. Other online used vendors go much faster and also offer the option of a direct checking deposit, which saves even more time.</t>
  </si>
  <si>
    <t>B&amp;H &gt; Competitor Mentions &gt;, Trade In &gt; Overall Process &gt;, Trade In &gt; Quote Price &gt;, Trade In &gt; Timeliness of Payment &gt;</t>
  </si>
  <si>
    <t>B&amp;H &gt; Competitor Mentions &gt; (Negative), Trade In &gt; Overall Process &gt; (Negative), Trade In &gt; Overall Process &gt; (Positive), Trade In &gt; Quote Price &gt; (Positive), Trade In &gt; Timeliness of Payment &gt; (Negative)</t>
  </si>
  <si>
    <t>Tony Johnson - Used Trade-In Product</t>
  </si>
  <si>
    <t>Tony Johnson</t>
  </si>
  <si>
    <t>tonyjohnson@gmx.com</t>
  </si>
  <si>
    <t>1132337</t>
  </si>
  <si>
    <t>https://bnh.lightning.force.com/0011a00000gwciDAAQ</t>
  </si>
  <si>
    <t>It’s been more than a week and I haven’t received payment. This is in addition to the two weeks it took to review my equipment after it was received.</t>
  </si>
  <si>
    <t>Andy Pointon - Used Trade-In Product</t>
  </si>
  <si>
    <t>Andy Pointon</t>
  </si>
  <si>
    <t>andycqp@me.com</t>
  </si>
  <si>
    <t>5 years 7 months</t>
  </si>
  <si>
    <t>67</t>
  </si>
  <si>
    <t>1135362</t>
  </si>
  <si>
    <t>https://bnh.lightning.force.com/0012L0000174NpLQAU</t>
  </si>
  <si>
    <t>Ive been doing biz with B&amp;H for about 20 years and have never had an issue. Awesome company to work with. Thanks for all you do and offer!!</t>
  </si>
  <si>
    <t>Christine Schmitz - Used Trade-In Product</t>
  </si>
  <si>
    <t>Christine Schmitz</t>
  </si>
  <si>
    <t>chrismschmitz@aol.com</t>
  </si>
  <si>
    <t>1133564</t>
  </si>
  <si>
    <t>https://bnh.lightning.force.com/0018X00003HpVYgQAN</t>
  </si>
  <si>
    <t>Easy peasy. Great communication, did what you said you would do.</t>
  </si>
  <si>
    <t>No complaints</t>
  </si>
  <si>
    <t>Jad Baaklini - Used Trade-In Product</t>
  </si>
  <si>
    <t>Jad Baaklini</t>
  </si>
  <si>
    <t>jad.baaklini@gmail.com</t>
  </si>
  <si>
    <t>1132106</t>
  </si>
  <si>
    <t>https://bnh.lightning.force.com/001WP00000nfEfdYAE</t>
  </si>
  <si>
    <t>You offer fair prices!</t>
  </si>
  <si>
    <t>Not being able to find one of my lenses listed</t>
  </si>
  <si>
    <t>Timothy Dyer - Used Trade-In Product</t>
  </si>
  <si>
    <t>Timothy Dyer</t>
  </si>
  <si>
    <t>therevtddyer@gmail.com</t>
  </si>
  <si>
    <t>1132873</t>
  </si>
  <si>
    <t>https://bnh.lightning.force.com/001WP00000o4b4XYAQ</t>
  </si>
  <si>
    <t>I was offered a fair price for my equipment. B&amp;H has a strong and reliable reputation. They lived up to that by treating me fairly. The ease of the whole transaction was wonderful.</t>
  </si>
  <si>
    <t>Kara Posey - Used Trade-In Product</t>
  </si>
  <si>
    <t>Kara Posey</t>
  </si>
  <si>
    <t>emailforkara@gmail.com</t>
  </si>
  <si>
    <t>1132705</t>
  </si>
  <si>
    <t>https://bnh.lightning.force.com/001WP00000o2C7lYAE</t>
  </si>
  <si>
    <t>Easy!</t>
  </si>
  <si>
    <t>Waiting for a check in the mail, it would’ve been awesome if I could do ACH but really not that big of a deal.</t>
  </si>
  <si>
    <t>Marcus Kuhs - Used Trade-In Product</t>
  </si>
  <si>
    <t>Marcus Kuhs</t>
  </si>
  <si>
    <t>marcus.kuhs@gmail.com</t>
  </si>
  <si>
    <t>1132578</t>
  </si>
  <si>
    <t>https://bnh.lightning.force.com/001WP00000k2U8AYAU</t>
  </si>
  <si>
    <t>B&amp;H advertised giving top dollar for equipment and I genuinely believe I received the best offer. I got a quote of $400 from my local camera supplier and felt insulted. B&amp;H knows the value of what customers have and doesn’t waste their time.</t>
  </si>
  <si>
    <t>I would’ve liked a tracking number with my check given the value of it, but that’s a very small concern of mine. I received my check quickly and without issue.</t>
  </si>
  <si>
    <t>Trade In &gt; Overall Process &gt; (Negative), Website &gt; Order Tracking &gt; (Negative)</t>
  </si>
  <si>
    <t>Trade In &gt; Overall Process &gt; (Negative), Trade In &gt; Quote Price &gt; (Positive), Trade In &gt; Timeliness of Payment &gt; (Positive)</t>
  </si>
  <si>
    <t>Didn't like not having a tracking #/means of tracking payment</t>
  </si>
  <si>
    <t>Kevin Esler - Used Trade-In Product</t>
  </si>
  <si>
    <t>Kevin Esler</t>
  </si>
  <si>
    <t>kevin.esler@gmail.com</t>
  </si>
  <si>
    <t>1134642</t>
  </si>
  <si>
    <t>https://bnh.lightning.force.com/0011a00000pw8NoAAI</t>
  </si>
  <si>
    <t>Prompt service.</t>
  </si>
  <si>
    <t>Joseph Circelli - Used Trade-In Product</t>
  </si>
  <si>
    <t>Joseph Circelli</t>
  </si>
  <si>
    <t>cjoec91008@gmail.com</t>
  </si>
  <si>
    <t>9 years 5 months</t>
  </si>
  <si>
    <t>113</t>
  </si>
  <si>
    <t>1132072</t>
  </si>
  <si>
    <t>https://bnh.lightning.force.com/0011a00000XhGAKAA3</t>
  </si>
  <si>
    <t>All great co</t>
  </si>
  <si>
    <t>Nothing all  ezc</t>
  </si>
  <si>
    <t>David Jenkins - Used Trade-In Product</t>
  </si>
  <si>
    <t>David Jenkins</t>
  </si>
  <si>
    <t>fravillon@yahoo.com</t>
  </si>
  <si>
    <t>1133772</t>
  </si>
  <si>
    <t>https://bnh.lightning.force.com/0011a00000FmKmCAAV</t>
  </si>
  <si>
    <t>Aine Hoye,Avraham Schwartz,Reina Caba</t>
  </si>
  <si>
    <t>Very clear communications regarding my gear and quite satisfactory prices</t>
  </si>
  <si>
    <t>Took quite a while to get a definitive quote</t>
  </si>
  <si>
    <t>People &gt; Follow Up &gt;, Trade In &gt; Quote Price &gt;, Trade In &gt; Timeliness of Quote &gt;</t>
  </si>
  <si>
    <t>Pricing &gt; Value for Money &gt; (Positive), Trade In &gt; Overall Process &gt; (Negative), Used &gt; Pricing &gt; (Positive)</t>
  </si>
  <si>
    <t>People &gt; Follow Up &gt; (Positive), Trade In &gt; Quote Price &gt; (Positive), Trade In &gt; Timeliness of Quote &gt; (Negative)</t>
  </si>
  <si>
    <t>Kathryn Merchant - Used Trade-In Product</t>
  </si>
  <si>
    <t>Kathryn Merchant</t>
  </si>
  <si>
    <t>k.4thmerch@gmail.com</t>
  </si>
  <si>
    <t>1133263</t>
  </si>
  <si>
    <t>https://bnh.lightning.force.com/001WP00000oBSuIYAW</t>
  </si>
  <si>
    <t>I like how simple the process is. And whoever I spoke to on the phone confirmed how simple it was. I was most pleased with their customer service</t>
  </si>
  <si>
    <t>I have nothing to dislike. I felt informed and aware the whole process</t>
  </si>
  <si>
    <t>People &gt; Helpful / Efficient &gt;, People &gt; Overall Satisfaction &gt;, Trade In &gt; Overall Process &gt;</t>
  </si>
  <si>
    <t>People &gt; Helpful / Efficient &gt; (Positive), People &gt; Overall Satisfaction &gt; (Positive), Trade In &gt; Overall Process &gt; (Positive)</t>
  </si>
  <si>
    <t>Grigory Shimanskiy - Used Trade-In Product</t>
  </si>
  <si>
    <t>Grigory Shimanskiy</t>
  </si>
  <si>
    <t>gshimansky@gmail.com</t>
  </si>
  <si>
    <t>1132883</t>
  </si>
  <si>
    <t>https://bnh.lightning.force.com/001WP00000o4ndZYAQ</t>
  </si>
  <si>
    <t>Good price, wide selection</t>
  </si>
  <si>
    <t>Payment could be done electronically via direct deposit but using check is ok too.
Canon European models (e.g. Canon 550D) are not available, only US analogue (Canon Rebel T2i).</t>
  </si>
  <si>
    <t>Pricing &gt; Value for Money &gt;, Product &gt; Selection / Variety &gt;, Trade In &gt; Quote Price &gt;, Used &gt; Description &gt;, Used &gt; Pricing &gt;</t>
  </si>
  <si>
    <t>Product &gt; Selection / Variety &gt;, Trade In &gt; Overall Process &gt;, Trade In &gt; Quote Price &gt;, Used &gt; Selection &gt;</t>
  </si>
  <si>
    <t>Pricing &gt; Value for Money &gt; (Positive), Product &gt; Selection / Variety &gt; (Negative), Product &gt; Selection / Variety &gt; (Positive), Trade In &gt; Quote Price &gt; (Positive), Used &gt; Description &gt; (No opinion), Used &gt; Pricing &gt; (Positive)</t>
  </si>
  <si>
    <t>Product &gt; Selection / Variety &gt; (Positive), Trade In &gt; Overall Process &gt; (Negative), Trade In &gt; Quote Price &gt; (Positive), Used &gt; Selection &gt; (Negative)</t>
  </si>
  <si>
    <t>Paul Christiansen - Used Trade-In Product</t>
  </si>
  <si>
    <t>Paul Christiansen</t>
  </si>
  <si>
    <t>pchristiansen@leblanc-schuster.com</t>
  </si>
  <si>
    <t>2 years 0 months</t>
  </si>
  <si>
    <t>24</t>
  </si>
  <si>
    <t>1135429</t>
  </si>
  <si>
    <t>https://bnh.lightning.force.com/0018X00003QBTaNQAX</t>
  </si>
  <si>
    <t>Great customer service. I will use B&amp;H again!</t>
  </si>
  <si>
    <t>People &gt; Overall Satisfaction &gt;, Used &gt; Description &gt;</t>
  </si>
  <si>
    <t>B&amp;H &gt; Loyalty &gt;, People &gt; Overall Satisfaction &gt;</t>
  </si>
  <si>
    <t>People &gt; Overall Satisfaction &gt; (Positive), Used &gt; Description &gt; (No opinion)</t>
  </si>
  <si>
    <t>B&amp;H &gt; Loyalty &gt; (Positive), People &gt; Overall Satisfaction &gt; (Positive)</t>
  </si>
  <si>
    <t>Mike Jingles - Used Trade-In Product</t>
  </si>
  <si>
    <t>Mike Jingles</t>
  </si>
  <si>
    <t>mjingles@gmail.com</t>
  </si>
  <si>
    <t>1132096</t>
  </si>
  <si>
    <t>https://bnh.lightning.force.com/001WP00000nfUkRYAU</t>
  </si>
  <si>
    <t>Clear pricing</t>
  </si>
  <si>
    <t>Would prefer digital payment</t>
  </si>
  <si>
    <t>Fair/honest/clear price (trust signal)</t>
  </si>
  <si>
    <t>Derek Claxton - Used Trade-In Product</t>
  </si>
  <si>
    <t>Derek Claxton</t>
  </si>
  <si>
    <t>imstitches@yahoo.com</t>
  </si>
  <si>
    <t>1133924</t>
  </si>
  <si>
    <t>https://bnh.lightning.force.com/0018X000039f4Y5QAI</t>
  </si>
  <si>
    <t>The automated process on my end. Not having to talk to or haggle with someone.</t>
  </si>
  <si>
    <t>There was nothing I disliked. Shipping took the longest, but that isn't B&amp;H fault.</t>
  </si>
  <si>
    <t>Trade In &gt; Overall Process &gt;, Warehouse Fulfillment &gt; Timeliness &gt;</t>
  </si>
  <si>
    <t>Trade In &gt; Overall Process &gt;, Traffic &gt; Timeliness &gt;</t>
  </si>
  <si>
    <t>Trade In &gt; Overall Process &gt; (No opinion), Warehouse Fulfillment &gt; Timeliness &gt; (No opinion)</t>
  </si>
  <si>
    <t>Trade In &gt; Overall Process &gt; (Positive), Traffic &gt; Timeliness &gt; (Negative)</t>
  </si>
  <si>
    <t>Slow shipping</t>
  </si>
  <si>
    <t>Sara Wherry - Used Trade-In Product</t>
  </si>
  <si>
    <t>Sara Wherry</t>
  </si>
  <si>
    <t>sara.wherry@gmail.com</t>
  </si>
  <si>
    <t>1133463</t>
  </si>
  <si>
    <t>https://bnh.lightning.force.com/001WP00000oJHVJYA4</t>
  </si>
  <si>
    <t>It was easy to sell my equipment, and I am satisfied with the price I received</t>
  </si>
  <si>
    <t>It did take longer than in the past for my equipment to be reviewed and a check sent. However, this was clearly communicated to me before I sent in my equipment.</t>
  </si>
  <si>
    <t>People &gt; Communication Skills &gt;, Trade In &gt; Overall Process &gt;, Trade In &gt; Quote Price &gt;, Trade In &gt; Timeliness of Payment &gt;, Trade In &gt; Timeliness of Quote &gt;</t>
  </si>
  <si>
    <t>People &gt; Communication Skills &gt; (Positive), Trade In &gt; Overall Process &gt; (Positive), Trade In &gt; Quote Price &gt; (Positive), Trade In &gt; Timeliness of Payment &gt; (Negative), Trade In &gt; Timeliness of Quote &gt; (Negative)</t>
  </si>
  <si>
    <t>Christopher Staurovsky - Used Trade-In Product</t>
  </si>
  <si>
    <t>Christopher Staurovsky</t>
  </si>
  <si>
    <t>1stlbirdman@gmail.com</t>
  </si>
  <si>
    <t>13 years 2 months</t>
  </si>
  <si>
    <t>158</t>
  </si>
  <si>
    <t>1132117</t>
  </si>
  <si>
    <t>https://bnh.lightning.force.com/0012L000012L3mHQAS</t>
  </si>
  <si>
    <t>Don was very helpful on the phone, expedited the process, thank you</t>
  </si>
  <si>
    <t>Brooke Nunley - Used Trade-In Product</t>
  </si>
  <si>
    <t>Brooke Nunley</t>
  </si>
  <si>
    <t>brooke.nunley02@gmail.com</t>
  </si>
  <si>
    <t>1135366</t>
  </si>
  <si>
    <t>https://bnh.lightning.force.com/001WP00000pAYOQYA4</t>
  </si>
  <si>
    <t>Everything is so easy. I was hesistant sending in expensive lenses but the care and convenience of B&amp;H is worth it.</t>
  </si>
  <si>
    <t>It took some time to get my quote back but the proper communication was made and didn’t leave me in the dark or disappoint me</t>
  </si>
  <si>
    <t>People &gt; Courtesy / Professional &gt;, Trade In &gt; Overall Process &gt;, Trade In &gt; Timeliness of Quote &gt;</t>
  </si>
  <si>
    <t>Pricing &gt; Value for Money &gt; (No opinion), Trade In &gt; Overall Process &gt; (Negative)</t>
  </si>
  <si>
    <t>People &gt; Courtesy / Professional &gt; (Positive), Trade In &gt; Overall Process &gt; (Positive), Trade In &gt; Timeliness of Quote &gt; (Negative)</t>
  </si>
  <si>
    <t>Dinah Mack - Used Trade-In Product</t>
  </si>
  <si>
    <t>Dinah Mack</t>
  </si>
  <si>
    <t>dinahmack3434@gmail.com</t>
  </si>
  <si>
    <t>1134259</t>
  </si>
  <si>
    <t>https://bnh.lightning.force.com/0018X00003EFq1cQAD</t>
  </si>
  <si>
    <t>It was a very easy process to complete.</t>
  </si>
  <si>
    <t>David Wyllie - Used Trade-In Product</t>
  </si>
  <si>
    <t>David Wyllie</t>
  </si>
  <si>
    <t>davidwyllie89@gmail.com</t>
  </si>
  <si>
    <t>1132658</t>
  </si>
  <si>
    <t>https://bnh.lightning.force.com/001WP00000o1m1mYAA</t>
  </si>
  <si>
    <t>Quick and easy.</t>
  </si>
  <si>
    <t>Jerry Giordano - Used Trade-In Product</t>
  </si>
  <si>
    <t>Jerry Giordano</t>
  </si>
  <si>
    <t>jtgiophoto@comcast.net</t>
  </si>
  <si>
    <t>21 years 9 months</t>
  </si>
  <si>
    <t>261</t>
  </si>
  <si>
    <t>1136405</t>
  </si>
  <si>
    <t>https://bnh.lightning.force.com/001WP00000prsd4YAA</t>
  </si>
  <si>
    <t>The entire experience was simple and fast from start to finish.</t>
  </si>
  <si>
    <t>I can't say that I "disliked" any part of the process. I was slightly disappointed when I received the timing of the physical trade-in evaluation after receipt of the equipment at B&amp;H. But with that said, it wasn't terribly long and it was completely understandable with the volume that your processors have to work through.</t>
  </si>
  <si>
    <t>Janice Borodezt - Used Trade-In Product</t>
  </si>
  <si>
    <t>Janice Borodezt</t>
  </si>
  <si>
    <t>jborodezt@yahoo.com</t>
  </si>
  <si>
    <t>1134524</t>
  </si>
  <si>
    <t>https://bnh.lightning.force.com/0011a00000KZHk6AAH</t>
  </si>
  <si>
    <t>B &amp; H did an outstanding job in providing me with a fair quote for my camera equipment and also expediting a check to me. Thank you B &amp; H Photo for a job well done.</t>
  </si>
  <si>
    <t>B&amp;H &gt; Satisfaction &gt;, Trade In &gt; Quote Price &gt;, Trade In &gt; Timeliness of Payment &gt;</t>
  </si>
  <si>
    <t>B&amp;H &gt; Satisfaction &gt; (Positive), Trade In &gt; Quote Price &gt; (Positive), Trade In &gt; Timeliness of Payment &gt; (Positive)</t>
  </si>
  <si>
    <t>Lauren Dighton - Used Trade-In Product</t>
  </si>
  <si>
    <t>Lauren Dighton</t>
  </si>
  <si>
    <t>ldighton2017@gmail.com</t>
  </si>
  <si>
    <t>1129334</t>
  </si>
  <si>
    <t>https://bnh.lightning.force.com/001WP00000m7Sp5YAE</t>
  </si>
  <si>
    <t>B&amp;H made my quote and selling process so easy!</t>
  </si>
  <si>
    <t>Dan Dwelle - Used Trade-In Product</t>
  </si>
  <si>
    <t>Dan Dwelle</t>
  </si>
  <si>
    <t>dd7320sf@icloud.com</t>
  </si>
  <si>
    <t>1133321</t>
  </si>
  <si>
    <t>https://bnh.lightning.force.com/0012L00001Eas6SQAR</t>
  </si>
  <si>
    <t>Likely the best online store on the Internet - not just for camera equipment, all retail.</t>
  </si>
  <si>
    <t>B&amp;H is exceptional.</t>
  </si>
  <si>
    <t>B&amp;H &gt; Satisfaction &gt;, Website &gt; Overall Satisfaction &gt;</t>
  </si>
  <si>
    <t>B&amp;H &gt; Satisfaction &gt; (Positive), Website &gt; Overall Satisfaction &gt; (Positive)</t>
  </si>
  <si>
    <t>Terry Thiewes - Used Trade-In Product</t>
  </si>
  <si>
    <t>Terry Thiewes</t>
  </si>
  <si>
    <t>tthiewes@gmail.com</t>
  </si>
  <si>
    <t>20 years 4 months</t>
  </si>
  <si>
    <t>244</t>
  </si>
  <si>
    <t>1132410</t>
  </si>
  <si>
    <t>https://bnh.lightning.force.com/0011a00000WFHq0AAH</t>
  </si>
  <si>
    <t>I have bought from and sold to B&amp;H many things over many years.  They are the leading support for my photography hobby. 
   They have and maintain, the cleanest, easiest to use, web site in the industry plus their product summaries, their specifications listings and customer reviews are key to all my hobby purchase decisions.  
   Thanks so much everyone. 
Terry Thiewes</t>
  </si>
  <si>
    <t>Not a thing</t>
  </si>
  <si>
    <t>B&amp;H &gt; Loyalty &gt;, B&amp;H &gt; Satisfaction &gt;, Website &gt; Content Product Details / Information &gt;, Website &gt; Overall Satisfaction &gt;, Website &gt; Product Reviews &gt;</t>
  </si>
  <si>
    <t>B&amp;H &gt; Loyalty &gt; (Positive), B&amp;H &gt; Satisfaction &gt; (Positive), Website &gt; Content Product Details / Information &gt; (Positive), Website &gt; Overall Satisfaction &gt; (Positive), Website &gt; Product Reviews &gt; (Positive)</t>
  </si>
  <si>
    <t>Jian Chen - Used Trade-In Product</t>
  </si>
  <si>
    <t>Jian Chen</t>
  </si>
  <si>
    <t>koalacj@gmail.com</t>
  </si>
  <si>
    <t>1135054</t>
  </si>
  <si>
    <t>https://bnh.lightning.force.com/0012L000012KAzMQAW</t>
  </si>
  <si>
    <t>Professional you can trust</t>
  </si>
  <si>
    <t>No right now</t>
  </si>
  <si>
    <t>B&amp;H &gt; Reliable / Trustworthy &gt;, People &gt; Courtesy / Professional &gt;</t>
  </si>
  <si>
    <t>B&amp;H &gt; Reliable / Trustworthy &gt; (Positive), People &gt; Courtesy / Professional &gt; (Positive)</t>
  </si>
  <si>
    <t>Juan Vazquez-Leddon - Used Trade-In Product</t>
  </si>
  <si>
    <t>Juan Vazquez-Leddon</t>
  </si>
  <si>
    <t>juan@juanv.net</t>
  </si>
  <si>
    <t>1135913</t>
  </si>
  <si>
    <t>https://bnh.lightning.force.com/001WP00000pVsa4YAC</t>
  </si>
  <si>
    <t>It was easy, really easy.</t>
  </si>
  <si>
    <t>Nothing so far...</t>
  </si>
  <si>
    <t>Vincent Ventimiglia - Used Trade-In Product</t>
  </si>
  <si>
    <t>Vincent Ventimiglia</t>
  </si>
  <si>
    <t>vventimiglia1984@gmail.com</t>
  </si>
  <si>
    <t>1136158</t>
  </si>
  <si>
    <t>https://bnh.lightning.force.com/0018X00003PZL14QAH</t>
  </si>
  <si>
    <t>Everything was very smooth.</t>
  </si>
  <si>
    <t>Time to get final price was a bit on the long side.</t>
  </si>
  <si>
    <t>Robert Kang - Used Trade-In Product</t>
  </si>
  <si>
    <t>Robert Kang</t>
  </si>
  <si>
    <t>robertkangmd@gmail.com</t>
  </si>
  <si>
    <t>11 years 4 months</t>
  </si>
  <si>
    <t>136</t>
  </si>
  <si>
    <t>1132611</t>
  </si>
  <si>
    <t>https://bnh.lightning.force.com/0011a00000mJYz1AAG</t>
  </si>
  <si>
    <t>It's a relatively easy process.</t>
  </si>
  <si>
    <t>Would like to have been paid more.</t>
  </si>
  <si>
    <t>David Kabot - Used Trade-In Product</t>
  </si>
  <si>
    <t>David Kabot</t>
  </si>
  <si>
    <t>davikabo@gmail.com</t>
  </si>
  <si>
    <t>12 years 0 months</t>
  </si>
  <si>
    <t>144</t>
  </si>
  <si>
    <t>1132715</t>
  </si>
  <si>
    <t>https://bnh.lightning.force.com/0012L00001JSlSFQA1</t>
  </si>
  <si>
    <t>The ease of the selling transaction was exceptional.</t>
  </si>
  <si>
    <t>Teresa Herlinger - Used Trade-In Product</t>
  </si>
  <si>
    <t>Teresa Herlinger</t>
  </si>
  <si>
    <t>wordsmithink@msn.com</t>
  </si>
  <si>
    <t>1131297</t>
  </si>
  <si>
    <t>https://bnh.lightning.force.com/001WP00000nIkxEYAS</t>
  </si>
  <si>
    <t>The excellent, fair quote for the equipment.</t>
  </si>
  <si>
    <t>Nothing to dislike!</t>
  </si>
  <si>
    <t>Lonnie Ash - Used Trade-In Product</t>
  </si>
  <si>
    <t>Lonnie Ash</t>
  </si>
  <si>
    <t>lonnie.ash@gmail.com</t>
  </si>
  <si>
    <t>1133335</t>
  </si>
  <si>
    <t>https://bnh.lightning.force.com/001WP00000oEqV5YAK</t>
  </si>
  <si>
    <t>Very easy process.</t>
  </si>
  <si>
    <t>Not all of my items were purchased and the sell price for the items that were purchased seemed low.</t>
  </si>
  <si>
    <t>Max Pyle - Used Trade-In Product</t>
  </si>
  <si>
    <t>Max Pyle</t>
  </si>
  <si>
    <t>maxpyle@icloud.com</t>
  </si>
  <si>
    <t>1132447</t>
  </si>
  <si>
    <t>https://bnh.lightning.force.com/0012L000014HjA7QAK</t>
  </si>
  <si>
    <t>Professional, easy and quick. Can't beat B&amp;H!</t>
  </si>
  <si>
    <t>B&amp;H &gt; Reliable / Trustworthy &gt;, B&amp;H &gt; Satisfaction &gt;, Trade In &gt; Overall Process &gt;</t>
  </si>
  <si>
    <t>B&amp;H &gt; Reliable / Trustworthy &gt; (Positive), B&amp;H &gt; Satisfaction &gt; (Positive), Trade In &gt; Overall Process &gt; (Positive)</t>
  </si>
  <si>
    <t>Jay Swank - Used Trade-In Product</t>
  </si>
  <si>
    <t>Jay Swank</t>
  </si>
  <si>
    <t>jay.dvos@gmail.com</t>
  </si>
  <si>
    <t>5 years 3 months</t>
  </si>
  <si>
    <t>63</t>
  </si>
  <si>
    <t>1129673</t>
  </si>
  <si>
    <t>https://bnh.lightning.force.com/0012L000019EPnVQAW</t>
  </si>
  <si>
    <t>I appreciate the offer remained the same. Equipment I've sold elsewhere was changed for no reason.</t>
  </si>
  <si>
    <t>It took a bit too long. I missed a sale on replacement equipment I wanted so now I'm waiting hopefully it will come back</t>
  </si>
  <si>
    <t>Justin Rodrigues - Used Trade-In Product</t>
  </si>
  <si>
    <t>Justin Rodrigues</t>
  </si>
  <si>
    <t>justin.rodrigues24@gmail.com</t>
  </si>
  <si>
    <t>1131593</t>
  </si>
  <si>
    <t>https://bnh.lightning.force.com/0018X00003JBogBQAT</t>
  </si>
  <si>
    <t>Overall is was extremely to do the entire process.</t>
  </si>
  <si>
    <t>It would be amazing if we could get higher quotes on high quality used gear especially with the increase in camera prices but I understand B and H has to make some profit as well. And it was comprobable to other businesses.</t>
  </si>
  <si>
    <t>Trade In &gt; Overall Process &gt;, Trade In &gt; Quote Price &gt;, Used &gt; Pricing &gt;</t>
  </si>
  <si>
    <t>Trade In &gt; Overall Process &gt; (Positive), Trade In &gt; Quote Price &gt; (Negative), Used &gt; Pricing &gt; (Negative)</t>
  </si>
  <si>
    <t>David Gales - Used Trade-In Product</t>
  </si>
  <si>
    <t>David Gales</t>
  </si>
  <si>
    <t>dgales@mac.com</t>
  </si>
  <si>
    <t>21 years 5 months</t>
  </si>
  <si>
    <t>257</t>
  </si>
  <si>
    <t>1132510</t>
  </si>
  <si>
    <t>https://bnh.lightning.force.com/0018X000031cXYGQA2</t>
  </si>
  <si>
    <t>You actually upgraded on of the pieces I traded and gave me more than I was expecting.</t>
  </si>
  <si>
    <t>Lynford Morton - Used Trade-In Product</t>
  </si>
  <si>
    <t>Lynford Morton</t>
  </si>
  <si>
    <t>lynfordm@gmail.com</t>
  </si>
  <si>
    <t>19 years 10 months</t>
  </si>
  <si>
    <t>238</t>
  </si>
  <si>
    <t>1127010</t>
  </si>
  <si>
    <t>https://bnh.lightning.force.com/0011a00000FPmDBAA1</t>
  </si>
  <si>
    <t>I sold on site at PPA, and they cut me a check on the spot.</t>
  </si>
  <si>
    <t>Hard to find the selling page on your website.</t>
  </si>
  <si>
    <t>Trade In &gt; Overall Process &gt;, Trade In &gt; Quote Price &gt;, Trade In &gt; Timeliness of Payment &gt;, Trade In &gt; Timeliness of Quote &gt;, Website &gt; Navigation &gt;</t>
  </si>
  <si>
    <t>Trade In &gt; Overall Process &gt; (Positive), Trade In &gt; Quote Price &gt; (Positive), Trade In &gt; Timeliness of Payment &gt; (Positive), Trade In &gt; Timeliness of Quote &gt; (Positive), Website &gt; Navigation &gt; (Negative)</t>
  </si>
  <si>
    <t>Hard to find the used sale page on website</t>
  </si>
  <si>
    <t>Kit Wright - Used Trade-In Product</t>
  </si>
  <si>
    <t>Kit Wright</t>
  </si>
  <si>
    <t>kitsstudio@gmail.com</t>
  </si>
  <si>
    <t>1132494</t>
  </si>
  <si>
    <t>https://bnh.lightning.force.com/001WP00000nu6BTYAY</t>
  </si>
  <si>
    <t>How courteous the sales staff is ( I was dealing with Michael F).  Letting me know each step along the way.  All instructions and feedback was extremely clear.  It was one of the most professional and easy transactions I have ever experienced.  Thank you B&amp;H team!</t>
  </si>
  <si>
    <t>Cannot think of anything I disliked</t>
  </si>
  <si>
    <t>B&amp;H &gt; Satisfaction &gt;, People &gt; Communication Skills &gt;, People &gt; Courtesy / Professional &gt;, Trade In &gt; Overall Process &gt;</t>
  </si>
  <si>
    <t>POSITIVE,NEUTRAL</t>
  </si>
  <si>
    <t>B&amp;H &gt; Satisfaction &gt; (Positive), People &gt; Communication Skills &gt; (Positive), People &gt; Courtesy / Professional &gt; (Positive), Trade In &gt; Overall Process &gt; (Positive)</t>
  </si>
  <si>
    <t>James Floyd - Used Trade-In Product</t>
  </si>
  <si>
    <t>James Floyd</t>
  </si>
  <si>
    <t>arcticdude@msn.com</t>
  </si>
  <si>
    <t>1132553</t>
  </si>
  <si>
    <t>https://bnh.lightning.force.com/0011a00000lPCfZAAW</t>
  </si>
  <si>
    <t>ease of selling</t>
  </si>
  <si>
    <t>Zhuojun Chen - Used Trade-In Product</t>
  </si>
  <si>
    <t>Zhuojun Chen</t>
  </si>
  <si>
    <t>georgechen0705@gmail.com</t>
  </si>
  <si>
    <t>1133470</t>
  </si>
  <si>
    <t>https://bnh.lightning.force.com/001WP00000oJe2IYAS</t>
  </si>
  <si>
    <t>Everything, very quick and efficient</t>
  </si>
  <si>
    <t>Wish the quote price can be more higher :)</t>
  </si>
  <si>
    <t>Trade In &gt; Overall Process &gt;, Trade In &gt; Quote Price &gt;, Trade In &gt; Timeliness of Payment &gt;, Trade In &gt; Timeliness of Quote &gt;</t>
  </si>
  <si>
    <t>Trade In &gt; Overall Process &gt; (Strongly positive), Trade In &gt; Quote Price &gt; (Negative), Trade In &gt; Timeliness of Payment &gt; (Strongly positive), Trade In &gt; Timeliness of Quote &gt; (Strongly positive)</t>
  </si>
  <si>
    <t>Micah Tennant - Used Trade-In Product</t>
  </si>
  <si>
    <t>Micah Tennant</t>
  </si>
  <si>
    <t>micahtennant@gmail.com</t>
  </si>
  <si>
    <t>1133687</t>
  </si>
  <si>
    <t>https://bnh.lightning.force.com/0018X00003FJs67QAD</t>
  </si>
  <si>
    <t>Gershon Orenstein,Avraham Schwartz,Reina Caba,Avraham Schwartz,Reina Caba</t>
  </si>
  <si>
    <t>Quick quote from the online tool</t>
  </si>
  <si>
    <t>I had expected a request for confirmation of the price after B&amp;H reviewed the lenses, but in the email they just said they had sent a check. Not a big deal since the sale price matched the quote, but a small comment.</t>
  </si>
  <si>
    <t>Pricing &gt; Price Match &gt;, Trade In &gt; Overall Process &gt;, Trade In &gt; Quote Price &gt;, Trade In &gt; Timeliness of Quote &gt;, Used &gt; Pricing &gt;</t>
  </si>
  <si>
    <t>Pricing &gt; Price Match &gt; (No opinion), Trade In &gt; Overall Process &gt; (Positive), Trade In &gt; Quote Price &gt; (No opinion), Trade In &gt; Timeliness of Quote &gt; (Positive), Used &gt; Pricing &gt; (Negative), Used &gt; Pricing &gt; (No opinion)</t>
  </si>
  <si>
    <t>Steve Solomon - Used Trade-In Product</t>
  </si>
  <si>
    <t>Steve Solomon</t>
  </si>
  <si>
    <t>steve@totalqualityphoto.com</t>
  </si>
  <si>
    <t>1135932</t>
  </si>
  <si>
    <t>https://bnh.lightning.force.com/0018X000038Cq6bQAC</t>
  </si>
  <si>
    <t>Web app is great!</t>
  </si>
  <si>
    <t>Royce Bollenbacher - Used Trade-In Product</t>
  </si>
  <si>
    <t>Royce Bollenbacher</t>
  </si>
  <si>
    <t>pete.bollenbacher@gmail.com</t>
  </si>
  <si>
    <t>1135576</t>
  </si>
  <si>
    <t>https://bnh.lightning.force.com/0011a00000FrZlAAAV</t>
  </si>
  <si>
    <t>The ease of using the TDI to make a new lens purchase.</t>
  </si>
  <si>
    <t>Easy to use trade-in credit for another purchase</t>
  </si>
  <si>
    <t>Dennis Hinkamp - Used Trade-In Product</t>
  </si>
  <si>
    <t>Dennis Hinkamp</t>
  </si>
  <si>
    <t>dennish@ext.usu.edu</t>
  </si>
  <si>
    <t>1133851</t>
  </si>
  <si>
    <t>https://bnh.lightning.force.com/0011a00000G507DAAR</t>
  </si>
  <si>
    <t>The quotes and shipping experience were easy</t>
  </si>
  <si>
    <t>It took longer than expected to get the credit. Also I had hoped the store credit would be easier to use. You can't shop online and have to call a live salesperson and give all your numbers. If I do this again I will likely just ask for a check</t>
  </si>
  <si>
    <t>Easy to get quote</t>
  </si>
  <si>
    <t>Steven R Allen - Used Trade-In Product</t>
  </si>
  <si>
    <t>Steven R Allen</t>
  </si>
  <si>
    <t>steve.allen@stwd.com</t>
  </si>
  <si>
    <t>12 years 5 months</t>
  </si>
  <si>
    <t>149</t>
  </si>
  <si>
    <t>1135600</t>
  </si>
  <si>
    <t>https://bnh.lightning.force.com/0018X00003PEQDDQA5</t>
  </si>
  <si>
    <t>Ease of use and selection of gear.</t>
  </si>
  <si>
    <t>Product &gt; Selection / Variety &gt;</t>
  </si>
  <si>
    <t>Product &gt; Selection / Variety &gt; (No opinion)</t>
  </si>
  <si>
    <t>Product &gt; Selection / Variety &gt; (Positive), Trade In &gt; Overall Process &gt; (Positive)</t>
  </si>
  <si>
    <t>Jeremiah Hwang - Used Trade-In Product</t>
  </si>
  <si>
    <t>Jeremiah Hwang</t>
  </si>
  <si>
    <t>jeremyhwang@gmail.com</t>
  </si>
  <si>
    <t>1131361</t>
  </si>
  <si>
    <t>https://bnh.lightning.force.com/0018X00003UUwFXQA1</t>
  </si>
  <si>
    <t>Very good pricing</t>
  </si>
  <si>
    <t>Took a bit long to receive funds</t>
  </si>
  <si>
    <t>Thomas Hanlon - Used Trade-In Product</t>
  </si>
  <si>
    <t>Thomas Hanlon</t>
  </si>
  <si>
    <t>tom72645@me.com</t>
  </si>
  <si>
    <t>13 years 4 months</t>
  </si>
  <si>
    <t>160</t>
  </si>
  <si>
    <t>1132768</t>
  </si>
  <si>
    <t>https://bnh.lightning.force.com/0011a00000G5USYAA3</t>
  </si>
  <si>
    <t>I received more for my gear than the original quote because of some small items I throw in the box. I did not expect to get more than the original quote.</t>
  </si>
  <si>
    <t>Pricing &gt; Value for Money &gt; (No opinion), Trade In &gt; Overall Process &gt; (No opinion)</t>
  </si>
  <si>
    <t>Diana Bowen - Used Trade-In Product</t>
  </si>
  <si>
    <t>Diana Bowen</t>
  </si>
  <si>
    <t>dianaobowen@gmail.com</t>
  </si>
  <si>
    <t>15 years 8 months</t>
  </si>
  <si>
    <t>188</t>
  </si>
  <si>
    <t>1132724</t>
  </si>
  <si>
    <t>https://bnh.lightning.force.com/0012L00001JTYIHQA5</t>
  </si>
  <si>
    <t>it's very nice that you provided a prepaid shipping label. also helpful that you recycled the equipment that I'd shipped you that ended up being too damaged to buy.</t>
  </si>
  <si>
    <t>packing my large order into one box was difficult</t>
  </si>
  <si>
    <t>People &gt; Helpful / Efficient &gt; (Positive), Trade In &gt; Overall Process &gt; (Negative), Trade In &gt; Overall Process &gt; (Positive)</t>
  </si>
  <si>
    <t>Hard to pack everything into one box</t>
  </si>
  <si>
    <t>Clara Gimenez - Used Trade-In Product</t>
  </si>
  <si>
    <t>Clara Gimenez</t>
  </si>
  <si>
    <t>photovermont@gmail.com</t>
  </si>
  <si>
    <t>1133616</t>
  </si>
  <si>
    <t>https://bnh.lightning.force.com/001Hs00005n2knKIAQ</t>
  </si>
  <si>
    <t>Easy, straightforward quote and transaction.</t>
  </si>
  <si>
    <t>It would be nice if there was some explicit incentive or bonus if one chose the option of receiving a gift card or store credit instead of cash.</t>
  </si>
  <si>
    <t>Payment &gt; General Mentions &gt;, Trade In &gt; Overall Process &gt;</t>
  </si>
  <si>
    <t>Payment &gt; General Mentions &gt; (Negative), Trade In &gt; Overall Process &gt; (Negative), Trade In &gt; Overall Process &gt; (Positive)</t>
  </si>
  <si>
    <t>Mark Lytle - Used Trade-In Product</t>
  </si>
  <si>
    <t>Mark Lytle</t>
  </si>
  <si>
    <t>mark_pghpa@yahoo.com</t>
  </si>
  <si>
    <t>1132875</t>
  </si>
  <si>
    <t>https://bnh.lightning.force.com/001WP00000o4ZrNYAU</t>
  </si>
  <si>
    <t>responsive staff</t>
  </si>
  <si>
    <t>People &gt; Communication Listening &gt;, People &gt; Courtesy / Professional &gt;, People &gt; Helpful / Efficient &gt;, People &gt; Overall Satisfaction &gt;</t>
  </si>
  <si>
    <t>People &gt; Communication Listening &gt; (Positive), People &gt; Courtesy / Professional &gt; (Positive), People &gt; Helpful / Efficient &gt; (Positive), People &gt; Overall Satisfaction &gt; (Positive)</t>
  </si>
  <si>
    <t>Dave Moss - Used Trade-In Product</t>
  </si>
  <si>
    <t>Dave Moss</t>
  </si>
  <si>
    <t>themossmann@cox.net</t>
  </si>
  <si>
    <t>16 years 0 months</t>
  </si>
  <si>
    <t>192</t>
  </si>
  <si>
    <t>1132458</t>
  </si>
  <si>
    <t>https://bnh.lightning.force.com/0012L00001EH4wxQAD</t>
  </si>
  <si>
    <t>Easy peasy. What’s not to like</t>
  </si>
  <si>
    <t>Zero</t>
  </si>
  <si>
    <t>j.thomas03@gmail.com</t>
  </si>
  <si>
    <t>1132435</t>
  </si>
  <si>
    <t>https://bnh.lightning.force.com/0011a00000G3z4UAAR</t>
  </si>
  <si>
    <t>Price offered was better than MPB, and you also offered shipping to you.</t>
  </si>
  <si>
    <t>Luis Cabrera - Used Trade-In Product</t>
  </si>
  <si>
    <t>Luis Cabrera</t>
  </si>
  <si>
    <t>diamondmultimediainc@gmail.com</t>
  </si>
  <si>
    <t>1133788</t>
  </si>
  <si>
    <t>https://bnh.lightning.force.com/0012L00001BNqQ4QAL</t>
  </si>
  <si>
    <t>Tremendous service I have been given, I have always been very satisfied.</t>
  </si>
  <si>
    <t>Larry Spencer - Used Trade-In Product</t>
  </si>
  <si>
    <t>Larry Spencer</t>
  </si>
  <si>
    <t>toskirk@yahoo.com</t>
  </si>
  <si>
    <t>8 years 5 months</t>
  </si>
  <si>
    <t>101</t>
  </si>
  <si>
    <t>1131864</t>
  </si>
  <si>
    <t>https://bnh.lightning.force.com/0011a00000rwqHbAAI</t>
  </si>
  <si>
    <t>Easy and convenient</t>
  </si>
  <si>
    <t>Kaliyah Mosley - Used Trade-In Product</t>
  </si>
  <si>
    <t>Kaliyah Mosley</t>
  </si>
  <si>
    <t>kalnmosley@gmail.com</t>
  </si>
  <si>
    <t>1130717</t>
  </si>
  <si>
    <t>https://bnh.lightning.force.com/001WP00000mupM9YAI</t>
  </si>
  <si>
    <t>What I liked most was the ease of the process. I like that B&amp;H communicated well with me, letting me know that they received my package, when review was expected and the payout amount. I received my check fast and easily.</t>
  </si>
  <si>
    <t>If I had to nitpick anything, maybe having to go to the Fedex store in person. Also, the fact that I had to wait a little for someone to look at my stuff. It wasn’t a big problem for me though.</t>
  </si>
  <si>
    <t>People &gt; Follow Up &gt;, Trade In &gt; Overall Process &gt;, Trade In &gt; Timeliness of Payment &gt;, Trade In &gt; Timeliness of Quote &gt;, Traffic &gt; Carrier Selection / Options &gt;</t>
  </si>
  <si>
    <t>People &gt; Follow Up &gt; (Positive), Trade In &gt; Overall Process &gt; (Positive), Trade In &gt; Timeliness of Payment &gt; (Positive), Trade In &gt; Timeliness of Quote &gt; (Negative), Traffic &gt; Carrier Selection / Options &gt; (Negative)</t>
  </si>
  <si>
    <t>Greg Mason - Used Trade-In Product</t>
  </si>
  <si>
    <t>Greg Mason</t>
  </si>
  <si>
    <t>greg.mason@ktvz.com</t>
  </si>
  <si>
    <t>16 years 5 months</t>
  </si>
  <si>
    <t>197</t>
  </si>
  <si>
    <t>1131274</t>
  </si>
  <si>
    <t>https://bnh.lightning.force.com/0018X00003N7vmnQAB</t>
  </si>
  <si>
    <t>Reanray Salcedo - Used Trade-In Product</t>
  </si>
  <si>
    <t>Reanray Salcedo</t>
  </si>
  <si>
    <t>reanraysalcedo@yahoo.com</t>
  </si>
  <si>
    <t>1132575</t>
  </si>
  <si>
    <t>https://bnh.lightning.force.com/001WP00000nwl42YAA</t>
  </si>
  <si>
    <t>Aine Hoye,Avraham Schwartz,Reina Caba,Avraham Schwartz,Reina Caba</t>
  </si>
  <si>
    <t>Straightforward and streamlined selling process. Ease of use.</t>
  </si>
  <si>
    <t>Speed in receiving physical check.</t>
  </si>
  <si>
    <t>Alfred Gonzales - Used Trade-In Product</t>
  </si>
  <si>
    <t>Alfred Gonzales</t>
  </si>
  <si>
    <t>alfiegonzo@gmail.com</t>
  </si>
  <si>
    <t>8 months</t>
  </si>
  <si>
    <t>8</t>
  </si>
  <si>
    <t>1133187</t>
  </si>
  <si>
    <t>https://bnh.lightning.force.com/001Hs00004xYxz6IAC</t>
  </si>
  <si>
    <t>Fast response to inquiries.</t>
  </si>
  <si>
    <t>Not having a tracking # for getting my check mailed to me.</t>
  </si>
  <si>
    <t>People &gt; Wait Time &gt;, Trade In &gt; Overall Process &gt;, Website &gt; Order Tracking &gt;</t>
  </si>
  <si>
    <t>Website &gt; Order Tracking &gt; (No opinion)</t>
  </si>
  <si>
    <t>People &gt; Wait Time &gt; (Positive), Trade In &gt; Overall Process &gt; (Negative), Website &gt; Order Tracking &gt; (Negative)</t>
  </si>
  <si>
    <t>Lane Malingen - Used Trade-In Product</t>
  </si>
  <si>
    <t>Lane Malingen</t>
  </si>
  <si>
    <t>ltmalingen@gmail.com</t>
  </si>
  <si>
    <t>1128656</t>
  </si>
  <si>
    <t>https://bnh.lightning.force.com/001WP00000lfC7WYAU</t>
  </si>
  <si>
    <t>I really found the entire process easy and smooth.  I liked how I could get an estimate online before hand and that I could decide if that is something I wanted to do or not at that point.</t>
  </si>
  <si>
    <t>Nothing stood out as painful or disliked. So... good job.</t>
  </si>
  <si>
    <t>Robert Consentino - Used Trade-In Product</t>
  </si>
  <si>
    <t>Robert Consentino</t>
  </si>
  <si>
    <t>bconsentino@comcast.net</t>
  </si>
  <si>
    <t>19 years 6 months</t>
  </si>
  <si>
    <t>234</t>
  </si>
  <si>
    <t>1134952</t>
  </si>
  <si>
    <t>https://bnh.lightning.force.com/0012L000018Wl53QAC</t>
  </si>
  <si>
    <t>Customer service, ease of quote process, prepaid shipping label, communication throughout the process.</t>
  </si>
  <si>
    <t>Nothing comes to mind.  B&amp;H is just incredibly customer focused… they get it.  This is why I have been a customer for over 25 years.</t>
  </si>
  <si>
    <t>B&amp;H &gt; Loyalty &gt;, B&amp;H &gt; Satisfaction &gt;, People &gt; Courtesy / Professional &gt;, Trade In &gt; Overall Process &gt;</t>
  </si>
  <si>
    <t>B&amp;H &gt; Loyalty &gt; (No opinion), Trade In &gt; Overall Process &gt; (Positive)</t>
  </si>
  <si>
    <t>B&amp;H &gt; Loyalty &gt; (No opinion), B&amp;H &gt; Satisfaction &gt; (Positive), People &gt; Courtesy / Professional &gt; (Positive), Trade In &gt; Overall Process &gt; (Positive)</t>
  </si>
  <si>
    <t>Michael Mcgovern - Used Trade-In Product</t>
  </si>
  <si>
    <t>Michael Mcgovern</t>
  </si>
  <si>
    <t>mikemcgovern@comcast.net</t>
  </si>
  <si>
    <t>11 years 5 months</t>
  </si>
  <si>
    <t>137</t>
  </si>
  <si>
    <t>1131111</t>
  </si>
  <si>
    <t>https://bnh.lightning.force.com/0018X000030ASONQA4</t>
  </si>
  <si>
    <t>I have totally shifted all my camera/photography purchases over to B&amp;H and also obtained a 
Payboo card.  I sell my old gear to you when I buy new gear.  Prices are fair and allow me to save on new purchases.  Love it.  B&amp;H makes the whole process so smooth.  I have purchased considerable gear at great expense from B&amp;H over the years.  Never had an issue and for me this has built up a level of great trust in B&amp;H - so important when spending this kid of money.  The only issue this time around was, I asked for store credit and you sent me a check.  No problem.  I was going to buy a second Sony A1ii buy but I may wait for them to release a Sony A7R6.  Keep up the great work over there on the east coast!  :-)</t>
  </si>
  <si>
    <t>B&amp;H &gt; Loyalty &gt;, B&amp;H &gt; Reliable / Trustworthy &gt;, B&amp;H &gt; Satisfaction &gt;, B&amp;H Payboo &gt; Benefit Satisfaction &gt;, Trade In &gt; Overall Process &gt;, Trade In &gt; Quote Price &gt;</t>
  </si>
  <si>
    <t>B&amp;H &gt; Loyalty &gt; (Positive), B&amp;H &gt; Reliable / Trustworthy &gt; (Positive), B&amp;H &gt; Satisfaction &gt; (Positive), B&amp;H Payboo &gt; Benefit Satisfaction &gt; (Positive), Trade In &gt; Overall Process &gt; (Negative), Trade In &gt; Overall Process &gt; (Positive), Trade In &gt; Quote Price &gt; (Positive)</t>
  </si>
  <si>
    <t>Wanted store credit but got check as payment</t>
  </si>
  <si>
    <t>Gopal Kolluru - Used Trade-In Product</t>
  </si>
  <si>
    <t>Gopal Kolluru</t>
  </si>
  <si>
    <t>gkolluru@gmail.com</t>
  </si>
  <si>
    <t>13 years 7 months</t>
  </si>
  <si>
    <t>163</t>
  </si>
  <si>
    <t>1134682</t>
  </si>
  <si>
    <t>https://bnh.lightning.force.com/0012L00001BOmAZQA1</t>
  </si>
  <si>
    <t>Awasom service 😍</t>
  </si>
  <si>
    <t>Muhammed Anwer - Used Trade-In Product</t>
  </si>
  <si>
    <t>Muhammed Anwer</t>
  </si>
  <si>
    <t>anwermuhammed1@gmail.com</t>
  </si>
  <si>
    <t>23 years 4 months</t>
  </si>
  <si>
    <t>280</t>
  </si>
  <si>
    <t>1134722</t>
  </si>
  <si>
    <t>https://bnh.lightning.force.com/0012L00001030QFQAY</t>
  </si>
  <si>
    <t>Ease of navigating the web site and finding the item.  Decent price.</t>
  </si>
  <si>
    <t>Used &gt; Pricing &gt;, Website &gt; Navigation &gt;</t>
  </si>
  <si>
    <t>Used &gt; Pricing &gt; (Positive), Website &gt; Navigation &gt; (Positive)</t>
  </si>
  <si>
    <t>Thomas Colucci - Used Trade-In Product</t>
  </si>
  <si>
    <t>Thomas Colucci</t>
  </si>
  <si>
    <t>tcolucciwrk@gmail.com</t>
  </si>
  <si>
    <t>1133846</t>
  </si>
  <si>
    <t>https://bnh.lightning.force.com/001WP00000oT8KPYA0</t>
  </si>
  <si>
    <t>Wonderful team to work with. I've called a few times and everyone was quick to get me a status update as needed. They evaluated my gear nicely.</t>
  </si>
  <si>
    <t>Claimed an item I had sent that I really was hoping to get rid of, was broken, but when I looked myself, it functioned flawlessly. I believe the tech didn't know to hold the power button rather than just press it.</t>
  </si>
  <si>
    <t>People &gt; Knowledge / Recommend &gt;, Website &gt; Order Tracking &gt;</t>
  </si>
  <si>
    <t>People &gt; Helpful / Efficient &gt;, People &gt; Knowledge / Recommend &gt;, People &gt; Overall Satisfaction &gt;, Trade In &gt; Overall Process &gt;</t>
  </si>
  <si>
    <t>People &gt; Knowledge / Recommend &gt; (Negative), Website &gt; Order Tracking &gt; (Positive)</t>
  </si>
  <si>
    <t>People &gt; Helpful / Efficient &gt; (Positive), People &gt; Knowledge / Recommend &gt; (Negative), People &gt; Overall Satisfaction &gt; (Positive), Trade In &gt; Overall Process &gt; (Negative), Trade In &gt; Overall Process &gt; (Positive)</t>
  </si>
  <si>
    <t>Disagrees with product evaluation</t>
  </si>
  <si>
    <t>Harvey Seargeant - Used Trade-In Product</t>
  </si>
  <si>
    <t>Harvey Seargeant</t>
  </si>
  <si>
    <t>harveyseargeant@verizon.net</t>
  </si>
  <si>
    <t>16 years 11 months</t>
  </si>
  <si>
    <t>203</t>
  </si>
  <si>
    <t>1134222</t>
  </si>
  <si>
    <t>https://bnh.lightning.force.com/0011a00000IEAvxAAH</t>
  </si>
  <si>
    <t>Speed</t>
  </si>
  <si>
    <t>5 day delay- but oh well 😁 thanks BH</t>
  </si>
  <si>
    <t>B&amp;H &gt; Satisfaction &gt; (Positive), Trade In &gt; Overall Process &gt; (Positive), Trade In &gt; Timeliness of Payment &gt; (Negative)</t>
  </si>
  <si>
    <t>Les Dickey - Used Trade-In Product</t>
  </si>
  <si>
    <t>Les Dickey</t>
  </si>
  <si>
    <t>lesdickey@gmx.com</t>
  </si>
  <si>
    <t>1131037</t>
  </si>
  <si>
    <t>https://bnh.lightning.force.com/001WP00000n4cCpYAI</t>
  </si>
  <si>
    <t>Efficient.  Friendly.</t>
  </si>
  <si>
    <t>Still waiting for my check.</t>
  </si>
  <si>
    <t>People &gt; Courtesy / Professional &gt;, Trade In &gt; Overall Process &gt;, Trade In &gt; Timeliness of Payment &gt;</t>
  </si>
  <si>
    <t>People &gt; Courtesy / Professional &gt; (Positive), Trade In &gt; Overall Process &gt; (Positive), Trade In &gt; Timeliness of Payment &gt; (Negative)</t>
  </si>
  <si>
    <t>Vincent Manganello - Used Trade-In Product</t>
  </si>
  <si>
    <t>Vincent Manganello</t>
  </si>
  <si>
    <t>vinnieman@hotmail.com</t>
  </si>
  <si>
    <t>23 years 3 months</t>
  </si>
  <si>
    <t>279</t>
  </si>
  <si>
    <t>1134890</t>
  </si>
  <si>
    <t>https://bnh.lightning.force.com/0011a00000Fn0NnAAJ</t>
  </si>
  <si>
    <t>Easy to get quote online.</t>
  </si>
  <si>
    <t>One of my lenses was not online, when I talked to a buyer on the phone he used a different condition scale then online. When item was received I was told the quote was lower. Seems like the guy on the phone was trying to get the price up so I would send it in, then it got there and price was lowered. Feels a little scammy like what a used car dealer would pull. I've been a B&amp;H customer for ever, but I'll stick with new.</t>
  </si>
  <si>
    <t>B&amp;H &gt; Loyalty &gt;, B&amp;H &gt; Reliable / Trustworthy &gt;, Trade In &gt; Overall Process &gt;, Trade In &gt; Quote Price &gt;, Used &gt; Description &gt;, Used &gt; Pricing &gt;, Website &gt; Overall Satisfaction &gt;</t>
  </si>
  <si>
    <t>Trade In &gt; Overall Process &gt; (No opinion), Trade In &gt; Overall Process &gt; (Positive), Trade In &gt; Quote Price &gt; (No opinion), Used &gt; Pricing &gt; (Negative), Used &gt; Pricing &gt; (Positive)</t>
  </si>
  <si>
    <t>B&amp;H &gt; Loyalty &gt; (Positive), B&amp;H &gt; Reliable / Trustworthy &gt; (Negative), Trade In &gt; Overall Process &gt; (Negative), Trade In &gt; Overall Process &gt; (Positive), Trade In &gt; Quote Price &gt; (Negative), Used &gt; Description &gt; (Negative), Used &gt; Pricing &gt; (Negative), Website &gt; Overall Satisfaction &gt; (Positive)</t>
  </si>
  <si>
    <t>Cynthia Ang - Used Trade-In Product</t>
  </si>
  <si>
    <t>Cynthia Ang</t>
  </si>
  <si>
    <t>lxw384@gmail.com</t>
  </si>
  <si>
    <t>1129873</t>
  </si>
  <si>
    <t>https://bnh.lightning.force.com/001WP00000mRhyUYAS</t>
  </si>
  <si>
    <t>Very fast and easy</t>
  </si>
  <si>
    <t>Joe Schmitt - Used Trade-In Product</t>
  </si>
  <si>
    <t>Joe Schmitt</t>
  </si>
  <si>
    <t>fjoe48@aol.com</t>
  </si>
  <si>
    <t>1132558</t>
  </si>
  <si>
    <t>https://bnh.lightning.force.com/001WP00000nvcfeYAA</t>
  </si>
  <si>
    <t>Efficient and user-friendly system.</t>
  </si>
  <si>
    <t>Amount of time it took to receive check after approval.</t>
  </si>
  <si>
    <t>Miles Gerson - Used Trade-In Product</t>
  </si>
  <si>
    <t>Miles Gerson</t>
  </si>
  <si>
    <t>miles.gerson@gmail.com</t>
  </si>
  <si>
    <t>1132354</t>
  </si>
  <si>
    <t>https://bnh.lightning.force.com/001WP00000nosZKYAY</t>
  </si>
  <si>
    <t>Very clear process, good communication throughout, very professional and very fair.</t>
  </si>
  <si>
    <t>Lesliej Bernard - Used Trade-In Product</t>
  </si>
  <si>
    <t>Lesliej Bernard</t>
  </si>
  <si>
    <t>ljbernard34@gmail.com</t>
  </si>
  <si>
    <t>1133857</t>
  </si>
  <si>
    <t>https://bnh.lightning.force.com/001WP00000oTfbHYAS</t>
  </si>
  <si>
    <t>The whole business was so easy. The staff at B&amp;H was quite helpful. The mail in address sticker was so convenient.  thank you very much.</t>
  </si>
  <si>
    <t>Warren Poole - Used Trade-In Product</t>
  </si>
  <si>
    <t>Warren Poole</t>
  </si>
  <si>
    <t>nateagera@gmail.com</t>
  </si>
  <si>
    <t>1123535</t>
  </si>
  <si>
    <t>https://bnh.lightning.force.com/001WP00000jBMQNYA4</t>
  </si>
  <si>
    <t>ease of access to fill out everything myself online</t>
  </si>
  <si>
    <t>time it takes from when you send in the gear to sell to the payment delivered after processing.</t>
  </si>
  <si>
    <t>Trade In &gt; Overall Process &gt;, Trade In &gt; Timeliness of Payment &gt;, Website &gt; Overall Satisfaction &gt;</t>
  </si>
  <si>
    <t>Trade In &gt; Overall Process &gt; (Positive), Trade In &gt; Timeliness of Payment &gt; (Negative), Website &gt; Overall Satisfaction &gt; (Positive)</t>
  </si>
  <si>
    <t>James Black - Used Trade-In Product</t>
  </si>
  <si>
    <t>James Black</t>
  </si>
  <si>
    <t>jamesmblack@icloud.com</t>
  </si>
  <si>
    <t>1134434</t>
  </si>
  <si>
    <t>https://bnh.lightning.force.com/0011a00000c08yvAAA</t>
  </si>
  <si>
    <t>It’s a straightforward process, nothing difficult about it. I have sold several photo and electronic devices to other resellers and the experience with B&amp;H is equal to or better than the others.</t>
  </si>
  <si>
    <t>Nothing, really.</t>
  </si>
  <si>
    <t>Keith Roberts - Used Trade-In Product</t>
  </si>
  <si>
    <t>Keith Roberts</t>
  </si>
  <si>
    <t>gkroberts2@verizon.net</t>
  </si>
  <si>
    <t>1129682</t>
  </si>
  <si>
    <t>https://bnh.lightning.force.com/001WP00000mN1YRYA0</t>
  </si>
  <si>
    <t>Very efficient and customer friendly</t>
  </si>
  <si>
    <t>Not applicable</t>
  </si>
  <si>
    <t>People &gt; Courtesy / Professional &gt;, People &gt; Wait Time &gt;</t>
  </si>
  <si>
    <t>People &gt; Courtesy / Professional &gt; (Positive), People &gt; Wait Time &gt; (Positive)</t>
  </si>
  <si>
    <t>Robert Smith - Used Trade-In Product</t>
  </si>
  <si>
    <t>Robert Smith</t>
  </si>
  <si>
    <t>smithrob26@yahoo.com</t>
  </si>
  <si>
    <t>1129536</t>
  </si>
  <si>
    <t>https://bnh.lightning.force.com/001WP00000mJYesYAG</t>
  </si>
  <si>
    <t>Everything was very easy and straightforward</t>
  </si>
  <si>
    <t>Cynthia Williams - Used Trade-In Product</t>
  </si>
  <si>
    <t>Cynthia Williams</t>
  </si>
  <si>
    <t>junbug1@mac.com</t>
  </si>
  <si>
    <t>1130847</t>
  </si>
  <si>
    <t>https://bnh.lightning.force.com/0011a00000jRrJsAAK</t>
  </si>
  <si>
    <t>Ease of selling my equipment and fair prices</t>
  </si>
  <si>
    <t>On line portal was a little difficult to use, but once I knew. How it worked all was smooth sailing</t>
  </si>
  <si>
    <t>Pricing &gt; Value for Money &gt;, Trade In &gt; Quote Price &gt;, Used &gt; Description &gt;, Used &gt; Pricing &gt;</t>
  </si>
  <si>
    <t>Pricing &gt; Value for Money &gt; (Positive), Trade In &gt; Quote Price &gt; (Positive), Used &gt; Description &gt; (Negative), Used &gt; Pricing &gt; (Positive)</t>
  </si>
  <si>
    <t>Difficult to use online portal</t>
  </si>
  <si>
    <t>Maurice Allgrove - Used Trade-In Product</t>
  </si>
  <si>
    <t>Maurice Allgrove</t>
  </si>
  <si>
    <t>zickie.allgrove@me.com</t>
  </si>
  <si>
    <t>4 years 3 months</t>
  </si>
  <si>
    <t>51</t>
  </si>
  <si>
    <t>1130781</t>
  </si>
  <si>
    <t>https://bnh.lightning.force.com/0012L00001H6u02QAB</t>
  </si>
  <si>
    <t>It was straightforward, responsive, professional</t>
  </si>
  <si>
    <t>People &gt; Courtesy / Professional &gt;, People &gt; Wait Time &gt;, Trade In &gt; Overall Process &gt;</t>
  </si>
  <si>
    <t>People &gt; Courtesy / Professional &gt; (Positive), People &gt; Wait Time &gt; (Positive), Trade In &gt; Overall Process &gt; (Positive)</t>
  </si>
  <si>
    <t>Ravinder Sharan - Used Trade-In Product</t>
  </si>
  <si>
    <t>Ravinder Sharan</t>
  </si>
  <si>
    <t>sharanr@hotmail.com</t>
  </si>
  <si>
    <t>1131338</t>
  </si>
  <si>
    <t>https://bnh.lightning.force.com/0011a00000bU3YCAA0</t>
  </si>
  <si>
    <t>I got what I was quoted, which wasn’t a lot but competitive to other market places.</t>
  </si>
  <si>
    <t>The process was slow. Took over 2 weeks and payment was by check. Most others do a direct deposit and are much quicker.</t>
  </si>
  <si>
    <t>Gregory Blasbalg - Used Trade-In Product</t>
  </si>
  <si>
    <t>Gregory Blasbalg</t>
  </si>
  <si>
    <t>gblaz1@gmail.com</t>
  </si>
  <si>
    <t>5 years 2 months</t>
  </si>
  <si>
    <t>62</t>
  </si>
  <si>
    <t>1131328</t>
  </si>
  <si>
    <t>https://bnh.lightning.force.com/0012L000019EpmOQAS</t>
  </si>
  <si>
    <t>The instant quote - and that you paid the quoted amount without any issues.</t>
  </si>
  <si>
    <t>It took a bit longer than expected to get my check</t>
  </si>
  <si>
    <t>Trade In &gt; Overall Process &gt; (Positive), Trade In &gt; Timeliness of Payment &gt; (Negative), Trade In &gt; Timeliness of Quote &gt; (Positive)</t>
  </si>
  <si>
    <t>Jeff Strawman - Used Trade-In Product</t>
  </si>
  <si>
    <t>Jeff Strawman</t>
  </si>
  <si>
    <t>jrstrawman@sbcglobal.net</t>
  </si>
  <si>
    <t>1132068</t>
  </si>
  <si>
    <t>https://bnh.lightning.force.com/0011a00000Y5A8OAAV</t>
  </si>
  <si>
    <t>Ease of transaction</t>
  </si>
  <si>
    <t>Time frames</t>
  </si>
  <si>
    <t>Max Mattoon - Used Trade-In Product</t>
  </si>
  <si>
    <t>Max Mattoon</t>
  </si>
  <si>
    <t>maxtoon77@gmail.com</t>
  </si>
  <si>
    <t>1133949</t>
  </si>
  <si>
    <t>https://bnh.lightning.force.com/0012L00000tsylpQAA</t>
  </si>
  <si>
    <t>Ease of initiating the transaction and store stock selection</t>
  </si>
  <si>
    <t>Pretty dramatic reduction in estimated trade in value</t>
  </si>
  <si>
    <t>Product &gt; Selection / Variety &gt;, Trade In &gt; Overall Process &gt;, Trade In &gt; Quote Price &gt;</t>
  </si>
  <si>
    <t>Product &gt; Selection / Variety &gt; (Positive), Trade In &gt; Overall Process &gt; (Positive), Trade In &gt; Quote Price &gt; (Negative)</t>
  </si>
  <si>
    <t>Price reduction post-inspection</t>
  </si>
  <si>
    <t>Allen Carlson - Used Trade-In Product</t>
  </si>
  <si>
    <t>Allen Carlson</t>
  </si>
  <si>
    <t>alndaryla@comcast.net</t>
  </si>
  <si>
    <t>1133843</t>
  </si>
  <si>
    <t>https://bnh.lightning.force.com/0011a00000iSBYcAAO</t>
  </si>
  <si>
    <t>Quote actually increased after inspection</t>
  </si>
  <si>
    <t>Some accessories not listed in web app and required an email custom quote, but that was fast and not that troublesome.</t>
  </si>
  <si>
    <t>Chi Zhang - Used Trade-In Product</t>
  </si>
  <si>
    <t>Chi Zhang</t>
  </si>
  <si>
    <t>zhangchi76@yahoo.com</t>
  </si>
  <si>
    <t>6 years 1 months</t>
  </si>
  <si>
    <t>73</t>
  </si>
  <si>
    <t>1130402</t>
  </si>
  <si>
    <t>https://bnh.lightning.force.com/0011a00000gX1TTAA0</t>
  </si>
  <si>
    <t>Straight forward. Very good web interface with common equipment listed.</t>
  </si>
  <si>
    <t>Not able to save my progress. I entered a few items but recalled I have an old camera in the office which I can retrieve and enter the model and condition the next day. But I have to redo the whole thing again the next day. Would be nice to be able to save amd reopen a trade in list just like I can save my shopping cart for the future.</t>
  </si>
  <si>
    <t>Product &gt; Selection / Variety &gt;, Trade In &gt; Overall Process &gt;, Website &gt; Design / Layout &gt;, Website &gt; Overall Satisfaction &gt;</t>
  </si>
  <si>
    <t>Website &gt; Overall Satisfaction &gt; (Positive)</t>
  </si>
  <si>
    <t>Product &gt; Selection / Variety &gt; (Positive), Trade In &gt; Overall Process &gt; (Negative), Trade In &gt; Overall Process &gt; (Positive), Website &gt; Design / Layout &gt; (Positive), Website &gt; Overall Satisfaction &gt; (Negative), Website &gt; Overall Satisfaction &gt; (Positive)</t>
  </si>
  <si>
    <t>John Hennerfeind - Used Trade-In Product</t>
  </si>
  <si>
    <t>John Hennerfeind</t>
  </si>
  <si>
    <t>hennerfeind@me.com</t>
  </si>
  <si>
    <t>1127878</t>
  </si>
  <si>
    <t>https://bnh.lightning.force.com/0018X000038EhhwQAC</t>
  </si>
  <si>
    <t>This was an easy process and a reasonable price with a company I have learned to trust!</t>
  </si>
  <si>
    <t>There was nothing about the process I disliked.</t>
  </si>
  <si>
    <t>B&amp;H &gt; Reliable / Trustworthy &gt;, Pricing &gt; Value for Money &gt;, Trade In &gt; Overall Process &gt;, Used &gt; Pricing &gt;</t>
  </si>
  <si>
    <t>B&amp;H &gt; Reliable / Trustworthy &gt; (Positive), Pricing &gt; Value for Money &gt; (Positive), Trade In &gt; Overall Process &gt; (Positive), Used &gt; Pricing &gt; (Positive)</t>
  </si>
  <si>
    <t>Noah Walker - Used Trade-In Product</t>
  </si>
  <si>
    <t>Noah Walker</t>
  </si>
  <si>
    <t>noahwalker165@gmail.com</t>
  </si>
  <si>
    <t>1131091</t>
  </si>
  <si>
    <t>https://bnh.lightning.force.com/001WP00000n8ZsQYAU</t>
  </si>
  <si>
    <t>How easy it was</t>
  </si>
  <si>
    <t>How much they low balled me</t>
  </si>
  <si>
    <t>Edward Goff - Used Trade-In Product</t>
  </si>
  <si>
    <t>Edward Goff</t>
  </si>
  <si>
    <t>ehgoff@hotmail.com</t>
  </si>
  <si>
    <t>1132236</t>
  </si>
  <si>
    <t>https://bnh.lightning.force.com/001WP00000nIkxVYAS</t>
  </si>
  <si>
    <t>Ease of use of website</t>
  </si>
  <si>
    <t>Took a bit more time than I would have liked</t>
  </si>
  <si>
    <t>Trade In &gt; Timeliness of Payment &gt;, Website &gt; Overall Satisfaction &gt;</t>
  </si>
  <si>
    <t>Trade In &gt; Timeliness of Payment &gt; (Negative), Website &gt; Overall Satisfaction &gt; (Positive)</t>
  </si>
  <si>
    <t>Cody Corrall - Used Trade-In Product</t>
  </si>
  <si>
    <t>Cody Corrall</t>
  </si>
  <si>
    <t>codycorrall@gmail.com</t>
  </si>
  <si>
    <t>4 years 6 months</t>
  </si>
  <si>
    <t>54</t>
  </si>
  <si>
    <t>1132935</t>
  </si>
  <si>
    <t>https://bnh.lightning.force.com/0012L00001H3cCcQAJ</t>
  </si>
  <si>
    <t>Fast and easy!</t>
  </si>
  <si>
    <t>Ed Pepin - Used Trade-In Product</t>
  </si>
  <si>
    <t>Ed Pepin</t>
  </si>
  <si>
    <t>edpepin1961@comcast.net</t>
  </si>
  <si>
    <t>1131348</t>
  </si>
  <si>
    <t>https://bnh.lightning.force.com/0011a00000G4JkFAAV</t>
  </si>
  <si>
    <t>Easy dealing with B&amp;H as usual.  Been doing it for 25 years</t>
  </si>
  <si>
    <t>B&amp;H &gt; Loyalty &gt;, B&amp;H &gt; Satisfaction &gt;</t>
  </si>
  <si>
    <t>B&amp;H &gt; Loyalty &gt; (Positive), B&amp;H &gt; Satisfaction &gt; (Positive)</t>
  </si>
  <si>
    <t>Support It - Used Trade-In Product</t>
  </si>
  <si>
    <t>Support It</t>
  </si>
  <si>
    <t>7 years 11 months</t>
  </si>
  <si>
    <t>95</t>
  </si>
  <si>
    <t>1128421</t>
  </si>
  <si>
    <t>https://bnh.lightning.force.com/0011a00000nLDdYAAW</t>
  </si>
  <si>
    <t>It was pretty easy, all things considered.</t>
  </si>
  <si>
    <t>Several items were "damaged" and therefore would not be receiving a payout. I would have liked to have seen photos of the items deemed damaged, just to keep everything as clear as possible.</t>
  </si>
  <si>
    <t>Product &gt; Product Function &gt;, Website &gt; Images &gt;</t>
  </si>
  <si>
    <t>Product &gt; Product Function &gt; (Negative), Website &gt; Images &gt; (Negative)</t>
  </si>
  <si>
    <t>Wants more transparency around valuation process (specifically why certain products received a price cut)</t>
  </si>
  <si>
    <t>Kareem Omar - Used Trade-In Product</t>
  </si>
  <si>
    <t>Kareem Omar</t>
  </si>
  <si>
    <t>kareem1702@hotmail.com</t>
  </si>
  <si>
    <t>1120244</t>
  </si>
  <si>
    <t>https://bnh.lightning.force.com/0012L00001BOOHZQA5</t>
  </si>
  <si>
    <t>Ease of online process</t>
  </si>
  <si>
    <t>Being given a price then 2 minutes later getting a call saying the price is actually much less</t>
  </si>
  <si>
    <t>Pricing &gt; Value for Money &gt; (Negative), Trade In &gt; Overall Process &gt; (Positive), Used &gt; Pricing &gt; (Negative)</t>
  </si>
  <si>
    <t>Nancy Scola - Used Trade-In Product</t>
  </si>
  <si>
    <t>Nancy Scola</t>
  </si>
  <si>
    <t>nancyscola@gmail.com</t>
  </si>
  <si>
    <t>1 years 9 months</t>
  </si>
  <si>
    <t>21</t>
  </si>
  <si>
    <t>1130368</t>
  </si>
  <si>
    <t>https://bnh.lightning.force.com/0018X00003P4oX7QAJ</t>
  </si>
  <si>
    <t>Really, no notes — it was great from start to finish. I should have done it sooner!</t>
  </si>
  <si>
    <t>James Copes - Used Trade-In Product</t>
  </si>
  <si>
    <t>James Copes</t>
  </si>
  <si>
    <t>copesje@gmail.com</t>
  </si>
  <si>
    <t>1133879</t>
  </si>
  <si>
    <t>https://bnh.lightning.force.com/0011a00000jRitfAAC</t>
  </si>
  <si>
    <t>Amount of quote was good and the speed of getting gift card was good</t>
  </si>
  <si>
    <t>Unable to figure out how to find the PIN so I can complete an order! Extremely frustrated!</t>
  </si>
  <si>
    <t>Payment &gt; Ease Of Use &gt;, Payment &gt; Online &gt;, Trade In &gt; Quote Price &gt;, Trade In &gt; Timeliness of Payment &gt;</t>
  </si>
  <si>
    <t>Payment &gt; Ease Of Use &gt; (Negative), Payment &gt; Online &gt; (Negative), Trade In &gt; Quote Price &gt; (Positive), Trade In &gt; Timeliness of Payment &gt; (Positive)</t>
  </si>
  <si>
    <t>James Wolf - Used Trade-In Product</t>
  </si>
  <si>
    <t>James Wolf</t>
  </si>
  <si>
    <t>hello@jameswolfphotography.com</t>
  </si>
  <si>
    <t>1132571</t>
  </si>
  <si>
    <t>https://bnh.lightning.force.com/0018X00003UTYMfQAP</t>
  </si>
  <si>
    <t>Best and highest offer on the market for what I had compared to KEH and MPB.</t>
  </si>
  <si>
    <t>Shai Radoshitzky - Used Trade-In Product</t>
  </si>
  <si>
    <t>Shai Radoshitzky</t>
  </si>
  <si>
    <t>shairad@gmail.com</t>
  </si>
  <si>
    <t>1132893</t>
  </si>
  <si>
    <t>https://bnh.lightning.force.com/001WP00000nOfkIYAS</t>
  </si>
  <si>
    <t>Very easy online process getting a quote through the B&amp;H website. Free shipping, and very fair pricing on my used gear.</t>
  </si>
  <si>
    <t>Very minor, if at all, it took about 2 weeks to get a quote, and a week longer than communicated, but really not a big deal at all.</t>
  </si>
  <si>
    <t>Pricing &gt; Delivery Fees &gt;, Trade In &gt; Overall Process &gt;, Used &gt; Pricing &gt;</t>
  </si>
  <si>
    <t>Pricing &gt; Delivery Fees &gt;, Trade In &gt; Overall Process &gt;, Trade In &gt; Quote Price &gt;, Trade In &gt; Timeliness of Quote &gt;</t>
  </si>
  <si>
    <t>Pricing &gt; Delivery Fees &gt; (Positive), Trade In &gt; Overall Process &gt; (Negative), Trade In &gt; Overall Process &gt; (Positive), Used &gt; Pricing &gt; (Positive)</t>
  </si>
  <si>
    <t>Pricing &gt; Delivery Fees &gt; (Positive), Trade In &gt; Overall Process &gt; (Positive), Trade In &gt; Quote Price &gt; (Positive), Trade In &gt; Timeliness of Quote &gt; (Negative)</t>
  </si>
  <si>
    <t>Emily Morgan - Used Trade-In Product</t>
  </si>
  <si>
    <t>Emily Morgan</t>
  </si>
  <si>
    <t>emilymorgancreative@gmail.com</t>
  </si>
  <si>
    <t>1129271</t>
  </si>
  <si>
    <t>https://bnh.lightning.force.com/001Hs00004pYsutIAC</t>
  </si>
  <si>
    <t>the ease of it all! very simple process</t>
  </si>
  <si>
    <t>Christopher Guynn - Used Trade-In Product</t>
  </si>
  <si>
    <t>Christopher Guynn</t>
  </si>
  <si>
    <t>topherbraj@gmail.com</t>
  </si>
  <si>
    <t>1131778</t>
  </si>
  <si>
    <t>https://bnh.lightning.force.com/0011a00000XOGX4AAP</t>
  </si>
  <si>
    <t>Efrat Malachi,Geoffrey Ngai,Avraham Schwartz,Reina Caba</t>
  </si>
  <si>
    <t>Your business effectively stole $444 from my business.  By delivering my camera and memory cards (that were apart of the same order) months apart from each other, your company did not provide the time I needed to test the cards and then return them once I found out they were the wrong cards.  I bought three of those CF express type B cards that were roughly $240 each.  Your company bought these cards back for $90 each.  Now I’m seeing your reselling them as used on your website for $253.95. So are you cheating my company out of $444? You’re also selling them at a higher price than what you bought them from my company.  Seems like a huge scam and something I should take to my NBC News Investigative colleagues.  I’ll use Adorama from now on.  I’ll also be reporting this matter to the BBB.</t>
  </si>
  <si>
    <t>B&amp;H &gt; Competitor Mentions &gt;, Pricing &gt; Value for Money &gt;, Trade In &gt; Quote Price &gt;, Used &gt; Description &gt;, Used &gt; Pricing &gt;</t>
  </si>
  <si>
    <t>B&amp;H &gt; Competitor Mentions &gt;, B&amp;H &gt; Reliable / Trustworthy &gt;, B&amp;H &gt; Satisfaction &gt;, Trade In &gt; Quote Price &gt;, Used &gt; Pricing &gt;, Warehouse Fulfillment &gt; Timeliness &gt;</t>
  </si>
  <si>
    <t>B&amp;H &gt; Competitor Mentions &gt; (Positive), Pricing &gt; Value for Money &gt; (Negative), Trade In &gt; Quote Price &gt; (Negative), Used &gt; Description &gt; (Positive), Used &gt; Pricing &gt; (Negative)</t>
  </si>
  <si>
    <t>B&amp;H &gt; Competitor Mentions &gt; (Negative), B&amp;H &gt; Reliable / Trustworthy &gt; (Negative), B&amp;H &gt; Satisfaction &gt; (Negative), Trade In &gt; Quote Price &gt; (Negative), Used &gt; Pricing &gt; (Negative), Warehouse Fulfillment &gt; Timeliness &gt; (Negative)</t>
  </si>
  <si>
    <t>Brandon Grenier - Used Trade-In Product</t>
  </si>
  <si>
    <t>Brandon Grenier</t>
  </si>
  <si>
    <t>grenierbrand@gmail.com</t>
  </si>
  <si>
    <t>1131045</t>
  </si>
  <si>
    <t>https://bnh.lightning.force.com/001WP00000n4imeYAA</t>
  </si>
  <si>
    <t>Quick quote and frictionless process.</t>
  </si>
  <si>
    <t>Sending off gear without a guarantee of purchase value.</t>
  </si>
  <si>
    <t>Trade In &gt; Overall Process &gt; (Negative), Trade In &gt; Overall Process &gt; (Positive), Trade In &gt; Timeliness of Quote &gt; (Positive)</t>
  </si>
  <si>
    <t>Daniel Laby - Used Trade-In Product</t>
  </si>
  <si>
    <t>Daniel Laby</t>
  </si>
  <si>
    <t>danlaby@me.com</t>
  </si>
  <si>
    <t>14 years 3 months</t>
  </si>
  <si>
    <t>171</t>
  </si>
  <si>
    <t>1132717</t>
  </si>
  <si>
    <t>https://bnh.lightning.force.com/0012L000014InAoQAK</t>
  </si>
  <si>
    <t>ease of getting quote and sale</t>
  </si>
  <si>
    <t>Richard Strong - Used Trade-In Product</t>
  </si>
  <si>
    <t>Richard Strong</t>
  </si>
  <si>
    <t>carter.strong@gmail.com</t>
  </si>
  <si>
    <t>1129815</t>
  </si>
  <si>
    <t>https://bnh.lightning.force.com/0018X00003BSytMQAT</t>
  </si>
  <si>
    <t>Clear instructions and pro-customer free shipping policies.</t>
  </si>
  <si>
    <t>Some Canon "kit lenses" that were available to purchase standalone were not shown in the Quote item search, rather those lenses would only appear alongside one or two camera body variants.</t>
  </si>
  <si>
    <t>Pricing &gt; Delivery Fees &gt;, Pricing &gt; Value for Money &gt;, Product &gt; Selection / Variety &gt;, Trade In &gt; Overall Process &gt;</t>
  </si>
  <si>
    <t>Pricing &gt; Delivery Fees &gt;, Trade In &gt; Overall Process &gt;, Website &gt; Overall Satisfaction &gt;</t>
  </si>
  <si>
    <t>Pricing &gt; Delivery Fees &gt; (Positive), Pricing &gt; Value for Money &gt; (Negative), Product &gt; Selection / Variety &gt; (Negative), Trade In &gt; Overall Process &gt; (Negative)</t>
  </si>
  <si>
    <t>Pricing &gt; Delivery Fees &gt; (Positive), Trade In &gt; Overall Process &gt; (Negative), Trade In &gt; Overall Process &gt; (Positive), Website &gt; Overall Satisfaction &gt; (Negative)</t>
  </si>
  <si>
    <t>Jillian Regan - Used Trade-In Product</t>
  </si>
  <si>
    <t>Jillian Regan</t>
  </si>
  <si>
    <t>jillian.regan.photography@gmail.com</t>
  </si>
  <si>
    <t>1128752</t>
  </si>
  <si>
    <t>https://bnh.lightning.force.com/0018X000038DGqpQAG</t>
  </si>
  <si>
    <t>Sergio Jonusas,Andrea Garcia</t>
  </si>
  <si>
    <t>Easy, quick</t>
  </si>
  <si>
    <t>Sorry I didn't thoroughly check the condition of those 2 lenses that got rejected before I sent them, that was totally my fault!</t>
  </si>
  <si>
    <t>Website &gt; User Error &gt;</t>
  </si>
  <si>
    <t>Website &gt; User Error &gt; (No opinion)</t>
  </si>
  <si>
    <t>Paul Barr - Used Trade-In Product</t>
  </si>
  <si>
    <t>Paul Barr</t>
  </si>
  <si>
    <t>dqpauljr@comcast.net</t>
  </si>
  <si>
    <t>1126075</t>
  </si>
  <si>
    <t>https://bnh.lightning.force.com/001WP00000kJdMaYAK</t>
  </si>
  <si>
    <t>Prompt responses!</t>
  </si>
  <si>
    <t>Michael Turner - Used Trade-In Product</t>
  </si>
  <si>
    <t>Michael Turner</t>
  </si>
  <si>
    <t>m_turner@mac.com</t>
  </si>
  <si>
    <t>1131846</t>
  </si>
  <si>
    <t>https://bnh.lightning.force.com/0012L00001BN9FQQA1</t>
  </si>
  <si>
    <t>These scores reflect the reason that I have done business with B&amp;H Photo for over 30 years.</t>
  </si>
  <si>
    <t>B&amp;H &gt; Loyalty &gt;</t>
  </si>
  <si>
    <t>B&amp;H &gt; Loyalty &gt; (Positive)</t>
  </si>
  <si>
    <t>Chase Fallucco - Used Trade-In Product</t>
  </si>
  <si>
    <t>Chase Fallucco</t>
  </si>
  <si>
    <t>179970@esj.org</t>
  </si>
  <si>
    <t>1132598</t>
  </si>
  <si>
    <t>https://bnh.lightning.force.com/001Hs00005WeLxfIAF</t>
  </si>
  <si>
    <t>Good communication and overall straightforward to use.</t>
  </si>
  <si>
    <t>I would have liked the original quote to be a bit higher for the gear I was selling to B&amp;H.</t>
  </si>
  <si>
    <t>Trade In &gt; Overall Process &gt;, Trade In &gt; Quote Price &gt;, Used &gt; Description &gt;</t>
  </si>
  <si>
    <t>Trade In &gt; Overall Process &gt; (Negative), Trade In &gt; Quote Price &gt; (Negative), Used &gt; Description &gt; (Positive)</t>
  </si>
  <si>
    <t>Scott Socolofsky - Used Trade-In Product</t>
  </si>
  <si>
    <t>Scott Socolofsky</t>
  </si>
  <si>
    <t>socolofs@tamu.edu</t>
  </si>
  <si>
    <t>1132371</t>
  </si>
  <si>
    <t>https://bnh.lightning.force.com/001WP00000nqBBPYA2</t>
  </si>
  <si>
    <t>The online quote system was very easy to use, and B&amp;H evaluated our equipment exactly as quoted online.</t>
  </si>
  <si>
    <t>It was not clear on the website whether I would receive a different amount if I select "cash" or "gift card".  It did turn out that the gift-card option included a 10% bonus.  I was happy about that, but I would have been more confident in my decision to go with the gift card if the quote system made this difference obvious.</t>
  </si>
  <si>
    <t>Trade In &gt; Overall Process &gt;, Website &gt; Content Product Details / Information &gt;</t>
  </si>
  <si>
    <t>Trade In &gt; Overall Process &gt; (Negative), Trade In &gt; Overall Process &gt; (Positive), Website &gt; Content Product Details / Information &gt; (Negative)</t>
  </si>
  <si>
    <t>Wants transparency about additional incentive for choosing store credit as payment method</t>
  </si>
  <si>
    <t>Ryan Curran - Used Trade-In Product</t>
  </si>
  <si>
    <t>Ryan Curran</t>
  </si>
  <si>
    <t>rcurran007@gmail.com</t>
  </si>
  <si>
    <t>1131658</t>
  </si>
  <si>
    <t>https://bnh.lightning.force.com/0018X00003W9AatQAF</t>
  </si>
  <si>
    <t>Browsing the website and comparing gear is easy</t>
  </si>
  <si>
    <t>My trade in credit had to be applied over the phone. Seems like it should be redeemable via the web as well.</t>
  </si>
  <si>
    <t>Website &gt; Navigation &gt;</t>
  </si>
  <si>
    <t>Trade In &gt; Overall Process &gt;, Website &gt; Comparison / Compatibility Feature &gt;, Website &gt; Navigation &gt;</t>
  </si>
  <si>
    <t>Website &gt; Navigation &gt; (Positive)</t>
  </si>
  <si>
    <t>Trade In &gt; Overall Process &gt; (Negative), Website &gt; Comparison / Compatibility Feature &gt; (Positive), Website &gt; Navigation &gt; (Positive)</t>
  </si>
  <si>
    <t>Tanya Poeggel - Used Trade-In Product</t>
  </si>
  <si>
    <t>Tanya Poeggel</t>
  </si>
  <si>
    <t>trpoeggel@aol.com</t>
  </si>
  <si>
    <t>1132407</t>
  </si>
  <si>
    <t>https://bnh.lightning.force.com/001WP00000nrYCIYA2</t>
  </si>
  <si>
    <t>Sergio Jonusas,Emily Schreier</t>
  </si>
  <si>
    <t>Such an easy process, communication was excellent, encourages me to use B&amp;H for my photography purchases in the future. Thank you!</t>
  </si>
  <si>
    <t>There is not one think I can think of that I would improve on with this experience.</t>
  </si>
  <si>
    <t>Yajaira Valle - Used Trade-In Product</t>
  </si>
  <si>
    <t>Yajaira Valle</t>
  </si>
  <si>
    <t>yajairavalle81@gmail.com</t>
  </si>
  <si>
    <t>1088842</t>
  </si>
  <si>
    <t>https://bnh.lightning.force.com/001Hs00005NSe0JIAT</t>
  </si>
  <si>
    <t>Everything</t>
  </si>
  <si>
    <t>I liked everything</t>
  </si>
  <si>
    <t>Eric Davis - Used Trade-In Product</t>
  </si>
  <si>
    <t>Eric Davis</t>
  </si>
  <si>
    <t>eric.davis@alpa.org</t>
  </si>
  <si>
    <t>1114842</t>
  </si>
  <si>
    <t>https://bnh.lightning.force.com/0011a00000UawxfAAB</t>
  </si>
  <si>
    <t>Selling back was much less painful than I had expected. You all made the experience easy.</t>
  </si>
  <si>
    <t>I wish we had gotten more for the gear, but feel the trade-off for making the experience easy was worth it.</t>
  </si>
  <si>
    <t>Eldon Thomason - Used Trade-In Product</t>
  </si>
  <si>
    <t>Eldon Thomason</t>
  </si>
  <si>
    <t>tom_347@yahoo.com</t>
  </si>
  <si>
    <t>1129434</t>
  </si>
  <si>
    <t>https://bnh.lightning.force.com/001WP00000mBLTxYAO</t>
  </si>
  <si>
    <t>Great communication! Very fair evaluation of my camera and gave me a good price for it. A very good experience.</t>
  </si>
  <si>
    <t>B&amp;H &gt; Satisfaction &gt;, Pricing &gt; Value for Money &gt;, Trade In &gt; Quote Price &gt;, Used &gt; Pricing &gt;</t>
  </si>
  <si>
    <t>B&amp;H &gt; Satisfaction &gt;, People &gt; Communication Skills &gt;, Trade In &gt; Quote Price &gt;</t>
  </si>
  <si>
    <t>B&amp;H &gt; Satisfaction &gt; (Positive), Pricing &gt; Value for Money &gt; (Positive), Trade In &gt; Quote Price &gt; (Positive), Used &gt; Pricing &gt; (Positive)</t>
  </si>
  <si>
    <t>B&amp;H &gt; Satisfaction &gt; (Positive), People &gt; Communication Skills &gt; (Positive), Trade In &gt; Quote Price &gt; (Positive)</t>
  </si>
  <si>
    <t>Nick Shirghio - Used Trade-In Product</t>
  </si>
  <si>
    <t>Nick Shirghio</t>
  </si>
  <si>
    <t>nickphoto@gmail.com</t>
  </si>
  <si>
    <t>15 years 1 months</t>
  </si>
  <si>
    <t>181</t>
  </si>
  <si>
    <t>1131117</t>
  </si>
  <si>
    <t>https://bnh.lightning.force.com/0011a00000FmWZsAAN</t>
  </si>
  <si>
    <t>Quick shipping and Quote!!</t>
  </si>
  <si>
    <t>Trade In &gt; Overall Process &gt;, Trade In &gt; Timeliness of Quote &gt;, Warehouse Fulfillment &gt; Timeliness &gt;</t>
  </si>
  <si>
    <t>Trade In &gt; Timeliness of Payment &gt;, Trade In &gt; Timeliness of Quote &gt;, Warehouse Fulfillment &gt; Timeliness &gt;</t>
  </si>
  <si>
    <t>Trade In &gt; Overall Process &gt; (Positive), Trade In &gt; Timeliness of Quote &gt; (Positive), Warehouse Fulfillment &gt; Timeliness &gt; (Positive)</t>
  </si>
  <si>
    <t>Trade In &gt; Timeliness of Payment &gt; (Negative), Trade In &gt; Timeliness of Quote &gt; (Positive), Warehouse Fulfillment &gt; Timeliness &gt; (Positive)</t>
  </si>
  <si>
    <t>Ed Wegryn - Used Trade-In Product</t>
  </si>
  <si>
    <t>Ed Wegryn</t>
  </si>
  <si>
    <t>ewegryn@live.com</t>
  </si>
  <si>
    <t>1132789</t>
  </si>
  <si>
    <t>https://bnh.lightning.force.com/0012L000019Eb8tQAC</t>
  </si>
  <si>
    <t>It seemed very on the level and organized - not shady in any way.</t>
  </si>
  <si>
    <t>Although I would have said Yes, it would have been nice to have had an email that confirmed the final price and asked Yes/No if I wanted to proceed.</t>
  </si>
  <si>
    <t>People &gt; Follow Up &gt; (Negative), Trade In &gt; Overall Process &gt; (Positive)</t>
  </si>
  <si>
    <t>Susan Warrington - Used Trade-In Product</t>
  </si>
  <si>
    <t>Susan Warrington</t>
  </si>
  <si>
    <t>sfwarrington24@gmail.com</t>
  </si>
  <si>
    <t>1131329</t>
  </si>
  <si>
    <t>https://bnh.lightning.force.com/001WP00000mpK7rYAE</t>
  </si>
  <si>
    <t>Easy and quick</t>
  </si>
  <si>
    <t>Warren Talley - Used Trade-In Product</t>
  </si>
  <si>
    <t>Warren Talley</t>
  </si>
  <si>
    <t>warren.talley@icloud.com</t>
  </si>
  <si>
    <t>1129552</t>
  </si>
  <si>
    <t>https://bnh.lightning.force.com/0012L0000102jE1QAI</t>
  </si>
  <si>
    <t>Sergio Jonusas,Nick Badame,Avraham Schwartz,Reina Caba</t>
  </si>
  <si>
    <t>The low-friction process</t>
  </si>
  <si>
    <t>Not finding a few components on the drop down lists.  It would be nice to be able to write in what the items are and request a quote rather than emailing.</t>
  </si>
  <si>
    <t>Pricing &gt; Value for Money &gt; (Negative), Trade In &gt; Overall Process &gt; (Negative), Trade In &gt; Overall Process &gt; (No opinion)</t>
  </si>
  <si>
    <t>Marian Wyse - Used Trade-In Product</t>
  </si>
  <si>
    <t>Marian Wyse</t>
  </si>
  <si>
    <t>fugu8201@me.com</t>
  </si>
  <si>
    <t>1130022</t>
  </si>
  <si>
    <t>https://bnh.lightning.force.com/0012L000019GYDpQAO</t>
  </si>
  <si>
    <t>Very fair offer; provides shipping lanes; prompt payment.</t>
  </si>
  <si>
    <t>James Stach - Used Trade-In Product</t>
  </si>
  <si>
    <t>James Stach</t>
  </si>
  <si>
    <t>jhs3104@mac.com</t>
  </si>
  <si>
    <t>1132188</t>
  </si>
  <si>
    <t>https://bnh.lightning.force.com/001WP00000njRT2YAM</t>
  </si>
  <si>
    <t>Sergio Jonusas,Gershon Orenstein,Avraham Schwartz,Reina Caba</t>
  </si>
  <si>
    <t>The Web Application is extremely easy to use.</t>
  </si>
  <si>
    <t>I realize my equipment was sent in during the crazy holiday season and I'm not commenting on the amount of time it took to get my quote confirmed. (only 7 days) I'm commenting on the blackout of communication between the time I received an email acknowledging receipt and an email confirming the amount of my Quote. Perhaps your email acknowledgment of receipt could say something about we will get back to you in approximately X days.</t>
  </si>
  <si>
    <t>Trade In &gt; Overall Process &gt;, Trade In &gt; Timeliness of Quote &gt;, Website &gt; Overall Satisfaction &gt;</t>
  </si>
  <si>
    <t>Trade In &gt; Overall Process &gt; (Negative), Trade In &gt; Overall Process &gt; (No opinion)</t>
  </si>
  <si>
    <t>Trade In &gt; Overall Process &gt; (Negative), Trade In &gt; Overall Process &gt; (No opinion), Trade In &gt; Timeliness of Quote &gt; (Negative), Website &gt; Overall Satisfaction &gt; (Positive)</t>
  </si>
  <si>
    <t>Kelsea Schafer - Used Trade-In Product</t>
  </si>
  <si>
    <t>Kelsea Schafer</t>
  </si>
  <si>
    <t>kelseanschafer@gmail.com</t>
  </si>
  <si>
    <t>1130425</t>
  </si>
  <si>
    <t>https://bnh.lightning.force.com/001WP00000mjcokYAA</t>
  </si>
  <si>
    <t>Sergio Jonusas,Gershon Orenstein</t>
  </si>
  <si>
    <t>I was recommended to use B&amp;H by a veteran photographer as a student starting out. I always love how easy the website is to use and the ease of getting a quote. The price I received back was also more than the quote originally, which proves B&amp;H takes the time to look through the boxes rather than just going with the online quote. Will continue to return to B&amp;H!</t>
  </si>
  <si>
    <t>Trade In &gt; Overall Process &gt;, Used &gt; Description &gt;, Used &gt; Pricing &gt;, Website &gt; Overall Satisfaction &gt;</t>
  </si>
  <si>
    <t>B&amp;H &gt; Loyalty &gt;, B&amp;H &gt; Recommended &gt;, Trade In &gt; Overall Process &gt;, Trade In &gt; Quote Price &gt;, Trade In &gt; Timeliness of Quote &gt;, Used &gt; Description &gt;, Website &gt; Overall Satisfaction &gt;</t>
  </si>
  <si>
    <t>Trade In &gt; Overall Process &gt; (No opinion), Trade In &gt; Overall Process &gt; (Positive), Used &gt; Description &gt; (No opinion), Used &gt; Description &gt; (Positive), Used &gt; Pricing &gt; (Negative), Website &gt; Overall Satisfaction &gt; (Positive)</t>
  </si>
  <si>
    <t>B&amp;H &gt; Loyalty &gt; (Positive), B&amp;H &gt; Recommended &gt; (Positive), Trade In &gt; Overall Process &gt; (No opinion), Trade In &gt; Overall Process &gt; (Positive), Trade In &gt; Quote Price &gt; (Negative), Trade In &gt; Quote Price &gt; (Positive), Trade In &gt; Timeliness of Quote &gt; (Positive), Used &gt; Description &gt; (Positive), Website &gt; Overall Satisfaction &gt; (Positive)</t>
  </si>
  <si>
    <t>Richard Huffman - Used Trade-In Product</t>
  </si>
  <si>
    <t>Richard Huffman</t>
  </si>
  <si>
    <t>rick.huffman@me.com</t>
  </si>
  <si>
    <t>1131673</t>
  </si>
  <si>
    <t>https://bnh.lightning.force.com/0011a00000cL1wSAAS</t>
  </si>
  <si>
    <t>Excellent customer service, even the AI part.</t>
  </si>
  <si>
    <t>Oh, I wish the item I sold was worth more, but the offer was fair.</t>
  </si>
  <si>
    <t>People &gt; Overall Satisfaction &gt;, Trade In &gt; Quote Price &gt;</t>
  </si>
  <si>
    <t>People &gt; Overall Satisfaction &gt; (Positive), Trade In &gt; Quote Price &gt; (Negative), Trade In &gt; Quote Price &gt; (Positive)</t>
  </si>
  <si>
    <t>Tim Brusoe - Used Trade-In Product</t>
  </si>
  <si>
    <t>Tim Brusoe</t>
  </si>
  <si>
    <t>tbb727@gmail.com</t>
  </si>
  <si>
    <t>4 years 4 months</t>
  </si>
  <si>
    <t>52</t>
  </si>
  <si>
    <t>1131883</t>
  </si>
  <si>
    <t>https://bnh.lightning.force.com/0012L00001H5EYjQAN</t>
  </si>
  <si>
    <t>Very honest.  Very helpful!</t>
  </si>
  <si>
    <t>B&amp;H &gt; Reliable / Trustworthy &gt;, People &gt; Helpful / Efficient &gt;</t>
  </si>
  <si>
    <t>B&amp;H &gt; Reliable / Trustworthy &gt; (Positive), People &gt; Helpful / Efficient &gt; (Positive)</t>
  </si>
  <si>
    <t>Johnny Mosely - Used Trade-In Product</t>
  </si>
  <si>
    <t>Johnny Mosely</t>
  </si>
  <si>
    <t>moselyjohnny@gmail.com</t>
  </si>
  <si>
    <t>1129762</t>
  </si>
  <si>
    <t>https://bnh.lightning.force.com/001WP00000mNMnqYAG</t>
  </si>
  <si>
    <t>It was straight forward and easy.</t>
  </si>
  <si>
    <t>Nothing. I'm satisfied</t>
  </si>
  <si>
    <t>Alan E Snodgrass - Used Trade-In Product</t>
  </si>
  <si>
    <t>Alan E Snodgrass</t>
  </si>
  <si>
    <t>alan.snodgrass@gmail.com</t>
  </si>
  <si>
    <t>1129211</t>
  </si>
  <si>
    <t>https://bnh.lightning.force.com/001WP00000m27BYYAY</t>
  </si>
  <si>
    <t>Very easy process.  No surprises.</t>
  </si>
  <si>
    <t>1130063</t>
  </si>
  <si>
    <t>Fairly easy to do.  PLUS, I forgot to include an extra LiIon battery on the quote form, but shipped it with the camera I was selling to B&amp;H, and B&amp;H was honest enough to INCREASE the payment to me to include the extra battery.  That was very much appreciated and encourages me to use that service again.</t>
  </si>
  <si>
    <t>It took longer than doing an in-person sale.  
But it *was* pretty hassle-free.</t>
  </si>
  <si>
    <t>B&amp;H &gt; Loyalty &gt;, B&amp;H &gt; Reliable / Trustworthy &gt;, Trade In &gt; Overall Process &gt;, Trade In &gt; Timeliness of Payment &gt;, Trade In &gt; Timeliness of Quote &gt;</t>
  </si>
  <si>
    <t>B&amp;H &gt; Reliable / Trustworthy &gt; (Positive), Trade In &gt; Overall Process &gt; (No opinion), Used &gt; Description &gt; (Positive)</t>
  </si>
  <si>
    <t>B&amp;H &gt; Loyalty &gt; (Positive), B&amp;H &gt; Reliable / Trustworthy &gt; (Positive), Trade In &gt; Overall Process &gt; (No opinion), Trade In &gt; Overall Process &gt; (Positive), Trade In &gt; Timeliness of Payment &gt; (Negative), Trade In &gt; Timeliness of Quote &gt; (Negative)</t>
  </si>
  <si>
    <t>Slower than in-person sale</t>
  </si>
  <si>
    <t>Daniel Harvey - Used Trade-In Product</t>
  </si>
  <si>
    <t>Daniel Harvey</t>
  </si>
  <si>
    <t>daniel_harvey18@yahoo.com</t>
  </si>
  <si>
    <t>1129099</t>
  </si>
  <si>
    <t>https://bnh.lightning.force.com/0018X00003BSr0DQAT</t>
  </si>
  <si>
    <t>Was very impersonal about telling me that they wouldn't buy my gear and as to why they wouldn't. 
But, to be fair, this is my first rejection. My other selling experiences have been good.</t>
  </si>
  <si>
    <t>People &gt; Courtesy / Professional &gt; (Negative), Trade In &gt; Overall Process &gt; (Negative), Trade In &gt; Overall Process &gt; (Positive)</t>
  </si>
  <si>
    <t>Jillian Green - Used Trade-In Product</t>
  </si>
  <si>
    <t>Jillian Green</t>
  </si>
  <si>
    <t>jillian@thejamesagency.com</t>
  </si>
  <si>
    <t>1126189</t>
  </si>
  <si>
    <t>https://bnh.lightning.force.com/0018X000032ff04QAA</t>
  </si>
  <si>
    <t>much easier and more trustworthy than local reselling</t>
  </si>
  <si>
    <t>Nell Cant - Used Trade-In Product</t>
  </si>
  <si>
    <t>Nell Cant</t>
  </si>
  <si>
    <t>nellcant@neuro.duke.edu</t>
  </si>
  <si>
    <t>1129655</t>
  </si>
  <si>
    <t>https://bnh.lightning.force.com/0012L00001JRWIZQA5</t>
  </si>
  <si>
    <t>It was easy, fast and I was kept informed about the process.</t>
  </si>
  <si>
    <t>I sold you a Canon EF to RF lens adapter. There are three versions of this adapter, but there was only one choice on your list. I knew that the one I had (the simplest one) was probably not worth what was quoted, but since that was the only choice I went with it. Sure enough, one of your nice people called me to say that the price you could pay was less than the quote. (Although I am putting this in the "dislike" box, I think that the phone call was a very nice gesture!) Since I felt all along that there must be something wrong with the original quote, I was happy to take a lesser amount for my adapter. I am writing this here because there might be some people who would be less forgiving about this kind of lack of clarity in the choices provided.</t>
  </si>
  <si>
    <t>People &gt; Communication Skills &gt;, People &gt; Courtesy / Professional &gt;, People &gt; Overall Satisfaction &gt;, Pricing &gt; Value for Money &gt;, Trade In &gt; Overall Process &gt;, Used &gt; Pricing &gt;</t>
  </si>
  <si>
    <t>People &gt; Courtesy / Professional &gt;, People &gt; Follow Up &gt;, Trade In &gt; Overall Process &gt;, Trade In &gt; Quote Price &gt;</t>
  </si>
  <si>
    <t>People &gt; Communication Skills &gt; (Positive), People &gt; Courtesy / Professional &gt; (Negative), People &gt; Courtesy / Professional &gt; (Positive), People &gt; Overall Satisfaction &gt; (Positive), Pricing &gt; Value for Money &gt; (Positive), Trade In &gt; Overall Process &gt; (Negative), Trade In &gt; Overall Process &gt; (Positive), Used &gt; Pricing &gt; (Positive)</t>
  </si>
  <si>
    <t>People &gt; Courtesy / Professional &gt; (Negative), People &gt; Follow Up &gt; (Negative), People &gt; Follow Up &gt; (Positive), Trade In &gt; Overall Process &gt; (Negative), Trade In &gt; Overall Process &gt; (Positive), Trade In &gt; Quote Price &gt; (Negative), Trade In &gt; Quote Price &gt; (Positive)</t>
  </si>
  <si>
    <t>Bill Bomberry - Used Trade-In Product</t>
  </si>
  <si>
    <t>Bill Bomberry</t>
  </si>
  <si>
    <t>billb719@gmail.com</t>
  </si>
  <si>
    <t>1130655</t>
  </si>
  <si>
    <t>https://bnh.lightning.force.com/0012L0000100ehFQAQ</t>
  </si>
  <si>
    <t>The ease of selling the equipment. The online experience and also shipping it.</t>
  </si>
  <si>
    <t>Carl Lindner - Used Trade-In Product</t>
  </si>
  <si>
    <t>Carl Lindner</t>
  </si>
  <si>
    <t>max73@duck.com</t>
  </si>
  <si>
    <t>1130789</t>
  </si>
  <si>
    <t>https://bnh.lightning.force.com/001WP00000mxz7WYAQ</t>
  </si>
  <si>
    <t>Very easy and straightforward process.</t>
  </si>
  <si>
    <t>Disliked nothing.</t>
  </si>
  <si>
    <t>Dennis Eddlemon - Used Trade-In Product</t>
  </si>
  <si>
    <t>Dennis Eddlemon</t>
  </si>
  <si>
    <t>dugan009mt@gmail.com</t>
  </si>
  <si>
    <t>2 months</t>
  </si>
  <si>
    <t>2</t>
  </si>
  <si>
    <t>1125538</t>
  </si>
  <si>
    <t>https://bnh.lightning.force.com/001WP00000fkuGEYAY</t>
  </si>
  <si>
    <t>The service technician was extremely knowledgeable concerning the equipment I had to sell. He was informative and easy to understand.</t>
  </si>
  <si>
    <t>People &gt; Communication Skills &gt;, People &gt; Knowledge / Recommend &gt;</t>
  </si>
  <si>
    <t>People &gt; Communication Skills &gt; (Positive), People &gt; Knowledge / Recommend &gt; (Positive)</t>
  </si>
  <si>
    <t>Kevin Ronstrom - Used Trade-In Product</t>
  </si>
  <si>
    <t>Kevin Ronstrom</t>
  </si>
  <si>
    <t>kevin.ronstrom@gmail.com</t>
  </si>
  <si>
    <t>1130787</t>
  </si>
  <si>
    <t>https://bnh.lightning.force.com/0011a00000mHimWAAS</t>
  </si>
  <si>
    <t>a very polished process and experience.</t>
  </si>
  <si>
    <t>Nothing really, the transaction was handled very professionally and it was straight forward.</t>
  </si>
  <si>
    <t>Steven Kaiser - Used Trade-In Product</t>
  </si>
  <si>
    <t>Steven Kaiser</t>
  </si>
  <si>
    <t>steve@stevenkaiser.net</t>
  </si>
  <si>
    <t>1129854</t>
  </si>
  <si>
    <t>https://bnh.lightning.force.com/001WP00000mQNNQYA4</t>
  </si>
  <si>
    <t>Only company I've dealt with that's honest on their used quotes.  I've sent in brand new gear to Adorama and KEH where they tried to low ball me for less than 50% of the quote... on quite literally brand new lenses.  I've been buying from you since I worked for Microsoft in 2007 because you're above board.  You're the first company I've actually sold used equipment to.</t>
  </si>
  <si>
    <t>Moderate speed on the used equipment inspection and check issuance, but I wouldn't say I disliked the speed.  You're swamped is my guess.</t>
  </si>
  <si>
    <t>B&amp;H &gt; Competitor Mentions &gt;, B&amp;H &gt; Loyalty &gt;, B&amp;H &gt; Reliable / Trustworthy &gt;, Trade In &gt; Overall Process &gt;, Trade In &gt; Quote Price &gt;, Trade In &gt; Timeliness of Payment &gt;, Trade In &gt; Timeliness of Quote &gt;</t>
  </si>
  <si>
    <t>B&amp;H &gt; Competitor Mentions &gt; (Negative), Trade In &gt; Overall Process &gt; (Negative), Trade In &gt; Overall Process &gt; (Positive)</t>
  </si>
  <si>
    <t>B&amp;H &gt; Competitor Mentions &gt; (Positive), B&amp;H &gt; Loyalty &gt; (Positive), B&amp;H &gt; Reliable / Trustworthy &gt; (Positive), Trade In &gt; Overall Process &gt; (Negative), Trade In &gt; Overall Process &gt; (Positive), Trade In &gt; Quote Price &gt; (Positive), Trade In &gt; Timeliness of Payment &gt; (Negative), Trade In &gt; Timeliness of Quote &gt; (Negative), Trade In &gt; Timeliness of Quote &gt; (Positive)</t>
  </si>
  <si>
    <t>Jaimire Hankins - Used Trade-In Product</t>
  </si>
  <si>
    <t>Jaimire Hankins</t>
  </si>
  <si>
    <t>hankinsjai@yahoo.com</t>
  </si>
  <si>
    <t>1130045</t>
  </si>
  <si>
    <t>https://bnh.lightning.force.com/001WP00000iZ0IcYAK</t>
  </si>
  <si>
    <t>It slaps</t>
  </si>
  <si>
    <t>Paul L Markson - Used Trade-In Product</t>
  </si>
  <si>
    <t>Paul L Markson</t>
  </si>
  <si>
    <t>oronopaul@yahoo.com</t>
  </si>
  <si>
    <t>1129993</t>
  </si>
  <si>
    <t>https://bnh.lightning.force.com/0018X00003EdtHJQAZ</t>
  </si>
  <si>
    <t>Took a few weeks to receive payment. But considering the time of year (late December) that is to ne expected.</t>
  </si>
  <si>
    <t>Jonathan Ramesbottom - Used Trade-In Product</t>
  </si>
  <si>
    <t>Jonathan Ramesbottom</t>
  </si>
  <si>
    <t>jramesb@gmail.com</t>
  </si>
  <si>
    <t>2 years 8 months</t>
  </si>
  <si>
    <t>32</t>
  </si>
  <si>
    <t>1126255</t>
  </si>
  <si>
    <t>https://bnh.lightning.force.com/0018X00003GIbCUQA1</t>
  </si>
  <si>
    <t>Very simple web interface that asked relevant questions and provided quick and fair values for equipment</t>
  </si>
  <si>
    <t>Simple web interface for used good sale</t>
  </si>
  <si>
    <t>Patricia Ouimette - Used Trade-In Product</t>
  </si>
  <si>
    <t>Patricia Ouimette</t>
  </si>
  <si>
    <t>toccata@aol.com</t>
  </si>
  <si>
    <t>1119348</t>
  </si>
  <si>
    <t>https://bnh.lightning.force.com/0011a00000bSKkXAAW</t>
  </si>
  <si>
    <t>B&amp;H answered every email and didn't put me off. I was dissatisfied with the outcome, not the service.</t>
  </si>
  <si>
    <t>The end result was so illogical. I wish I'd done things differently.</t>
  </si>
  <si>
    <t>People &gt; Follow Up &gt; (Positive), Trade In &gt; Overall Process &gt; (Negative)</t>
  </si>
  <si>
    <t>Bonnie Schaeffer - Used Trade-In Product</t>
  </si>
  <si>
    <t>Bonnie Schaeffer</t>
  </si>
  <si>
    <t>bon.schaeff@gmail.com</t>
  </si>
  <si>
    <t>1129001</t>
  </si>
  <si>
    <t>https://bnh.lightning.force.com/001WP00000lviL3YAI</t>
  </si>
  <si>
    <t>First time using this service and was thoroughly impressed. Made it super easy to upgrade my gear for an upcoming trip. Great to know for future trade-ins.</t>
  </si>
  <si>
    <t>Kevin Kareckas - Used Trade-In Product</t>
  </si>
  <si>
    <t>Kevin Kareckas</t>
  </si>
  <si>
    <t>kkareckas@cvsdvt.org</t>
  </si>
  <si>
    <t>1128863</t>
  </si>
  <si>
    <t>https://bnh.lightning.force.com/0012L00001H463VQAR</t>
  </si>
  <si>
    <t>It was straight forward. I did the online route but then asked a follow up question. I was able to connect with a support specialist, online chat style, within three minutes and had my question answered in the fourth.</t>
  </si>
  <si>
    <t>This is NOT a B&amp;H issue: I wish I had recovered more of my initial investment in that specific gear item; but, what can I say? I got a very fair trade in offer and the initial valuation was honored as agreed after inspection. Check was in my hand very quickly. This made it much easier than private sale.</t>
  </si>
  <si>
    <t>Chat Experience &gt; Wait Time &gt;, People &gt; Follow Up &gt;, Trade In &gt; Overall Process &gt;</t>
  </si>
  <si>
    <t>Chat Experience &gt; Wait Time &gt;, People &gt; Knowledge / Recommend &gt;, Trade In &gt; Overall Process &gt;, Trade In &gt; Quote Price &gt;, Trade In &gt; Timeliness of Payment &gt;</t>
  </si>
  <si>
    <t>Chat Experience &gt; Wait Time &gt; (Positive), People &gt; Follow Up &gt; (No opinion), Trade In &gt; Overall Process &gt; (Positive)</t>
  </si>
  <si>
    <t>Chat Experience &gt; Wait Time &gt; (Positive), People &gt; Knowledge / Recommend &gt; (Positive), Trade In &gt; Overall Process &gt; (Positive), Trade In &gt; Quote Price &gt; (Positive), Trade In &gt; Timeliness of Payment &gt; (Positive)</t>
  </si>
  <si>
    <t>1131212</t>
  </si>
  <si>
    <t>B&amp;H website is very good providing product information and comparisons. Trade-ins are also very easy to do - putting key product information and assessment of equipment. Easy to print off tag and ship it. Assessment comes in a few days and has always agreed with my determination.</t>
  </si>
  <si>
    <t>I get caught up in choosing if I want a check or store credit. Store credit has to be used with in-store purchase (not applicable from Colorado) or a phone call. Why can't store credit be put into my online account and then I order online? Your phone call staff are excellent - clear, knowledgeable, polite and fast. But it would be easier just clicking a button. My bigger problem is it is not super clear that store credit means I have to call...but I can live with all this (minor gripe)</t>
  </si>
  <si>
    <t>B&amp;H &gt; Geographical Location &gt;, People &gt; Courtesy / Professional &gt;, People &gt; Knowledge / Recommend &gt;, People &gt; Overall Satisfaction &gt;, Used &gt; Description &gt;, Used &gt; Product Quality &gt;, Website &gt; Content Product Details / Information &gt;</t>
  </si>
  <si>
    <t>B&amp;H &gt; Geographical Location &gt;, People &gt; Courtesy / Professional &gt;, People &gt; Knowledge / Recommend &gt;, People &gt; Overall Satisfaction &gt;, Trade In &gt; Overall Process &gt;, Trade In &gt; Timeliness of Quote &gt;, Website &gt; Comparison / Compatibility Feature &gt;, Website &gt; Content Product Details / Information &gt;</t>
  </si>
  <si>
    <t>B&amp;H &gt; Geographical Location &gt; (Negative), People &gt; Courtesy / Professional &gt; (Positive), People &gt; Knowledge / Recommend &gt; (Positive), People &gt; Overall Satisfaction &gt; (Positive), Used &gt; Description &gt; (Positive), Used &gt; Product Quality &gt; (Positive), Website &gt; Content Product Details / Information &gt; (Positive)</t>
  </si>
  <si>
    <t>B&amp;H &gt; Geographical Location &gt; (Negative), People &gt; Courtesy / Professional &gt; (Positive), People &gt; Knowledge / Recommend &gt; (Positive), People &gt; Overall Satisfaction &gt; (Positive), Trade In &gt; Overall Process &gt; (Negative), Trade In &gt; Overall Process &gt; (Positive), Trade In &gt; Timeliness of Quote &gt; (Positive), Website &gt; Comparison / Compatibility Feature &gt; (Positive), Website &gt; Content Product Details / Information &gt; (Positive)</t>
  </si>
  <si>
    <t>Wants transparency at the time of sale that store credit can NOT be applied online (must be confirmed through phone call)</t>
  </si>
  <si>
    <t>Thom Duncan - Used Trade-In Product</t>
  </si>
  <si>
    <t>Thom Duncan</t>
  </si>
  <si>
    <t>tduncan@abms.org</t>
  </si>
  <si>
    <t>1129464</t>
  </si>
  <si>
    <t>https://bnh.lightning.force.com/001WP00000mDFvHYAW</t>
  </si>
  <si>
    <t>Personal outreach to confirm name on check</t>
  </si>
  <si>
    <t>Finding exact match to lens</t>
  </si>
  <si>
    <t>Yong Kim - Used Trade-In Product</t>
  </si>
  <si>
    <t>Yong Kim</t>
  </si>
  <si>
    <t>yongk@fbcjax.com</t>
  </si>
  <si>
    <t>1117452</t>
  </si>
  <si>
    <t>https://bnh.lightning.force.com/001WP00000fvzTpYAI</t>
  </si>
  <si>
    <t>Everything was so easy and everyone was super helpful! B&amp;H sets the standard!</t>
  </si>
  <si>
    <t>Absolutely nothing the whole experience was great!</t>
  </si>
  <si>
    <t>B&amp;H &gt; Satisfaction &gt;, People &gt; Helpful / Efficient &gt;</t>
  </si>
  <si>
    <t>B&amp;H &gt; Satisfaction &gt;, People &gt; Helpful / Efficient &gt;, Trade In &gt; Overall Process &gt;</t>
  </si>
  <si>
    <t>B&amp;H &gt; Satisfaction &gt; (Strongly positive), People &gt; Helpful / Efficient &gt; (Positive)</t>
  </si>
  <si>
    <t>B&amp;H &gt; Satisfaction &gt; (Positive), B&amp;H &gt; Satisfaction &gt; (Strongly positive), People &gt; Helpful / Efficient &gt; (Positive), Trade In &gt; Overall Process &gt; (Positive)</t>
  </si>
  <si>
    <t>Robert Glen Millward - Used Trade-In Product</t>
  </si>
  <si>
    <t>Robert Glen Millward</t>
  </si>
  <si>
    <t>glenmillward@gmail.com</t>
  </si>
  <si>
    <t>1128882</t>
  </si>
  <si>
    <t>https://bnh.lightning.force.com/001WP00000lnzKFYAY</t>
  </si>
  <si>
    <t>Honest quote and payment</t>
  </si>
  <si>
    <t>Gregory Castile - Used Trade-In Product</t>
  </si>
  <si>
    <t>Gregory Castile</t>
  </si>
  <si>
    <t>g_castile@yahoo.com</t>
  </si>
  <si>
    <t>1131854</t>
  </si>
  <si>
    <t>https://bnh.lightning.force.com/001WP00000nIWSJYA4</t>
  </si>
  <si>
    <t>The ease of submitting information and receiving a quote.</t>
  </si>
  <si>
    <t>Walter Johnson - Used Trade-In Product</t>
  </si>
  <si>
    <t>Walter Johnson</t>
  </si>
  <si>
    <t>wrjohnson1952@gmail.com</t>
  </si>
  <si>
    <t>1130791</t>
  </si>
  <si>
    <t>https://bnh.lightning.force.com/0011a00000Fqy2XAAR</t>
  </si>
  <si>
    <t>Processing time after lens received at B&amp;H.</t>
  </si>
  <si>
    <t>Trade In &gt; Overall Process &gt; (Negative), Trade In &gt; Timeliness of Payment &gt; (Negative)</t>
  </si>
  <si>
    <t>Diana Rockwell - Used Trade-In Product</t>
  </si>
  <si>
    <t>Diana Rockwell</t>
  </si>
  <si>
    <t>timbercr2@gmail.com</t>
  </si>
  <si>
    <t>1128511</t>
  </si>
  <si>
    <t>https://bnh.lightning.force.com/0011a00000G6KkuAAF</t>
  </si>
  <si>
    <t>Very efficient</t>
  </si>
  <si>
    <t>People &gt; Wait Time &gt;, Trade In &gt; Overall Process &gt;</t>
  </si>
  <si>
    <t>People &gt; Wait Time &gt; (Positive), Trade In &gt; Overall Process &gt; (Positive)</t>
  </si>
  <si>
    <t>Eldon Holmes - Used Trade-In Product</t>
  </si>
  <si>
    <t>Eldon Holmes</t>
  </si>
  <si>
    <t>eldon@eholmesphoto.com</t>
  </si>
  <si>
    <t>18 years 2 months</t>
  </si>
  <si>
    <t>218</t>
  </si>
  <si>
    <t>1131182</t>
  </si>
  <si>
    <t>https://bnh.lightning.force.com/0011a00000WFqhhAAD</t>
  </si>
  <si>
    <t>Very easy process to sell used equipment.</t>
  </si>
  <si>
    <t>Xiwen Ma - Used Trade-In Product</t>
  </si>
  <si>
    <t>Xiwen Ma</t>
  </si>
  <si>
    <t>xmastat@hotmail.com</t>
  </si>
  <si>
    <t>1132046</t>
  </si>
  <si>
    <t>https://bnh.lightning.force.com/001WP00000natkqYAA</t>
  </si>
  <si>
    <t>VERY easy to get the quote and print the shipping label.  The entire process was so convenience.</t>
  </si>
  <si>
    <t>None for now.  Has been really happy doing business with BH.</t>
  </si>
  <si>
    <t>B&amp;H &gt; Satisfaction &gt; (Positive), Trade In &gt; Overall Process &gt; (Positive), Trade In &gt; Timeliness of Quote &gt; (Positive)</t>
  </si>
  <si>
    <t>Count of Theme 1</t>
  </si>
  <si>
    <t>(blank)</t>
  </si>
  <si>
    <t>Grand Total</t>
  </si>
  <si>
    <t>Count of Theme 2</t>
  </si>
  <si>
    <t>Count of Theme 3</t>
  </si>
  <si>
    <t>Count of Theme 5</t>
  </si>
  <si>
    <t>Count of Theme 6</t>
  </si>
  <si>
    <t>Total (by theme)</t>
  </si>
  <si>
    <t>Total</t>
  </si>
  <si>
    <t>Trust (positive)</t>
  </si>
  <si>
    <t>Navigation (positive)</t>
  </si>
  <si>
    <t>Navigation (negative)</t>
  </si>
  <si>
    <t>Used good rejection (negative)</t>
  </si>
  <si>
    <t>Trade-in program (positive)</t>
  </si>
  <si>
    <t>Trade-in program (neutral)</t>
  </si>
  <si>
    <t>Shipping (positive)</t>
  </si>
  <si>
    <t>Shipping (negative)</t>
  </si>
  <si>
    <t>Search Tool (negative)</t>
  </si>
  <si>
    <t>Buggy/wonky/Poor search function</t>
  </si>
  <si>
    <t>Communication (positive)</t>
  </si>
  <si>
    <t>Communication (negative)</t>
  </si>
  <si>
    <t>Previous used sale history (negative)</t>
  </si>
  <si>
    <t>Payment (positive)</t>
  </si>
  <si>
    <t>Payment (negative)</t>
  </si>
  <si>
    <t>Product Valuation (positive)</t>
  </si>
  <si>
    <t>Product Valuation (negative)</t>
  </si>
  <si>
    <t>Quote (positive)</t>
  </si>
  <si>
    <t>Quote (negative)</t>
  </si>
  <si>
    <t>Customer support (positive)</t>
  </si>
  <si>
    <t>Process (positive)</t>
  </si>
  <si>
    <t>Process (negative)</t>
  </si>
  <si>
    <t>UI/Interface (positive)</t>
  </si>
  <si>
    <t>Negative Theme / Pain Point Addressable on Web Ex</t>
  </si>
  <si>
    <t>Negative</t>
  </si>
  <si>
    <t>Positive</t>
  </si>
  <si>
    <t>Differential</t>
  </si>
  <si>
    <t>Difficult to enter used product if not listed/included in the category search bar</t>
  </si>
  <si>
    <t>Previous Used Sale History (negative)</t>
  </si>
  <si>
    <t>Can't revisit/look up transaction details after submitting sale confirmation</t>
  </si>
  <si>
    <t xml:space="preserve">Product Valuation (negative) </t>
  </si>
  <si>
    <t xml:space="preserve">Quote (negative) </t>
  </si>
  <si>
    <t xml:space="preserve">Process (negative) </t>
  </si>
  <si>
    <t>Used Good Rejection (negative)</t>
  </si>
  <si>
    <t>Web Experience Team — Themes Ranked by Impact Opportunity</t>
  </si>
  <si>
    <t>Ranked by differential (web-addressable negative mentions minus positive mentions). Higher = greater unmet need / opportunity.</t>
  </si>
  <si>
    <t>#</t>
  </si>
  <si>
    <t>Theme</t>
  </si>
  <si>
    <t>Web-Addressable
Negative Mentions</t>
  </si>
  <si>
    <t>Positive
Mentions</t>
  </si>
  <si>
    <t>Differential
(Neg − Pos)</t>
  </si>
  <si>
    <t>Opportunity Level</t>
  </si>
  <si>
    <t>Search Tool</t>
  </si>
  <si>
    <t>🔴 Critical: Pain far exceeds praise</t>
  </si>
  <si>
    <t>Previous Used Sale History</t>
  </si>
  <si>
    <t>🟠 High: No positive counterbalance</t>
  </si>
  <si>
    <t>Payment</t>
  </si>
  <si>
    <t>🟠 High: Negative slightly outpaces positive</t>
  </si>
  <si>
    <t>Navigation</t>
  </si>
  <si>
    <t>🟡 Moderate: Small positive buffer</t>
  </si>
  <si>
    <t>Product Valuation</t>
  </si>
  <si>
    <t>🟡 Moderate: Positives lead, but gap remains addressable</t>
  </si>
  <si>
    <t>Quote</t>
  </si>
  <si>
    <t>🟢 Lower: Strong positive sentiment, small friction points</t>
  </si>
  <si>
    <t>Communication</t>
  </si>
  <si>
    <t>🟢 Lower: Strong positive base; fix friction to protect it</t>
  </si>
  <si>
    <t>Process</t>
  </si>
  <si>
    <t>🟢 Lowest: Overwhelmingly positive; minor edge-case fixes</t>
  </si>
  <si>
    <t>How to read: Differential = Web-Addressable Negative Mentions − Positive Mentions for that theme.  Positive = more pain than praise (highest opportunity).  Negative = positives outweigh negatives (lower urgency).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</si>
</sst>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indexed="8"/>
      <name val="Calibri"/>
      <family val="2"/>
      <scheme val="minor"/>
    </font>
    <font>
      <b/>
      <sz val="11"/>
      <name val="Calibri"/>
      <family val="2"/>
    </font>
    <font>
      <b/>
      <sz val="11"/>
      <color indexed="8"/>
      <name val="Calibri"/>
      <family val="2"/>
      <scheme val="minor"/>
    </font>
    <font>
      <b/>
      <sz val="11"/>
      <color rgb="FF000000"/>
      <name val="Calibri"/>
      <family val="2"/>
      <scheme val="minor"/>
    </font>
    <font>
      <b/>
      <sz val="11"/>
      <color rgb="FFFF0000"/>
      <name val="Calibri"/>
      <family val="2"/>
      <scheme val="minor"/>
    </font>
    <font>
      <sz val="11"/>
      <color rgb="FFFF0000"/>
      <name val="Calibri"/>
      <family val="2"/>
      <scheme val="minor"/>
    </font>
    <font>
      <b/>
      <sz val="11"/>
      <color rgb="FFFF0000"/>
      <name val="Calibri"/>
      <family val="2"/>
      <scheme val="minor"/>
    </font>
    <font>
      <b/>
      <sz val="11"/>
      <name val="Arial"/>
      <family val="2"/>
    </font>
    <font>
      <b/>
      <sz val="11"/>
      <color rgb="FFFF0000"/>
      <name val="Arial"/>
      <family val="2"/>
    </font>
    <font>
      <sz val="11"/>
      <color rgb="FF000000"/>
      <name val="Calibri"/>
      <family val="2"/>
    </font>
    <font>
      <b/>
      <sz val="13"/>
      <color rgb="FFFFFFFF"/>
      <name val="Arial"/>
      <family val="2"/>
    </font>
    <font>
      <i/>
      <sz val="8"/>
      <color rgb="FF666666"/>
      <name val="Arial"/>
      <family val="2"/>
    </font>
    <font>
      <b/>
      <sz val="9"/>
      <color rgb="FFFFFFFF"/>
      <name val="Arial"/>
      <family val="2"/>
    </font>
    <font>
      <sz val="9"/>
      <color rgb="FF111111"/>
      <name val="Arial"/>
      <family val="2"/>
    </font>
    <font>
      <b/>
      <sz val="9"/>
      <color rgb="FF111111"/>
      <name val="Arial"/>
      <family val="2"/>
    </font>
    <font>
      <sz val="9"/>
      <color rgb="FFCC0000"/>
      <name val="Arial"/>
      <family val="2"/>
    </font>
    <font>
      <sz val="9"/>
      <color rgb="FF555555"/>
      <name val="Arial"/>
      <family val="2"/>
    </font>
    <font>
      <i/>
      <sz val="8"/>
      <color rgb="FF555555"/>
      <name val="Arial"/>
      <family val="2"/>
    </font>
  </fonts>
  <fills count="16">
    <fill>
      <patternFill patternType="none"/>
    </fill>
    <fill>
      <patternFill patternType="gray125"/>
    </fill>
    <fill>
      <patternFill patternType="solid">
        <fgColor theme="9" tint="0.79998168889431442"/>
        <bgColor indexed="64"/>
      </patternFill>
    </fill>
    <fill>
      <patternFill patternType="solid">
        <fgColor rgb="FFF2F2F2"/>
        <bgColor rgb="FFF2F2F2"/>
      </patternFill>
    </fill>
    <fill>
      <patternFill patternType="solid">
        <fgColor rgb="FFD9EAD3"/>
        <bgColor rgb="FFD9EAD3"/>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7030A0"/>
        <bgColor indexed="64"/>
      </patternFill>
    </fill>
    <fill>
      <patternFill patternType="solid">
        <fgColor rgb="FF222222"/>
        <bgColor rgb="FF222222"/>
      </patternFill>
    </fill>
    <fill>
      <patternFill patternType="solid">
        <fgColor rgb="FFF0F0F0"/>
        <bgColor rgb="FFF0F0F0"/>
      </patternFill>
    </fill>
    <fill>
      <patternFill patternType="solid">
        <fgColor rgb="FF444444"/>
        <bgColor rgb="FF444444"/>
      </patternFill>
    </fill>
    <fill>
      <patternFill patternType="solid">
        <fgColor rgb="FFFFFFFF"/>
        <bgColor rgb="FFFFFFFF"/>
      </patternFill>
    </fill>
    <fill>
      <patternFill patternType="solid">
        <fgColor rgb="FFF7F7F7"/>
        <bgColor rgb="FFF7F7F7"/>
      </patternFill>
    </fill>
    <fill>
      <patternFill patternType="solid">
        <fgColor rgb="FFF5F5F5"/>
        <bgColor rgb="FFF5F5F5"/>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s>
  <cellStyleXfs count="1">
    <xf numFmtId="0" fontId="0" fillId="0" borderId="0"/>
  </cellStyleXfs>
  <cellXfs count="44">
    <xf numFmtId="0" fontId="0" fillId="0" borderId="0" xfId="0"/>
    <xf numFmtId="0" fontId="0" fillId="0" borderId="0" xfId="0" applyAlignment="1">
      <alignment wrapText="1"/>
    </xf>
    <xf numFmtId="0" fontId="1" fillId="0" borderId="0" xfId="0" applyFont="1" applyAlignment="1">
      <alignment wrapText="1"/>
    </xf>
    <xf numFmtId="22" fontId="0" fillId="0" borderId="0" xfId="0" applyNumberFormat="1" applyAlignment="1">
      <alignment wrapText="1"/>
    </xf>
    <xf numFmtId="0" fontId="2" fillId="0" borderId="0" xfId="0" applyFont="1" applyAlignment="1">
      <alignment wrapText="1"/>
    </xf>
    <xf numFmtId="0" fontId="3" fillId="0" borderId="0" xfId="0" applyFont="1" applyAlignment="1">
      <alignment wrapText="1"/>
    </xf>
    <xf numFmtId="0" fontId="0" fillId="0" borderId="0" xfId="0" pivotButton="1"/>
    <xf numFmtId="0" fontId="4" fillId="0" borderId="0" xfId="0" applyFont="1" applyAlignment="1">
      <alignment wrapText="1"/>
    </xf>
    <xf numFmtId="0" fontId="5" fillId="0" borderId="0" xfId="0" applyFont="1" applyAlignment="1">
      <alignment wrapText="1"/>
    </xf>
    <xf numFmtId="0" fontId="5" fillId="0" borderId="0" xfId="0" applyFont="1"/>
    <xf numFmtId="0" fontId="6" fillId="0" borderId="0" xfId="0" applyFont="1" applyAlignment="1">
      <alignment wrapText="1"/>
    </xf>
    <xf numFmtId="0" fontId="0" fillId="2" borderId="0" xfId="0" applyFill="1" applyAlignment="1">
      <alignment wrapText="1"/>
    </xf>
    <xf numFmtId="0" fontId="7" fillId="3" borderId="0" xfId="0" applyFont="1" applyFill="1" applyAlignment="1">
      <alignment wrapText="1"/>
    </xf>
    <xf numFmtId="0" fontId="8" fillId="0" borderId="0" xfId="0" applyFont="1" applyAlignment="1">
      <alignment wrapText="1"/>
    </xf>
    <xf numFmtId="0" fontId="8" fillId="0" borderId="0" xfId="0" applyFont="1"/>
    <xf numFmtId="0" fontId="9" fillId="4" borderId="0" xfId="0" applyFont="1" applyFill="1" applyAlignment="1">
      <alignment wrapText="1"/>
    </xf>
    <xf numFmtId="0" fontId="9" fillId="4" borderId="0" xfId="0" applyFont="1" applyFill="1"/>
    <xf numFmtId="0" fontId="9" fillId="0" borderId="0" xfId="0" applyFont="1"/>
    <xf numFmtId="0" fontId="9" fillId="0" borderId="0" xfId="0" applyFont="1" applyAlignment="1">
      <alignment wrapText="1"/>
    </xf>
    <xf numFmtId="0" fontId="9" fillId="2" borderId="0" xfId="0" applyFont="1" applyFill="1" applyAlignment="1">
      <alignment wrapText="1"/>
    </xf>
    <xf numFmtId="0" fontId="9" fillId="2" borderId="0" xfId="0" applyFont="1" applyFill="1"/>
    <xf numFmtId="0" fontId="0" fillId="5" borderId="0" xfId="0" applyFill="1"/>
    <xf numFmtId="0" fontId="0" fillId="6" borderId="0" xfId="0" applyFill="1"/>
    <xf numFmtId="0" fontId="0" fillId="7" borderId="0" xfId="0" applyFill="1"/>
    <xf numFmtId="0" fontId="0" fillId="2" borderId="0" xfId="0" applyFill="1"/>
    <xf numFmtId="0" fontId="0" fillId="8" borderId="0" xfId="0" applyFill="1"/>
    <xf numFmtId="0" fontId="0" fillId="9" borderId="0" xfId="0" applyFill="1"/>
    <xf numFmtId="0" fontId="12" fillId="12" borderId="1" xfId="0" applyFont="1" applyFill="1" applyBorder="1" applyAlignment="1">
      <alignment wrapText="1"/>
    </xf>
    <xf numFmtId="0" fontId="12" fillId="12" borderId="2" xfId="0" applyFont="1" applyFill="1" applyBorder="1" applyAlignment="1">
      <alignment wrapText="1"/>
    </xf>
    <xf numFmtId="0" fontId="13" fillId="13" borderId="3" xfId="0" applyFont="1" applyFill="1" applyBorder="1"/>
    <xf numFmtId="0" fontId="14" fillId="13" borderId="4" xfId="0" applyFont="1" applyFill="1" applyBorder="1" applyAlignment="1">
      <alignment wrapText="1"/>
    </xf>
    <xf numFmtId="0" fontId="13" fillId="13" borderId="4" xfId="0" applyFont="1" applyFill="1" applyBorder="1"/>
    <xf numFmtId="0" fontId="15" fillId="13" borderId="4" xfId="0" applyFont="1" applyFill="1" applyBorder="1"/>
    <xf numFmtId="0" fontId="13" fillId="13" borderId="4" xfId="0" applyFont="1" applyFill="1" applyBorder="1" applyAlignment="1">
      <alignment wrapText="1"/>
    </xf>
    <xf numFmtId="0" fontId="13" fillId="14" borderId="3" xfId="0" applyFont="1" applyFill="1" applyBorder="1"/>
    <xf numFmtId="0" fontId="14" fillId="14" borderId="4" xfId="0" applyFont="1" applyFill="1" applyBorder="1" applyAlignment="1">
      <alignment wrapText="1"/>
    </xf>
    <xf numFmtId="0" fontId="13" fillId="14" borderId="4" xfId="0" applyFont="1" applyFill="1" applyBorder="1"/>
    <xf numFmtId="0" fontId="15" fillId="14" borderId="4" xfId="0" applyFont="1" applyFill="1" applyBorder="1"/>
    <xf numFmtId="0" fontId="13" fillId="14" borderId="4" xfId="0" applyFont="1" applyFill="1" applyBorder="1" applyAlignment="1">
      <alignment wrapText="1"/>
    </xf>
    <xf numFmtId="0" fontId="16" fillId="14" borderId="4" xfId="0" applyFont="1" applyFill="1" applyBorder="1"/>
    <xf numFmtId="0" fontId="16" fillId="13" borderId="4" xfId="0" applyFont="1" applyFill="1" applyBorder="1"/>
    <xf numFmtId="0" fontId="10" fillId="10" borderId="0" xfId="0" applyFont="1" applyFill="1"/>
    <xf numFmtId="0" fontId="11" fillId="11" borderId="0" xfId="0" applyFont="1" applyFill="1"/>
    <xf numFmtId="0" fontId="17" fillId="15" borderId="0" xfId="0" applyFont="1" applyFill="1"/>
  </cellXfs>
  <cellStyles count="1">
    <cellStyle name="Normal" xfId="0" builtinId="0"/>
  </cellStyles>
  <dxfs count="2">
    <dxf>
      <fill>
        <patternFill patternType="none"/>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86.717567361113" createdVersion="8" refreshedVersion="8" minRefreshableVersion="3" recordCount="451" xr:uid="{5C27804B-8548-4CA8-981D-DA4F4B6F4605}">
  <cacheSource type="worksheet">
    <worksheetSource ref="A1:SP1048576" sheet="RAW"/>
  </cacheSource>
  <cacheFields count="510">
    <cacheField name="Response Detail Header" numFmtId="0">
      <sharedItems containsBlank="1"/>
    </cacheField>
    <cacheField name="Likely to Recommend (NPS)" numFmtId="0">
      <sharedItems containsString="0" containsBlank="1" containsNumber="1" containsInteger="1" minValue="0" maxValue="10"/>
    </cacheField>
    <cacheField name="Overall Satisfaction Score" numFmtId="0">
      <sharedItems containsString="0" containsBlank="1" containsNumber="1" containsInteger="1" minValue="1" maxValue="5"/>
    </cacheField>
    <cacheField name="Survey Response Date" numFmtId="0">
      <sharedItems containsNonDate="0" containsDate="1" containsString="0" containsBlank="1" minDate="2026-01-02T15:42:26" maxDate="2026-03-04T10:57:13"/>
    </cacheField>
    <cacheField name="Survey ID" numFmtId="0">
      <sharedItems containsString="0" containsBlank="1" containsNumber="1" containsInteger="1" minValue="5100288" maxValue="5262075"/>
    </cacheField>
    <cacheField name="Survey Type" numFmtId="0">
      <sharedItems containsBlank="1"/>
    </cacheField>
    <cacheField name="Company Name" numFmtId="0">
      <sharedItems containsNonDate="0" containsString="0" containsBlank="1"/>
    </cacheField>
    <cacheField name="Customer Name" numFmtId="0">
      <sharedItems containsBlank="1"/>
    </cacheField>
    <cacheField name="Customer Code" numFmtId="0">
      <sharedItems containsNonDate="0" containsString="0" containsBlank="1"/>
    </cacheField>
    <cacheField name="Customer Email" numFmtId="0">
      <sharedItems containsBlank="1"/>
    </cacheField>
    <cacheField name="Unix Order #" numFmtId="0">
      <sharedItems containsNonDate="0" containsString="0" containsBlank="1"/>
    </cacheField>
    <cacheField name="Billing Address Location" numFmtId="0">
      <sharedItems containsBlank="1"/>
    </cacheField>
    <cacheField name="Shipping Address Location" numFmtId="0">
      <sharedItems containsBlank="1"/>
    </cacheField>
    <cacheField name="Customer Tenure" numFmtId="0">
      <sharedItems containsBlank="1"/>
    </cacheField>
    <cacheField name="Customer Has Payboo Card" numFmtId="0">
      <sharedItems containsBlank="1"/>
    </cacheField>
    <cacheField name="International Flag" numFmtId="0">
      <sharedItems containsNonDate="0" containsString="0" containsBlank="1"/>
    </cacheField>
    <cacheField name="Associated Media Feedback Types" numFmtId="0">
      <sharedItems containsNonDate="0" containsString="0" containsBlank="1"/>
    </cacheField>
    <cacheField name="Email" numFmtId="0">
      <sharedItems containsBlank="1"/>
    </cacheField>
    <cacheField name="Customer Tenure (By Month)" numFmtId="0">
      <sharedItems containsBlank="1"/>
    </cacheField>
    <cacheField name="User Profile Display Name" numFmtId="0">
      <sharedItems containsNonDate="0" containsString="0" containsBlank="1"/>
    </cacheField>
    <cacheField name="Nickname" numFmtId="0">
      <sharedItems containsNonDate="0" containsString="0" containsBlank="1"/>
    </cacheField>
    <cacheField name="User Profile Reference ID" numFmtId="0">
      <sharedItems containsNonDate="0" containsString="0" containsBlank="1"/>
    </cacheField>
    <cacheField name="Subscriber Status" numFmtId="0">
      <sharedItems containsNonDate="0" containsString="0" containsBlank="1"/>
    </cacheField>
    <cacheField name="Name" numFmtId="0">
      <sharedItems containsNonDate="0" containsString="0" containsBlank="1"/>
    </cacheField>
    <cacheField name="Please enter the e-mail address that you would like us to contact you at, in theevent that you win a $250 B&amp;H gift card, or to address any of your concerns. (Wewill never share your email address with anyone)" numFmtId="0">
      <sharedItems containsNonDate="0" containsString="0" containsBlank="1"/>
    </cacheField>
    <cacheField name="Votes" numFmtId="0">
      <sharedItems containsNonDate="0" containsString="0" containsBlank="1"/>
    </cacheField>
    <cacheField name="uid" numFmtId="0">
      <sharedItems containsNonDate="0" containsString="0" containsBlank="1"/>
    </cacheField>
    <cacheField name="Alert close time (EST)" numFmtId="0">
      <sharedItems containsNonDate="0" containsDate="1" containsString="0" containsBlank="1" minDate="2026-01-05T08:50:20" maxDate="2026-03-04T09:30:49"/>
    </cacheField>
    <cacheField name="Survey Email Date Time" numFmtId="0">
      <sharedItems containsNonDate="0" containsDate="1" containsString="0" containsBlank="1" minDate="2025-08-15T12:41:44" maxDate="2026-03-04T13:09:18"/>
    </cacheField>
    <cacheField name="Chat Date" numFmtId="0">
      <sharedItems containsNonDate="0" containsString="0" containsBlank="1"/>
    </cacheField>
    <cacheField name="Order Number" numFmtId="0">
      <sharedItems containsBlank="1"/>
    </cacheField>
    <cacheField name="Web Order #" numFmtId="0">
      <sharedItems containsNonDate="0" containsString="0" containsBlank="1"/>
    </cacheField>
    <cacheField name="Order Date" numFmtId="0">
      <sharedItems containsNonDate="0" containsString="0" containsBlank="1"/>
    </cacheField>
    <cacheField name="Transcript #" numFmtId="0">
      <sharedItems containsNonDate="0" containsString="0" containsBlank="1"/>
    </cacheField>
    <cacheField name="Shipping Date" numFmtId="0">
      <sharedItems containsNonDate="0" containsString="0" containsBlank="1"/>
    </cacheField>
    <cacheField name="Case #" numFmtId="0">
      <sharedItems containsNonDate="0" containsString="0" containsBlank="1"/>
    </cacheField>
    <cacheField name="Internal Case Type" numFmtId="0">
      <sharedItems containsNonDate="0" containsString="0" containsBlank="1"/>
    </cacheField>
    <cacheField name="Internal Case Number" numFmtId="0">
      <sharedItems containsNonDate="0" containsString="0" containsBlank="1"/>
    </cacheField>
    <cacheField name="Transcript ID" numFmtId="0">
      <sharedItems containsNonDate="0" containsString="0" containsBlank="1"/>
    </cacheField>
    <cacheField name="External Case Number" numFmtId="0">
      <sharedItems containsNonDate="0" containsString="0" containsBlank="1"/>
    </cacheField>
    <cacheField name="Payment Type" numFmtId="0">
      <sharedItems containsNonDate="0" containsString="0" containsBlank="1"/>
    </cacheField>
    <cacheField name="Transcript ID2" numFmtId="0">
      <sharedItems containsNonDate="0" containsString="0" containsBlank="1"/>
    </cacheField>
    <cacheField name="Transcript ID3" numFmtId="0">
      <sharedItems containsNonDate="0" containsString="0" containsBlank="1"/>
    </cacheField>
    <cacheField name="Agent Verified Order" numFmtId="0">
      <sharedItems containsNonDate="0" containsString="0" containsBlank="1"/>
    </cacheField>
    <cacheField name="Customer Service Agent Full Name" numFmtId="0">
      <sharedItems containsNonDate="0" containsString="0" containsBlank="1"/>
    </cacheField>
    <cacheField name="Gradus Agent Full Name" numFmtId="0">
      <sharedItems containsNonDate="0" containsString="0" containsBlank="1"/>
    </cacheField>
    <cacheField name="Cashier Full Name" numFmtId="0">
      <sharedItems containsNonDate="0" containsString="0" containsBlank="1"/>
    </cacheField>
    <cacheField name="Sales Agent" numFmtId="0">
      <sharedItems containsNonDate="0" containsString="0" containsBlank="1"/>
    </cacheField>
    <cacheField name="Checker Full Name" numFmtId="0">
      <sharedItems containsNonDate="0" containsString="0" containsBlank="1"/>
    </cacheField>
    <cacheField name="Evaluator Full Name" numFmtId="0">
      <sharedItems containsNonDate="0" containsString="0" containsBlank="1"/>
    </cacheField>
    <cacheField name="Picker Full Name" numFmtId="0">
      <sharedItems containsNonDate="0" containsString="0" containsBlank="1"/>
    </cacheField>
    <cacheField name="Agent Full Name" numFmtId="0">
      <sharedItems containsNonDate="0" containsString="0" containsBlank="1"/>
    </cacheField>
    <cacheField name="Order Link" numFmtId="0">
      <sharedItems containsNonDate="0" containsString="0" containsBlank="1"/>
    </cacheField>
    <cacheField name="Customer Link" numFmtId="0">
      <sharedItems containsBlank="1"/>
    </cacheField>
    <cacheField name="Case Link (Chat Transcript)" numFmtId="0">
      <sharedItems containsNonDate="0" containsString="0" containsBlank="1"/>
    </cacheField>
    <cacheField name="Full Story Link" numFmtId="0">
      <sharedItems containsNonDate="0" containsString="0" containsBlank="1"/>
    </cacheField>
    <cacheField name="Shipping Method" numFmtId="0">
      <sharedItems containsNonDate="0" containsString="0" containsBlank="1"/>
    </cacheField>
    <cacheField name="Shipping Method Type" numFmtId="0">
      <sharedItems containsNonDate="0" containsString="0" containsBlank="1"/>
    </cacheField>
    <cacheField name="Carrier Name" numFmtId="0">
      <sharedItems containsNonDate="0" containsString="0" containsBlank="1"/>
    </cacheField>
    <cacheField name="Platform Device category" numFmtId="0">
      <sharedItems containsNonDate="0" containsString="0" containsBlank="1"/>
    </cacheField>
    <cacheField name="Product Category" numFmtId="0">
      <sharedItems containsNonDate="0" containsString="0" containsBlank="1"/>
    </cacheField>
    <cacheField name="Web Customer Code" numFmtId="0">
      <sharedItems containsNonDate="0" containsString="0" containsBlank="1"/>
    </cacheField>
    <cacheField name="Order Status" numFmtId="0">
      <sharedItems containsNonDate="0" containsString="0" containsBlank="1"/>
    </cacheField>
    <cacheField name="Verification Acknowledged" numFmtId="0">
      <sharedItems containsNonDate="0" containsString="0" containsBlank="1"/>
    </cacheField>
    <cacheField name="Shipping Method2" numFmtId="0">
      <sharedItems containsNonDate="0" containsString="0" containsBlank="1"/>
    </cacheField>
    <cacheField name="LAST_ORDER" numFmtId="0">
      <sharedItems containsNonDate="0" containsString="0" containsBlank="1"/>
    </cacheField>
    <cacheField name="Rating" numFmtId="0">
      <sharedItems containsNonDate="0" containsString="0" containsBlank="1"/>
    </cacheField>
    <cacheField name="PDT ID" numFmtId="0">
      <sharedItems containsNonDate="0" containsString="0" containsBlank="1"/>
    </cacheField>
    <cacheField name="Moderation Status" numFmtId="0">
      <sharedItems containsNonDate="0" containsString="0" containsBlank="1"/>
    </cacheField>
    <cacheField name="Campaign ID" numFmtId="0">
      <sharedItems containsNonDate="0" containsString="0" containsBlank="1"/>
    </cacheField>
    <cacheField name="IP Address" numFmtId="0">
      <sharedItems containsNonDate="0" containsString="0" containsBlank="1"/>
    </cacheField>
    <cacheField name="Review Link" numFmtId="0">
      <sharedItems containsNonDate="0" containsString="0" containsBlank="1"/>
    </cacheField>
    <cacheField name="Rating2" numFmtId="0">
      <sharedItems containsNonDate="0" containsString="0" containsBlank="1"/>
    </cacheField>
    <cacheField name="Badge Name" numFmtId="0">
      <sharedItems containsNonDate="0" containsString="0" containsBlank="1"/>
    </cacheField>
    <cacheField name="Item Code" numFmtId="0">
      <sharedItems containsNonDate="0" containsString="0" containsBlank="1"/>
    </cacheField>
    <cacheField name="High Category" numFmtId="0">
      <sharedItems containsNonDate="0" containsString="0" containsBlank="1"/>
    </cacheField>
    <cacheField name="Review ID" numFmtId="0">
      <sharedItems containsNonDate="0" containsString="0" containsBlank="1"/>
    </cacheField>
    <cacheField name="Order Date2" numFmtId="0">
      <sharedItems containsNonDate="0" containsString="0" containsBlank="1"/>
    </cacheField>
    <cacheField name="Verification Agent Name" numFmtId="0">
      <sharedItems containsNonDate="0" containsString="0" containsBlank="1"/>
    </cacheField>
    <cacheField name="Vendor" numFmtId="0">
      <sharedItems containsNonDate="0" containsString="0" containsBlank="1"/>
    </cacheField>
    <cacheField name="source" numFmtId="0">
      <sharedItems containsNonDate="0" containsString="0" containsBlank="1"/>
    </cacheField>
    <cacheField name="Page URL" numFmtId="0">
      <sharedItems containsNonDate="0" containsString="0" containsBlank="1"/>
    </cacheField>
    <cacheField name="User Agent" numFmtId="0">
      <sharedItems containsNonDate="0" containsString="0" containsBlank="1"/>
    </cacheField>
    <cacheField name="fsurl4" numFmtId="0">
      <sharedItems containsNonDate="0" containsString="0" containsBlank="1"/>
    </cacheField>
    <cacheField name="fsurl2" numFmtId="0">
      <sharedItems containsNonDate="0" containsString="0" containsBlank="1"/>
    </cacheField>
    <cacheField name="session_id2" numFmtId="0">
      <sharedItems containsNonDate="0" containsString="0" containsBlank="1"/>
    </cacheField>
    <cacheField name="session_id" numFmtId="0">
      <sharedItems containsNonDate="0" containsString="0" containsBlank="1"/>
    </cacheField>
    <cacheField name="fsurl" numFmtId="0">
      <sharedItems containsNonDate="0" containsString="0" containsBlank="1"/>
    </cacheField>
    <cacheField name="JSESSIONID" numFmtId="0">
      <sharedItems containsNonDate="0" containsString="0" containsBlank="1"/>
    </cacheField>
    <cacheField name="Sales Agent2" numFmtId="0">
      <sharedItems containsNonDate="0" containsString="0" containsBlank="1"/>
    </cacheField>
    <cacheField name="Price Match Agent" numFmtId="0">
      <sharedItems containsNonDate="0" containsString="0" containsBlank="1"/>
    </cacheField>
    <cacheField name="Call Escalated" numFmtId="0">
      <sharedItems containsNonDate="0" containsString="0" containsBlank="1"/>
    </cacheField>
    <cacheField name="Original Response Team" numFmtId="0">
      <sharedItems containsBlank="1"/>
    </cacheField>
    <cacheField name="Change Response Team" numFmtId="0">
      <sharedItems containsNonDate="0" containsString="0" containsBlank="1"/>
    </cacheField>
    <cacheField name="Level II Response Y/N (CAD Only)" numFmtId="0">
      <sharedItems containsBlank="1"/>
    </cacheField>
    <cacheField name="Alert assigned to names" numFmtId="0">
      <sharedItems containsBlank="1"/>
    </cacheField>
    <cacheField name="Assigned To" numFmtId="0">
      <sharedItems containsBlank="1"/>
    </cacheField>
    <cacheField name="Creationdate" numFmtId="0">
      <sharedItems containsNonDate="0" containsDate="1" containsString="0" containsBlank="1" minDate="2026-01-02T15:41:32" maxDate="2026-03-04T11:04:41"/>
    </cacheField>
    <cacheField name="Alert type" numFmtId="0">
      <sharedItems containsBlank="1"/>
    </cacheField>
    <cacheField name="Current status of alert" numFmtId="0">
      <sharedItems containsBlank="1"/>
    </cacheField>
    <cacheField name="Rapid Response Sent Date" numFmtId="0">
      <sharedItems containsNonDate="0" containsDate="1" containsString="0" containsBlank="1" minDate="2026-01-14T16:28:45" maxDate="2026-03-02T12:31:37"/>
    </cacheField>
    <cacheField name="Rapid Response sent by" numFmtId="0">
      <sharedItems containsBlank="1"/>
    </cacheField>
    <cacheField name="Survey Has Comment" numFmtId="0">
      <sharedItems containsBlank="1"/>
    </cacheField>
    <cacheField name="Reason for Score" numFmtId="0">
      <sharedItems containsNonDate="0" containsString="0" containsBlank="1"/>
    </cacheField>
    <cacheField name="Comments" numFmtId="0">
      <sharedItems containsNonDate="0" containsString="0" containsBlank="1"/>
    </cacheField>
    <cacheField name="Additional Comments" numFmtId="0">
      <sharedItems containsNonDate="0" containsString="0" containsBlank="1"/>
    </cacheField>
    <cacheField name="Other Reason for Visit" numFmtId="0">
      <sharedItems containsNonDate="0" containsString="0" containsBlank="1"/>
    </cacheField>
    <cacheField name="Please tell us what you LIKE MOST about your B&amp;H B2B experience (Optional)" numFmtId="0">
      <sharedItems containsNonDate="0" containsString="0" containsBlank="1"/>
    </cacheField>
    <cacheField name="Please tell us what you DISLIKE MOST about your B&amp;H B2B experience (Optional)" numFmtId="0">
      <sharedItems containsNonDate="0" containsString="0" containsBlank="1"/>
    </cacheField>
    <cacheField name="If Other, please explain why you chose Store Pick Up: " numFmtId="0">
      <sharedItems containsNonDate="0" containsString="0" containsBlank="1"/>
    </cacheField>
    <cacheField name="If Other, how you get to B&amp;H?" numFmtId="0">
      <sharedItems containsNonDate="0" containsString="0" containsBlank="1"/>
    </cacheField>
    <cacheField name="Please select the primary reason you contacted Customer Service: - Other" numFmtId="0">
      <sharedItems containsNonDate="0" containsString="0" containsBlank="1"/>
    </cacheField>
    <cacheField name="How did you learn about the Tech Corner: Please Specify " numFmtId="0">
      <sharedItems containsNonDate="0" containsString="0" containsBlank="1"/>
    </cacheField>
    <cacheField name="Please Specify" numFmtId="0">
      <sharedItems containsNonDate="0" containsString="0" containsBlank="1"/>
    </cacheField>
    <cacheField name="Please tell us what you LIKE MOST about your B&amp;H B2B experience (Optional)2" numFmtId="0">
      <sharedItems containsNonDate="0" containsString="0" containsBlank="1"/>
    </cacheField>
    <cacheField name="Please tell us what you LIKED MOST about your B&amp;H live chat experience (Optional)" numFmtId="0">
      <sharedItems containsNonDate="0" containsString="0" containsBlank="1"/>
    </cacheField>
    <cacheField name="Please tell us what you LIKED MOST about your B&amp;H Experience " numFmtId="0">
      <sharedItems containsNonDate="0" containsString="0" containsBlank="1"/>
    </cacheField>
    <cacheField name="Please tell us what you LIKED MOST about your B&amp;H Customer Service experience" numFmtId="0">
      <sharedItems containsNonDate="0" containsString="0" containsBlank="1"/>
    </cacheField>
    <cacheField name="Please tell us what you LIKED MOST about your B&amp;H experience" numFmtId="0">
      <sharedItems containsNonDate="0" containsString="0" containsBlank="1"/>
    </cacheField>
    <cacheField name="Please tell us what you LIKED MOST about your B&amp;H experience (Optional)" numFmtId="0">
      <sharedItems containsBlank="1" longText="1"/>
    </cacheField>
    <cacheField name="Please tell us what you DISLIKED MOST about your B&amp;H live chat experience (Optional)" numFmtId="0">
      <sharedItems containsNonDate="0" containsString="0" containsBlank="1"/>
    </cacheField>
    <cacheField name="Please tell us what you DISLIKED MOST about your B&amp;H Experience" numFmtId="0">
      <sharedItems containsNonDate="0" containsString="0" containsBlank="1"/>
    </cacheField>
    <cacheField name="Please tell us what you DISLIKED MOST about your B&amp;H Customer Service experience" numFmtId="0">
      <sharedItems containsNonDate="0" containsString="0" containsBlank="1"/>
    </cacheField>
    <cacheField name="Please tell us what you DISLIKED MOST about your B&amp;H experience" numFmtId="0">
      <sharedItems containsNonDate="0" containsString="0" containsBlank="1"/>
    </cacheField>
    <cacheField name="Please tell us what you DISLIKED MOST about your B&amp;H experience2" numFmtId="0">
      <sharedItems containsBlank="1" longText="1"/>
    </cacheField>
    <cacheField name="Please tell us what you DISLIKED MOST about your experience at the B&amp;H store (Optional)" numFmtId="0">
      <sharedItems containsNonDate="0" containsString="0" containsBlank="1"/>
    </cacheField>
    <cacheField name="Please tell us what you DISLIKED MOST about your B&amp;H experience (Optional)" numFmtId="0">
      <sharedItems containsNonDate="0" containsString="0" containsBlank="1"/>
    </cacheField>
    <cacheField name="Please tell us what you DISLIKE MOST about your B&amp;H B2B experience (Optional)2" numFmtId="0">
      <sharedItems containsNonDate="0" containsString="0" containsBlank="1"/>
    </cacheField>
    <cacheField name="This survey gives you the chance to share your feedback through photo or video!_x000a_Your photo or video will be used to help improve B&amp;H’s customer experience, may_x000a_be used for internal communications, and all use will be in accordance with_x000a_B&amp;H’s Terms and Conditions and Privacy Policy_x000a_[https://www.bhphotovideo.com/find/HelpCenter/Policies.jsp#privacySecurity]._x000a__x000a__x000a_" numFmtId="0">
      <sharedItems containsNonDate="0" containsString="0" containsBlank="1"/>
    </cacheField>
    <cacheField name="Was there anything that prevented you from placing an order during your B&amp;H phone call? - Other" numFmtId="0">
      <sharedItems containsNonDate="0" containsString="0" containsBlank="1"/>
    </cacheField>
    <cacheField name="Please tell us what you LIKED MOST about your B&amp;H experience2" numFmtId="0">
      <sharedItems containsNonDate="0" containsString="0" containsBlank="1"/>
    </cacheField>
    <cacheField name="Please tell us what you DISLIKED MOST about your B&amp;H experience3" numFmtId="0">
      <sharedItems containsNonDate="0" containsString="0" containsBlank="1"/>
    </cacheField>
    <cacheField name="Please tell us what you LIKED MOST about your B&amp;H live chat experience (Optional)2" numFmtId="0">
      <sharedItems containsNonDate="0" containsString="0" containsBlank="1"/>
    </cacheField>
    <cacheField name="Please tell us what you DISLIKED MOST about your B&amp;H live chat experience (Optional)2" numFmtId="0">
      <sharedItems containsNonDate="0" containsString="0" containsBlank="1"/>
    </cacheField>
    <cacheField name="Would you like to record a video to share your feedback?" numFmtId="0">
      <sharedItems containsNonDate="0" containsString="0" containsBlank="1"/>
    </cacheField>
    <cacheField name="Would You Like To Include A Photo Or Video" numFmtId="0">
      <sharedItems containsNonDate="0" containsString="0" containsBlank="1"/>
    </cacheField>
    <cacheField name="Would you like to upload a photo or video to share your feedback?" numFmtId="0">
      <sharedItems containsNonDate="0" containsString="0" containsBlank="1"/>
    </cacheField>
    <cacheField name="Please tell us how we could make a better shopping experience for our Canadian customers. (Optional)" numFmtId="0">
      <sharedItems containsNonDate="0" containsString="0" containsBlank="1"/>
    </cacheField>
    <cacheField name="Please tell us how we could make a better shopping experience for our customers" numFmtId="0">
      <sharedItems containsNonDate="0" containsString="0" containsBlank="1"/>
    </cacheField>
    <cacheField name="Please specify the product/s you would like to see on display, include the B&amp;H_x000a_item number if available. (List all products)" numFmtId="0">
      <sharedItems containsNonDate="0" containsString="0" containsBlank="1"/>
    </cacheField>
    <cacheField name="Open Comment" numFmtId="0">
      <sharedItems containsNonDate="0" containsString="0" containsBlank="1"/>
    </cacheField>
    <cacheField name="Other" numFmtId="0">
      <sharedItems containsNonDate="0" containsString="0" containsBlank="1"/>
    </cacheField>
    <cacheField name="Other2" numFmtId="0">
      <sharedItems containsNonDate="0" containsString="0" containsBlank="1"/>
    </cacheField>
    <cacheField name="Your Review" numFmtId="0">
      <sharedItems containsNonDate="0" containsString="0" containsBlank="1"/>
    </cacheField>
    <cacheField name="Please tell us what you LIKED MOST about your Gradus Customer Service experience" numFmtId="0">
      <sharedItems containsNonDate="0" containsString="0" containsBlank="1"/>
    </cacheField>
    <cacheField name="Please tell us what you DISLIKED MOST about your Gradus Customer Service_x000a_experience." numFmtId="0">
      <sharedItems containsNonDate="0" containsString="0" containsBlank="1"/>
    </cacheField>
    <cacheField name="Please tell us how we can improve your experience with our products or services." numFmtId="0">
      <sharedItems containsNonDate="0" containsString="0" containsBlank="1"/>
    </cacheField>
    <cacheField name="For the rating you provided above, what policies were you considering?" numFmtId="0">
      <sharedItems containsNonDate="0" containsString="0" containsBlank="1"/>
    </cacheField>
    <cacheField name="For the rating you provided above, what policies were you considering?2" numFmtId="0">
      <sharedItems containsNonDate="0" containsString="0" containsBlank="1"/>
    </cacheField>
    <cacheField name="How can we improve our service?" numFmtId="0">
      <sharedItems containsNonDate="0" containsString="0" containsBlank="1"/>
    </cacheField>
    <cacheField name="What form of payment did you use for your recent B&amp;H transaction? - Other" numFmtId="0">
      <sharedItems containsNonDate="0" containsString="0" containsBlank="1"/>
    </cacheField>
    <cacheField name="Since you are familiar with Payboo but did not use it for your recent transaction, please share your reasons – Other:" numFmtId="0">
      <sharedItems containsNonDate="0" containsString="0" containsBlank="1"/>
    </cacheField>
    <cacheField name="Please let us know how you learned about PayBoo? – Other" numFmtId="0">
      <sharedItems containsNonDate="0" containsString="0" containsBlank="1"/>
    </cacheField>
    <cacheField name="Other3" numFmtId="0">
      <sharedItems containsNonDate="0" containsString="0" containsBlank="1"/>
    </cacheField>
    <cacheField name="Other4" numFmtId="0">
      <sharedItems containsNonDate="0" containsString="0" containsBlank="1"/>
    </cacheField>
    <cacheField name="Other5" numFmtId="0">
      <sharedItems containsNonDate="0" containsString="0" containsBlank="1"/>
    </cacheField>
    <cacheField name="Other6" numFmtId="0">
      <sharedItems containsNonDate="0" containsString="0" containsBlank="1"/>
    </cacheField>
    <cacheField name="Other7" numFmtId="0">
      <sharedItems containsNonDate="0" containsString="0" containsBlank="1"/>
    </cacheField>
    <cacheField name="Other8" numFmtId="0">
      <sharedItems containsNonDate="0" containsString="0" containsBlank="1"/>
    </cacheField>
    <cacheField name="Other form of payment" numFmtId="0">
      <sharedItems containsNonDate="0" containsString="0" containsBlank="1"/>
    </cacheField>
    <cacheField name="Other9" numFmtId="0">
      <sharedItems containsNonDate="0" containsString="0" containsBlank="1"/>
    </cacheField>
    <cacheField name="Other10" numFmtId="0">
      <sharedItems containsNonDate="0" containsString="0" containsBlank="1"/>
    </cacheField>
    <cacheField name="Other11" numFmtId="0">
      <sharedItems containsNonDate="0" containsString="0" containsBlank="1"/>
    </cacheField>
    <cacheField name="Since you are familiar with Payboo but did not use it for your recent transaction, please share your reasons: Other" numFmtId="0">
      <sharedItems containsNonDate="0" containsString="0" containsBlank="1"/>
    </cacheField>
    <cacheField name="Other - How did you learn about Payboo" numFmtId="0">
      <sharedItems containsNonDate="0" containsString="0" containsBlank="1"/>
    </cacheField>
    <cacheField name="How can we improve the Payboo credit card application experience? (Optional)" numFmtId="0">
      <sharedItems containsNonDate="0" containsString="0" containsBlank="1"/>
    </cacheField>
    <cacheField name="Please add any additional comments" numFmtId="0">
      <sharedItems containsNonDate="0" containsString="0" containsBlank="1"/>
    </cacheField>
    <cacheField name="Could you please tell us which product(s) you were looking for?" numFmtId="0">
      <sharedItems containsNonDate="0" containsString="0" containsBlank="1"/>
    </cacheField>
    <cacheField name="Please tell us how we could make a better shopping experience for our customers2" numFmtId="0">
      <sharedItems containsNonDate="0" containsString="0" containsBlank="1"/>
    </cacheField>
    <cacheField name="What was the primary thing that prevented you from placing an order? Please Specify" numFmtId="0">
      <sharedItems containsNonDate="0" containsString="0" containsBlank="1"/>
    </cacheField>
    <cacheField name="Please tell us what policies you were considering." numFmtId="0">
      <sharedItems containsNonDate="0" containsString="0" containsBlank="1"/>
    </cacheField>
    <cacheField name="Please describe your issues:" numFmtId="0">
      <sharedItems containsNonDate="0" containsString="0" containsBlank="1"/>
    </cacheField>
    <cacheField name="Is there anything we can do to improve the shopping experience?" numFmtId="0">
      <sharedItems containsNonDate="0" containsString="0" containsBlank="1"/>
    </cacheField>
    <cacheField name="Please tell us your primary role or department: Other" numFmtId="0">
      <sharedItems containsNonDate="0" containsString="0" containsBlank="1"/>
    </cacheField>
    <cacheField name="Please tell us your primary role or department: Other" numFmtId="0">
      <sharedItems containsNonDate="0" containsString="0" containsBlank="1"/>
    </cacheField>
    <cacheField name="Please tell us what you LIKED MOST about your experience using the B&amp;H website (Optional)" numFmtId="0">
      <sharedItems containsNonDate="0" containsString="0" containsBlank="1"/>
    </cacheField>
    <cacheField name="Please tell us what you DISLIKED MOST about your experience using the B&amp;H website (Optional)" numFmtId="0">
      <sharedItems containsNonDate="0" containsString="0" containsBlank="1"/>
    </cacheField>
    <cacheField name="Could you tell us which products you were looking for and were not available?" numFmtId="0">
      <sharedItems containsNonDate="0" containsString="0" containsBlank="1"/>
    </cacheField>
    <cacheField name="If you would like to be entered into our $500 B&amp;H Gift Card drawing please enteryour email address below:" numFmtId="0">
      <sharedItems containsNonDate="0" containsString="0" containsBlank="1"/>
    </cacheField>
    <cacheField name="Please specify the obstacles you faced when applying for Payboo" numFmtId="0">
      <sharedItems containsNonDate="0" containsString="0" containsBlank="1"/>
    </cacheField>
    <cacheField name="Please tell us how you learned about Payboo: Other" numFmtId="0">
      <sharedItems containsNonDate="0" containsString="0" containsBlank="1"/>
    </cacheField>
    <cacheField name="What was the primary reason that prevented you from placing an order during your B&amp;amp;H web visit? - Other" numFmtId="0">
      <sharedItems containsNonDate="0" containsString="0" containsBlank="1"/>
    </cacheField>
    <cacheField name="Review Title" numFmtId="0">
      <sharedItems containsNonDate="0" containsString="0" containsBlank="1"/>
    </cacheField>
    <cacheField name="Review Text" numFmtId="0">
      <sharedItems containsNonDate="0" containsString="0" containsBlank="1"/>
    </cacheField>
    <cacheField name="Please Specify2" numFmtId="0">
      <sharedItems containsNonDate="0" containsString="0" containsBlank="1"/>
    </cacheField>
    <cacheField name="Comments2" numFmtId="0">
      <sharedItems containsNonDate="0" containsString="0" containsBlank="1"/>
    </cacheField>
    <cacheField name="What did you LIKE MOST about your experience purchasing Used Gear from B&amp;H?" numFmtId="0">
      <sharedItems containsNonDate="0" containsString="0" containsBlank="1"/>
    </cacheField>
    <cacheField name="What did you DISLIKE MOST about your experience purchasing Used Gear from B&amp;H?" numFmtId="0">
      <sharedItems containsNonDate="0" containsString="0" containsBlank="1"/>
    </cacheField>
    <cacheField name="What improvements could we make to your Used purchase experience?" numFmtId="0">
      <sharedItems containsNonDate="0" containsString="0" containsBlank="1"/>
    </cacheField>
    <cacheField name="Please tell us more about your concern with the return policy and warranties for_x000a_Used products" numFmtId="0">
      <sharedItems containsNonDate="0" containsString="0" containsBlank="1"/>
    </cacheField>
    <cacheField name="Please tell us more about the availability of Used products" numFmtId="0">
      <sharedItems containsNonDate="0" containsString="0" containsBlank="1"/>
    </cacheField>
    <cacheField name="What did you LIKE MOST about your experience?" numFmtId="0">
      <sharedItems containsNonDate="0" containsString="0" containsBlank="1"/>
    </cacheField>
    <cacheField name="What did you DISLIKE MOST about your experience?" numFmtId="0">
      <sharedItems containsNonDate="0" containsString="0" containsBlank="1"/>
    </cacheField>
    <cacheField name="What could we do to improve the film development / printing service? " numFmtId="0">
      <sharedItems containsNonDate="0" containsString="0" containsBlank="1"/>
    </cacheField>
    <cacheField name="Please tell us what B&amp;H could do to improve the returns experience" numFmtId="0">
      <sharedItems containsNonDate="0" containsString="0" containsBlank="1"/>
    </cacheField>
    <cacheField name="Could you please tell us what was not to your satisfaction?" numFmtId="0">
      <sharedItems containsNonDate="0" containsString="0" containsBlank="1"/>
    </cacheField>
    <cacheField name="Could you please tell us more regarding how your inquiry was not resolved?" numFmtId="0">
      <sharedItems containsNonDate="0" containsString="0" containsBlank="1"/>
    </cacheField>
    <cacheField name="Please specify the items which were out of stock. Please include the B&amp;H item number if available. (List all products)" numFmtId="0">
      <sharedItems containsNonDate="0" containsString="0" containsBlank="1"/>
    </cacheField>
    <cacheField name="Please specify the item(s) you were looking for." numFmtId="0">
      <sharedItems containsNonDate="0" containsString="0" containsBlank="1"/>
    </cacheField>
    <cacheField name="Please specify which items were not priced competitively. Please list the products." numFmtId="0">
      <sharedItems containsNonDate="0" containsString="0" containsBlank="1"/>
    </cacheField>
    <cacheField name="Please tell the reason you did not purchase: Other" numFmtId="0">
      <sharedItems containsNonDate="0" containsString="0" containsBlank="1"/>
    </cacheField>
    <cacheField name="Other:  (Required)" numFmtId="0">
      <sharedItems containsNonDate="0" containsString="0" containsBlank="1"/>
    </cacheField>
    <cacheField name="Other Department Feedback: (Required)" numFmtId="0">
      <sharedItems containsNonDate="0" containsString="0" containsBlank="1"/>
    </cacheField>
    <cacheField name="Other Facilities Feedback: (Required)" numFmtId="0">
      <sharedItems containsNonDate="0" containsString="0" containsBlank="1"/>
    </cacheField>
    <cacheField name="Please enter your email. (If you would like a response this is required.)" numFmtId="0">
      <sharedItems containsNonDate="0" containsString="0" containsBlank="1"/>
    </cacheField>
    <cacheField name="Likely to Recommend" numFmtId="0">
      <sharedItems containsNonDate="0" containsString="0" containsBlank="1"/>
    </cacheField>
    <cacheField name="Overall Satisfaction Score2" numFmtId="0">
      <sharedItems containsNonDate="0" containsString="0" containsBlank="1"/>
    </cacheField>
    <cacheField name="Liked Most Comment" numFmtId="0">
      <sharedItems containsBlank="1" longText="1"/>
    </cacheField>
    <cacheField name="Disliked Most Comment" numFmtId="0">
      <sharedItems containsBlank="1" longText="1"/>
    </cacheField>
    <cacheField name="Where did you first hear about the B&amp;H SuperStore?" numFmtId="0">
      <sharedItems containsNonDate="0" containsString="0" containsBlank="1"/>
    </cacheField>
    <cacheField name="Where did you first hear about the B&amp;H SuperStore?2" numFmtId="0">
      <sharedItems containsNonDate="0" containsString="0" containsBlank="1"/>
    </cacheField>
    <cacheField name="Did an associate greet you during your visit?" numFmtId="0">
      <sharedItems containsNonDate="0" containsString="0" containsBlank="1"/>
    </cacheField>
    <cacheField name="Wait Time speak with B&amp;H Product Expert" numFmtId="0">
      <sharedItems containsNonDate="0" containsString="0" containsBlank="1"/>
    </cacheField>
    <cacheField name="Product Expert Courtesy" numFmtId="0">
      <sharedItems containsNonDate="0" containsString="0" containsBlank="1"/>
    </cacheField>
    <cacheField name="Knowledge about the products" numFmtId="0">
      <sharedItems containsNonDate="0" containsString="0" containsBlank="1"/>
    </cacheField>
    <cacheField name="Quality of recommendation" numFmtId="0">
      <sharedItems containsNonDate="0" containsString="0" containsBlank="1"/>
    </cacheField>
    <cacheField name="The appearance of the store" numFmtId="0">
      <sharedItems containsNonDate="0" containsString="0" containsBlank="1"/>
    </cacheField>
    <cacheField name="The ease of finding what you were looking for" numFmtId="0">
      <sharedItems containsNonDate="0" containsString="0" containsBlank="1"/>
    </cacheField>
    <cacheField name="The wait time to pay for my item(s)" numFmtId="0">
      <sharedItems containsNonDate="0" containsString="0" containsBlank="1"/>
    </cacheField>
    <cacheField name="The courtesy of the cashier" numFmtId="0">
      <sharedItems containsNonDate="0" containsString="0" containsBlank="1"/>
    </cacheField>
    <cacheField name="The wait time to pick up my items" numFmtId="0">
      <sharedItems containsNonDate="0" containsString="0" containsBlank="1"/>
    </cacheField>
    <cacheField name="Selection" numFmtId="0">
      <sharedItems containsNonDate="0" containsString="0" containsBlank="1"/>
    </cacheField>
    <cacheField name="Value for price paid" numFmtId="0">
      <sharedItems containsNonDate="0" containsString="0" containsBlank="1"/>
    </cacheField>
    <cacheField name="Quality" numFmtId="0">
      <sharedItems containsNonDate="0" containsString="0" containsBlank="1"/>
    </cacheField>
    <cacheField name="Products on display" numFmtId="0">
      <sharedItems containsNonDate="0" containsString="0" containsBlank="1"/>
    </cacheField>
    <cacheField name="Products on display2" numFmtId="0">
      <sharedItems containsNonDate="0" containsString="0" containsBlank="1"/>
    </cacheField>
    <cacheField name="Please tell us the general category of product display(s) you were not satisfied with:" numFmtId="0">
      <sharedItems containsNonDate="0" containsString="0" containsBlank="1"/>
    </cacheField>
    <cacheField name="Please tell us the general category of product display(s) you were not satisfied with:2" numFmtId="0">
      <sharedItems containsNonDate="0" containsString="0" containsBlank="1"/>
    </cacheField>
    <cacheField name="Please specify the product/s you would like to see on display, include the B&amp;Hitem number if available. (List all products)" numFmtId="0">
      <sharedItems containsNonDate="0" containsString="0" containsBlank="1"/>
    </cacheField>
    <cacheField name="Wait-time to speak with an agent (Guest Technical Services)" numFmtId="0">
      <sharedItems containsNonDate="0" containsString="0" containsBlank="1"/>
    </cacheField>
    <cacheField name="Agent knowledge concerning your inquiry (Guest Technical Services)" numFmtId="0">
      <sharedItems containsNonDate="0" containsString="0" containsBlank="1"/>
    </cacheField>
    <cacheField name="Agent courtesy (Guest Technical Services)" numFmtId="0">
      <sharedItems containsNonDate="0" containsString="0" containsBlank="1"/>
    </cacheField>
    <cacheField name="What form of payment did you use for your recent B&amp;H transaction?" numFmtId="0">
      <sharedItems containsNonDate="0" containsString="0" containsBlank="1"/>
    </cacheField>
    <cacheField name="During your visit to the B&amp;H Store, did anyone tell you about the B&amp;H PayBoo Credit Card?" numFmtId="0">
      <sharedItems containsNonDate="0" containsString="0" containsBlank="1"/>
    </cacheField>
    <cacheField name="Please let us know how you learned about PayBoo?" numFmtId="0">
      <sharedItems containsNonDate="0" containsString="0" containsBlank="1"/>
    </cacheField>
    <cacheField name="What form of payment did you use for your recent B&amp;H transaction? " numFmtId="0">
      <sharedItems containsNonDate="0" containsString="0" containsBlank="1"/>
    </cacheField>
    <cacheField name="During your visit to the B&amp;H Store, did anyone tell you about the B&amp;H PaybooCredit Card?" numFmtId="0">
      <sharedItems containsNonDate="0" containsString="0" containsBlank="1"/>
    </cacheField>
    <cacheField name="_x000a__x000a__x000a_Please let us know how you learned about Payboo?" numFmtId="0">
      <sharedItems containsNonDate="0" containsString="0" containsBlank="1"/>
    </cacheField>
    <cacheField name="_x000a__x000a__x000a_Were you assisted at B&amp;H’s Guest Technical Services?" numFmtId="0">
      <sharedItems containsNonDate="0" containsString="0" containsBlank="1"/>
    </cacheField>
    <cacheField name="Ease of finding what you were looking for" numFmtId="0">
      <sharedItems containsNonDate="0" containsString="0" containsBlank="1"/>
    </cacheField>
    <cacheField name="Product images" numFmtId="0">
      <sharedItems containsNonDate="0" containsString="0" containsBlank="1"/>
    </cacheField>
    <cacheField name="Product Overview and Specifications" numFmtId="0">
      <sharedItems containsNonDate="0" containsString="0" containsBlank="1"/>
    </cacheField>
    <cacheField name="Product Reviews" numFmtId="0">
      <sharedItems containsNonDate="0" containsString="0" containsBlank="1"/>
    </cacheField>
    <cacheField name="Q&amp;A's" numFmtId="0">
      <sharedItems containsNonDate="0" containsString="0" containsBlank="1"/>
    </cacheField>
    <cacheField name="Ease of accessing expert help" numFmtId="0">
      <sharedItems containsNonDate="0" containsString="0" containsBlank="1"/>
    </cacheField>
    <cacheField name="B&amp;H policies" numFmtId="0">
      <sharedItems containsNonDate="0" containsString="0" containsBlank="1"/>
    </cacheField>
    <cacheField name="Ease of Accessing expert help2" numFmtId="0">
      <sharedItems containsNonDate="0" containsString="0" containsBlank="1"/>
    </cacheField>
    <cacheField name="Clarity of shipping cost, delivery times, and options" numFmtId="0">
      <sharedItems containsNonDate="0" containsString="0" containsBlank="1"/>
    </cacheField>
    <cacheField name="Clarity of shipping cost, delivery times, and options2" numFmtId="0">
      <sharedItems containsNonDate="0" containsString="0" containsBlank="1"/>
    </cacheField>
    <cacheField name="Ease of checkout" numFmtId="0">
      <sharedItems containsNonDate="0" containsString="0" containsBlank="1"/>
    </cacheField>
    <cacheField name="Ease of checkout2" numFmtId="0">
      <sharedItems containsNonDate="0" containsString="0" containsBlank="1"/>
    </cacheField>
    <cacheField name="Availability of products" numFmtId="0">
      <sharedItems containsNonDate="0" containsString="0" containsBlank="1"/>
    </cacheField>
    <cacheField name="May we send you a follow-up survey once you receive your purchase?" numFmtId="0">
      <sharedItems containsNonDate="0" containsString="0" containsBlank="1"/>
    </cacheField>
    <cacheField name="Ease of finding what you were looking for2" numFmtId="0">
      <sharedItems containsNonDate="0" containsString="0" containsBlank="1"/>
    </cacheField>
    <cacheField name="Product Images2" numFmtId="0">
      <sharedItems containsNonDate="0" containsString="0" containsBlank="1"/>
    </cacheField>
    <cacheField name="Product overview and specifications2" numFmtId="0">
      <sharedItems containsNonDate="0" containsString="0" containsBlank="1"/>
    </cacheField>
    <cacheField name="Product Reviews2" numFmtId="0">
      <sharedItems containsNonDate="0" containsString="0" containsBlank="1"/>
    </cacheField>
    <cacheField name="Q&amp;A's2" numFmtId="0">
      <sharedItems containsNonDate="0" containsString="0" containsBlank="1"/>
    </cacheField>
    <cacheField name="Ease of accessing expert help3" numFmtId="0">
      <sharedItems containsNonDate="0" containsString="0" containsBlank="1"/>
    </cacheField>
    <cacheField name="Availability of products2" numFmtId="0">
      <sharedItems containsNonDate="0" containsString="0" containsBlank="1"/>
    </cacheField>
    <cacheField name="B&amp;H Policies2" numFmtId="0">
      <sharedItems containsNonDate="0" containsString="0" containsBlank="1"/>
    </cacheField>
    <cacheField name="What was the primary thing that prevented you from placing an order during yourB&amp;H web visit?" numFmtId="0">
      <sharedItems containsNonDate="0" containsString="0" containsBlank="1"/>
    </cacheField>
    <cacheField name="Could you please tell us which product(s) you were looking for?2" numFmtId="0">
      <sharedItems containsNonDate="0" containsString="0" containsBlank="1"/>
    </cacheField>
    <cacheField name="Ease of locating the return area" numFmtId="0">
      <sharedItems containsNonDate="0" containsString="0" containsBlank="1"/>
    </cacheField>
    <cacheField name="Wait time to speak to a return associate" numFmtId="0">
      <sharedItems containsNonDate="0" containsString="0" containsBlank="1"/>
    </cacheField>
    <cacheField name="Knowledge of the associate to process my return" numFmtId="0">
      <sharedItems containsNonDate="0" containsString="0" containsBlank="1"/>
    </cacheField>
    <cacheField name="Courtesy of the return associate" numFmtId="0">
      <sharedItems containsNonDate="0" containsString="0" containsBlank="1"/>
    </cacheField>
    <cacheField name="Ease of getting your return approved" numFmtId="0">
      <sharedItems containsNonDate="0" containsString="0" containsBlank="1"/>
    </cacheField>
    <cacheField name="How satisfied are you with B&amp;H's return policy?" numFmtId="0">
      <sharedItems containsNonDate="0" containsString="0" containsBlank="1"/>
    </cacheField>
    <cacheField name="The ease of placing the order online" numFmtId="0">
      <sharedItems containsNonDate="0" containsString="0" containsBlank="1"/>
    </cacheField>
    <cacheField name="The ease of locating the pick up area for my order" numFmtId="0">
      <sharedItems containsNonDate="0" containsString="0" containsBlank="1"/>
    </cacheField>
    <cacheField name="The courtesy of the pick up associate" numFmtId="0">
      <sharedItems containsNonDate="0" containsString="0" containsBlank="1"/>
    </cacheField>
    <cacheField name="The wait time to pick up my purchase" numFmtId="0">
      <sharedItems containsNonDate="0" containsString="0" containsBlank="1"/>
    </cacheField>
    <cacheField name="What was the main reason you chose Store Pick Up vs. Delivery?" numFmtId="0">
      <sharedItems containsNonDate="0" containsString="0" containsBlank="1"/>
    </cacheField>
    <cacheField name="How did you get to B&amp;H?" numFmtId="0">
      <sharedItems containsNonDate="0" containsString="0" containsBlank="1"/>
    </cacheField>
    <cacheField name="I drove from:" numFmtId="0">
      <sharedItems containsNonDate="0" containsString="0" containsBlank="1"/>
    </cacheField>
    <cacheField name="I biked from:" numFmtId="0">
      <sharedItems containsNonDate="0" containsString="0" containsBlank="1"/>
    </cacheField>
    <cacheField name="I used a messenger service from:" numFmtId="0">
      <sharedItems containsNonDate="0" containsString="0" containsBlank="1"/>
    </cacheField>
    <cacheField name="I used mass transit (bus or train) from:" numFmtId="0">
      <sharedItems containsNonDate="0" containsString="0" containsBlank="1"/>
    </cacheField>
    <cacheField name="I took a Taxi /Uber/Lyft to B&amp;H from:" numFmtId="0">
      <sharedItems containsNonDate="0" containsString="0" containsBlank="1"/>
    </cacheField>
    <cacheField name="Did you use B&amp;H's Free Parking?" numFmtId="0">
      <sharedItems containsNonDate="0" containsString="0" containsBlank="1"/>
    </cacheField>
    <cacheField name="How satisfied were you with the Free B&amp;H Parking?" numFmtId="0">
      <sharedItems containsNonDate="0" containsString="0" containsBlank="1"/>
    </cacheField>
    <cacheField name="Did your package arrive within the estimated time we provided at checkout?" numFmtId="0">
      <sharedItems containsNonDate="0" containsString="0" containsBlank="1"/>
    </cacheField>
    <cacheField name="If your shipment was delayed, did you receive an email informing you of the delay?" numFmtId="0">
      <sharedItems containsNonDate="0" containsString="0" containsBlank="1"/>
    </cacheField>
    <cacheField name="The carrier" numFmtId="0">
      <sharedItems containsNonDate="0" containsString="0" containsBlank="1"/>
    </cacheField>
    <cacheField name="The condition of the shipping box" numFmtId="0">
      <sharedItems containsNonDate="0" containsString="0" containsBlank="1"/>
    </cacheField>
    <cacheField name="The packing of the product" numFmtId="0">
      <sharedItems containsNonDate="0" containsString="0" containsBlank="1"/>
    </cacheField>
    <cacheField name="The condition of the items" numFmtId="0">
      <sharedItems containsNonDate="0" containsString="0" containsBlank="1"/>
    </cacheField>
    <cacheField name="Communication during the shipment process" numFmtId="0">
      <sharedItems containsNonDate="0" containsString="0" containsBlank="1"/>
    </cacheField>
    <cacheField name="Please enter your order number (optional)" numFmtId="0">
      <sharedItems containsNonDate="0" containsString="0" containsBlank="1"/>
    </cacheField>
    <cacheField name="If you would like to be entered into our survey drawing, please enter your email address. " numFmtId="0">
      <sharedItems containsNonDate="0" containsString="0" containsBlank="1"/>
    </cacheField>
    <cacheField name="The reason I contacted B&amp;H was: " numFmtId="0">
      <sharedItems containsNonDate="0" containsString="0" containsBlank="1"/>
    </cacheField>
    <cacheField name="Overall, how satisfied are you with your B&amp;H return experience?" numFmtId="0">
      <sharedItems containsNonDate="0" containsString="0" containsBlank="1"/>
    </cacheField>
    <cacheField name="How satisfied were you with the speed of the return or exchange process?" numFmtId="0">
      <sharedItems containsNonDate="0" containsString="0" containsBlank="1"/>
    </cacheField>
    <cacheField name="Clarity of information provided by Representative" numFmtId="0">
      <sharedItems containsNonDate="0" containsString="0" containsBlank="1"/>
    </cacheField>
    <cacheField name="How did you initiate your returns or exchange request?" numFmtId="0">
      <sharedItems containsNonDate="0" containsString="0" containsBlank="1"/>
    </cacheField>
    <cacheField name="Ease of Requesting the Return Online" numFmtId="0">
      <sharedItems containsNonDate="0" containsString="0" containsBlank="1"/>
    </cacheField>
    <cacheField name="Return Policy" numFmtId="0">
      <sharedItems containsNonDate="0" containsString="0" containsBlank="1"/>
    </cacheField>
    <cacheField name="Speed of Return Process" numFmtId="0">
      <sharedItems containsNonDate="0" containsString="0" containsBlank="1"/>
    </cacheField>
    <cacheField name="Ease of Requesting the Return by Phone" numFmtId="0">
      <sharedItems containsNonDate="0" containsString="0" containsBlank="1"/>
    </cacheField>
    <cacheField name="Wait Time to Speak with a Representative" numFmtId="0">
      <sharedItems containsNonDate="0" containsString="0" containsBlank="1"/>
    </cacheField>
    <cacheField name="Courtesy of the Representative" numFmtId="0">
      <sharedItems containsNonDate="0" containsString="0" containsBlank="1"/>
    </cacheField>
    <cacheField name="Knowledge of the Representative" numFmtId="0">
      <sharedItems containsNonDate="0" containsString="0" containsBlank="1"/>
    </cacheField>
    <cacheField name="Clarity of Return Instructions" numFmtId="0">
      <sharedItems containsNonDate="0" containsString="0" containsBlank="1"/>
    </cacheField>
    <cacheField name="Return Policy2" numFmtId="0">
      <sharedItems containsNonDate="0" containsString="0" containsBlank="1"/>
    </cacheField>
    <cacheField name="Speed of Return Process2" numFmtId="0">
      <sharedItems containsNonDate="0" containsString="0" containsBlank="1"/>
    </cacheField>
    <cacheField name="Ease of Requesting the Return by Email" numFmtId="0">
      <sharedItems containsNonDate="0" containsString="0" containsBlank="1"/>
    </cacheField>
    <cacheField name="Timeliness of the Email Response" numFmtId="0">
      <sharedItems containsNonDate="0" containsString="0" containsBlank="1"/>
    </cacheField>
    <cacheField name="Courtesy of the Representative2" numFmtId="0">
      <sharedItems containsNonDate="0" containsString="0" containsBlank="1"/>
    </cacheField>
    <cacheField name="Knowledge of the Representative2" numFmtId="0">
      <sharedItems containsNonDate="0" containsString="0" containsBlank="1"/>
    </cacheField>
    <cacheField name="Clarity of Return Instructions2" numFmtId="0">
      <sharedItems containsNonDate="0" containsString="0" containsBlank="1"/>
    </cacheField>
    <cacheField name="Return Policy3" numFmtId="0">
      <sharedItems containsNonDate="0" containsString="0" containsBlank="1"/>
    </cacheField>
    <cacheField name="Speed of Return Process3" numFmtId="0">
      <sharedItems containsNonDate="0" containsString="0" containsBlank="1"/>
    </cacheField>
    <cacheField name="Ease of Requesting a Return by Chat" numFmtId="0">
      <sharedItems containsNonDate="0" containsString="0" containsBlank="1"/>
    </cacheField>
    <cacheField name="Wait Time to Chat with a Representative" numFmtId="0">
      <sharedItems containsNonDate="0" containsString="0" containsBlank="1"/>
    </cacheField>
    <cacheField name="Courtesy of the Representative3" numFmtId="0">
      <sharedItems containsNonDate="0" containsString="0" containsBlank="1"/>
    </cacheField>
    <cacheField name="Knowledge of the Representative3" numFmtId="0">
      <sharedItems containsNonDate="0" containsString="0" containsBlank="1"/>
    </cacheField>
    <cacheField name="Clarity of Return Instructions3" numFmtId="0">
      <sharedItems containsNonDate="0" containsString="0" containsBlank="1"/>
    </cacheField>
    <cacheField name="Return Policy4" numFmtId="0">
      <sharedItems containsNonDate="0" containsString="0" containsBlank="1"/>
    </cacheField>
    <cacheField name="Speed of Return Process4" numFmtId="0">
      <sharedItems containsNonDate="0" containsString="0" containsBlank="1"/>
    </cacheField>
    <cacheField name="After your return was submitted, did anyone from the B&amp;H Returns Department reach out to you concerning your exchange or return?" numFmtId="0">
      <sharedItems containsNonDate="0" containsString="0" containsBlank="1"/>
    </cacheField>
    <cacheField name="Courtesy of the Representative4" numFmtId="0">
      <sharedItems containsNonDate="0" containsString="0" containsBlank="1"/>
    </cacheField>
    <cacheField name="Knowledge of the Representative4" numFmtId="0">
      <sharedItems containsNonDate="0" containsString="0" containsBlank="1"/>
    </cacheField>
    <cacheField name="Clarity of Return Instructions4" numFmtId="0">
      <sharedItems containsNonDate="0" containsString="0" containsBlank="1"/>
    </cacheField>
    <cacheField name="Was your return issue resolved?" numFmtId="0">
      <sharedItems containsNonDate="0" containsString="0" containsBlank="1"/>
    </cacheField>
    <cacheField name="Unsubscribe Reasons - Marketing" numFmtId="0">
      <sharedItems containsNonDate="0" containsString="0" containsBlank="1"/>
    </cacheField>
    <cacheField name="Unsubscribe Reasons - Email" numFmtId="0">
      <sharedItems containsNonDate="0" containsString="0" containsBlank="1"/>
    </cacheField>
    <cacheField name="Please select the primary reason you contacted Customer Service:" numFmtId="0">
      <sharedItems containsNonDate="0" containsString="0" containsBlank="1"/>
    </cacheField>
    <cacheField name="Please tell us how you contacted Customer Service." numFmtId="0">
      <sharedItems containsNonDate="0" containsString="0" containsBlank="1"/>
    </cacheField>
    <cacheField name="Phone Wait Time" numFmtId="0">
      <sharedItems containsNonDate="0" containsString="0" containsBlank="1"/>
    </cacheField>
    <cacheField name="Email Wait Time" numFmtId="0">
      <sharedItems containsNonDate="0" containsString="0" containsBlank="1"/>
    </cacheField>
    <cacheField name="Live Chat Wait Time" numFmtId="0">
      <sharedItems containsNonDate="0" containsString="0" containsBlank="1"/>
    </cacheField>
    <cacheField name="Courtesy" numFmtId="0">
      <sharedItems containsNonDate="0" containsString="0" containsBlank="1"/>
    </cacheField>
    <cacheField name="Knowledge to resolve your issue" numFmtId="0">
      <sharedItems containsNonDate="0" containsString="0" containsBlank="1"/>
    </cacheField>
    <cacheField name="Clarity of information provided" numFmtId="0">
      <sharedItems containsNonDate="0" containsString="0" containsBlank="1"/>
    </cacheField>
    <cacheField name="Was your inquiry resolved? (CS)" numFmtId="0">
      <sharedItems containsNonDate="0" containsString="0" containsBlank="1"/>
    </cacheField>
    <cacheField name="Before contacting Customer Service, did you try to resolve your inquiry by accessing information on the B&amp;H website?" numFmtId="0">
      <sharedItems containsNonDate="0" containsString="0" containsBlank="1"/>
    </cacheField>
    <cacheField name="Cust Response Requested" numFmtId="0">
      <sharedItems containsNonDate="0" containsString="0" containsBlank="1"/>
    </cacheField>
    <cacheField name="Was your issue resolved? (EA)" numFmtId="0">
      <sharedItems containsNonDate="0" containsString="0" containsBlank="1"/>
    </cacheField>
    <cacheField name="Was this the first time you contacted B&amp;H concerning this inquiry?" numFmtId="0">
      <sharedItems containsNonDate="0" containsString="0" containsBlank="1"/>
    </cacheField>
    <cacheField name="If your inquiry required a B&amp;H follow-up then please rate your satisfaction" numFmtId="0">
      <sharedItems containsNonDate="0" containsString="0" containsBlank="1"/>
    </cacheField>
    <cacheField name="How did you contact B&amp;H? (Please select the primary way you contacted us)" numFmtId="0">
      <sharedItems containsNonDate="0" containsString="0" containsBlank="1"/>
    </cacheField>
    <cacheField name="How satisfied are you with the time it took to reach a representative by phone or receive an email response?" numFmtId="0">
      <sharedItems containsNonDate="0" containsString="0" containsBlank="1"/>
    </cacheField>
    <cacheField name="Courtesy2" numFmtId="0">
      <sharedItems containsNonDate="0" containsString="0" containsBlank="1"/>
    </cacheField>
    <cacheField name="Knowledge to resolve your inquiry" numFmtId="0">
      <sharedItems containsNonDate="0" containsString="0" containsBlank="1"/>
    </cacheField>
    <cacheField name="Clarity of information provided2" numFmtId="0">
      <sharedItems containsNonDate="0" containsString="0" containsBlank="1"/>
    </cacheField>
    <cacheField name="Please tell us your primary role or department" numFmtId="0">
      <sharedItems containsNonDate="0" containsString="0" containsBlank="1"/>
    </cacheField>
    <cacheField name="Was your issue resolved? (EA - Phone)" numFmtId="0">
      <sharedItems containsNonDate="0" containsString="0" containsBlank="1"/>
    </cacheField>
    <cacheField name="Was this the first time you contacted B&amp;H concerning this inquiry?" numFmtId="0">
      <sharedItems containsNonDate="0" containsString="0" containsBlank="1"/>
    </cacheField>
    <cacheField name="If your inquiry required a B&amp;H follow-up then please rate your satisfaction2" numFmtId="0">
      <sharedItems containsNonDate="0" containsString="0" containsBlank="1"/>
    </cacheField>
    <cacheField name="How did you contact B&amp;H? (Please select the primary way you contacted us)2" numFmtId="0">
      <sharedItems containsNonDate="0" containsString="0" containsBlank="1"/>
    </cacheField>
    <cacheField name="How satisfied are you with the time it took to reach a representative by phone or receive an email response?2" numFmtId="0">
      <sharedItems containsNonDate="0" containsString="0" containsBlank="1"/>
    </cacheField>
    <cacheField name="Courtesy (EA - Phone)" numFmtId="0">
      <sharedItems containsNonDate="0" containsString="0" containsBlank="1"/>
    </cacheField>
    <cacheField name="Knowledge required to resolve your issue (EA - Phone)" numFmtId="0">
      <sharedItems containsNonDate="0" containsString="0" containsBlank="1"/>
    </cacheField>
    <cacheField name="Clarity of information provided (EA - Phone)" numFmtId="0">
      <sharedItems containsNonDate="0" containsString="0" containsBlank="1"/>
    </cacheField>
    <cacheField name="Please tell us your primary role or department2" numFmtId="0">
      <sharedItems containsNonDate="0" containsString="0" containsBlank="1"/>
    </cacheField>
    <cacheField name="Wait time" numFmtId="0">
      <sharedItems containsNonDate="0" containsString="0" containsBlank="1"/>
    </cacheField>
    <cacheField name="Courtesy3" numFmtId="0">
      <sharedItems containsNonDate="0" containsString="0" containsBlank="1"/>
    </cacheField>
    <cacheField name="Knowledge of the products" numFmtId="0">
      <sharedItems containsNonDate="0" containsString="0" containsBlank="1"/>
    </cacheField>
    <cacheField name="Clarity of information provided3" numFmtId="0">
      <sharedItems containsNonDate="0" containsString="0" containsBlank="1"/>
    </cacheField>
    <cacheField name="Quality of recommendation2" numFmtId="0">
      <sharedItems containsNonDate="0" containsString="0" containsBlank="1"/>
    </cacheField>
    <cacheField name="Was your inquiry resolved? (Phone Sales)" numFmtId="0">
      <sharedItems containsNonDate="0" containsString="0" containsBlank="1"/>
    </cacheField>
    <cacheField name="What form of payment did you use for your recent B&amp;H transaction?2" numFmtId="0">
      <sharedItems containsNonDate="0" containsString="0" containsBlank="1"/>
    </cacheField>
    <cacheField name="Have you heard about B&amp;H’s Payboo Credit Card?" numFmtId="0">
      <sharedItems containsNonDate="0" containsString="0" containsBlank="1"/>
    </cacheField>
    <cacheField name="Are you familiar with B&amp;H’s Payboo Credit Card?" numFmtId="0">
      <sharedItems containsNonDate="0" containsString="0" containsBlank="1"/>
    </cacheField>
    <cacheField name="Since you've heard about Payboo but did not use it for your recent transaction,_x000a_please share your reasons (choose all that apply)" numFmtId="0">
      <sharedItems containsNonDate="0" containsString="0" containsBlank="1"/>
    </cacheField>
    <cacheField name="Please let us know how you learned about Payboo?2" numFmtId="0">
      <sharedItems containsNonDate="0" containsString="0" containsBlank="1"/>
    </cacheField>
    <cacheField name="How did you learn about the Tech Corner?" numFmtId="0">
      <sharedItems containsNonDate="0" containsString="0" containsBlank="1"/>
    </cacheField>
    <cacheField name="How many times have you used Tech Corner?" numFmtId="0">
      <sharedItems containsNonDate="0" containsString="0" containsBlank="1"/>
    </cacheField>
    <cacheField name="Please rate your level of Experience" numFmtId="0">
      <sharedItems containsNonDate="0" containsString="0" containsBlank="1"/>
    </cacheField>
    <cacheField name="Ease of scheduling" numFmtId="0">
      <sharedItems containsNonDate="0" containsString="0" containsBlank="1"/>
    </cacheField>
    <cacheField name="Courtesy of Product Expert" numFmtId="0">
      <sharedItems containsNonDate="0" containsString="0" containsBlank="1"/>
    </cacheField>
    <cacheField name="Knowledge of Product Expert" numFmtId="0">
      <sharedItems containsNonDate="0" containsString="0" containsBlank="1"/>
    </cacheField>
    <cacheField name="We had sufficient time in my Tech Corner session to address the issue/s that I_x000a_wanted to discuss." numFmtId="0">
      <sharedItems containsNonDate="0" containsString="0" containsBlank="1"/>
    </cacheField>
    <cacheField name="Was your inquiry resolved? (Tech Corner)" numFmtId="0">
      <sharedItems containsNonDate="0" containsString="0" containsBlank="1"/>
    </cacheField>
    <cacheField name="Please enter your email address." numFmtId="0">
      <sharedItems containsNonDate="0" containsString="0" containsBlank="1"/>
    </cacheField>
    <cacheField name="How did you get your quote? " numFmtId="0">
      <sharedItems containsBlank="1"/>
    </cacheField>
    <cacheField name="How satisfied are you with the price you received for your pre-owned gear?" numFmtId="0">
      <sharedItems containsBlank="1" containsMixedTypes="1" containsNumber="1" containsInteger="1" minValue="1" maxValue="5"/>
    </cacheField>
    <cacheField name="Ease of getting a quote in the store" numFmtId="0">
      <sharedItems containsNonDate="0" containsString="0" containsBlank="1"/>
    </cacheField>
    <cacheField name="Wait time to speak with a Product Specialist" numFmtId="0">
      <sharedItems containsNonDate="0" containsString="0" containsBlank="1"/>
    </cacheField>
    <cacheField name="Product Specialist knowledge" numFmtId="0">
      <sharedItems containsNonDate="0" containsString="0" containsBlank="1"/>
    </cacheField>
    <cacheField name="Product Specialist courtesy" numFmtId="0">
      <sharedItems containsNonDate="0" containsString="0" containsBlank="1"/>
    </cacheField>
    <cacheField name="Ease to find your item on the web" numFmtId="0">
      <sharedItems containsBlank="1" containsMixedTypes="1" containsNumber="1" containsInteger="1" minValue="1" maxValue="5"/>
    </cacheField>
    <cacheField name="Ease of getting a quote online" numFmtId="0">
      <sharedItems containsBlank="1" containsMixedTypes="1" containsNumber="1" containsInteger="1" minValue="1" maxValue="5"/>
    </cacheField>
    <cacheField name="Ease of getting a quote on the phone" numFmtId="0">
      <sharedItems containsNonDate="0" containsString="0" containsBlank="1"/>
    </cacheField>
    <cacheField name="Wait time to speak with a Product Specialist2" numFmtId="0">
      <sharedItems containsNonDate="0" containsString="0" containsBlank="1"/>
    </cacheField>
    <cacheField name="Product Specialist knowledge2" numFmtId="0">
      <sharedItems containsNonDate="0" containsString="0" containsBlank="1"/>
    </cacheField>
    <cacheField name="Product Specialist courtesy2" numFmtId="0">
      <sharedItems containsNonDate="0" containsString="0" containsBlank="1"/>
    </cacheField>
    <cacheField name="Ease of getting a quote via email" numFmtId="0">
      <sharedItems containsNonDate="0" containsString="0" containsBlank="1"/>
    </cacheField>
    <cacheField name="The time it took to get an email response from a Product Specialist" numFmtId="0">
      <sharedItems containsNonDate="0" containsString="0" containsBlank="1"/>
    </cacheField>
    <cacheField name="Overall, how satisfied are you with your post-quote experience?" numFmtId="0">
      <sharedItems containsBlank="1" containsMixedTypes="1" containsNumber="1" containsInteger="1" minValue="1" maxValue="5"/>
    </cacheField>
    <cacheField name="Updates provided concerning your quote status" numFmtId="0">
      <sharedItems containsBlank="1" containsMixedTypes="1" containsNumber="1" containsInteger="1" minValue="1" maxValue="5"/>
    </cacheField>
    <cacheField name="Ease of completing your transaction" numFmtId="0">
      <sharedItems containsBlank="1" containsMixedTypes="1" containsNumber="1" containsInteger="1" minValue="1" maxValue="5"/>
    </cacheField>
    <cacheField name="Time it took to receive payment" numFmtId="0">
      <sharedItems containsBlank="1" containsMixedTypes="1" containsNumber="1" containsInteger="1" minValue="1" maxValue="5"/>
    </cacheField>
    <cacheField name="Our staff acted in a courteous manner" numFmtId="0">
      <sharedItems containsNonDate="0" containsString="0" containsBlank="1"/>
    </cacheField>
    <cacheField name="The wait time to speak with our sales staff" numFmtId="0">
      <sharedItems containsNonDate="0" containsString="0" containsBlank="1"/>
    </cacheField>
    <cacheField name="The sales staff showed sufficient knowledge" numFmtId="0">
      <sharedItems containsNonDate="0" containsString="0" containsBlank="1"/>
    </cacheField>
    <cacheField name="Were there item(s) you were interested in purchasing but could not?" numFmtId="0">
      <sharedItems containsNonDate="0" containsString="0" containsBlank="1"/>
    </cacheField>
    <cacheField name="Please tell us the reason you did not purchase the item(s) you were interested in." numFmtId="0">
      <sharedItems containsNonDate="0" containsString="0" containsBlank="1"/>
    </cacheField>
    <cacheField name="How satisfied are you with the time it took to reach a B&amp;H product expert?" numFmtId="0">
      <sharedItems containsNonDate="0" containsString="0" containsBlank="1"/>
    </cacheField>
    <cacheField name="Courtesy4" numFmtId="0">
      <sharedItems containsNonDate="0" containsString="0" containsBlank="1"/>
    </cacheField>
    <cacheField name="Knowledge of the products2" numFmtId="0">
      <sharedItems containsNonDate="0" containsString="0" containsBlank="1"/>
    </cacheField>
    <cacheField name="Clarity of information provided4" numFmtId="0">
      <sharedItems containsNonDate="0" containsString="0" containsBlank="1"/>
    </cacheField>
    <cacheField name="Quality of recommendation3" numFmtId="0">
      <sharedItems containsNonDate="0" containsString="0" containsBlank="1"/>
    </cacheField>
    <cacheField name="Showed empathy" numFmtId="0">
      <sharedItems containsNonDate="0" containsString="0" containsBlank="1"/>
    </cacheField>
    <cacheField name="Was your inquiry resolved?" numFmtId="0">
      <sharedItems containsNonDate="0" containsString="0" containsBlank="1"/>
    </cacheField>
    <cacheField name="Was there anything that prevented you from placing an order during your B&amp;H phone call?" numFmtId="0">
      <sharedItems containsNonDate="0" containsString="0" containsBlank="1"/>
    </cacheField>
    <cacheField name="You indicated the product you wanted was not available, did the product expert offer to find alternative available products for you?" numFmtId="0">
      <sharedItems containsNonDate="0" containsString="0" containsBlank="1"/>
    </cacheField>
    <cacheField name="How satisfied were you with the streaming quality (audio &amp; video)?" numFmtId="0">
      <sharedItems containsNonDate="0" containsString="0" containsBlank="1"/>
    </cacheField>
    <cacheField name="Wait Time (Live Chat)" numFmtId="0">
      <sharedItems containsNonDate="0" containsString="0" containsBlank="1"/>
    </cacheField>
    <cacheField name="Courtesy (Live Chat)" numFmtId="0">
      <sharedItems containsNonDate="0" containsString="0" containsBlank="1"/>
    </cacheField>
    <cacheField name="Knowledge (Live Chat)" numFmtId="0">
      <sharedItems containsNonDate="0" containsString="0" containsBlank="1"/>
    </cacheField>
    <cacheField name="Quality of Recommendation4" numFmtId="0">
      <sharedItems containsNonDate="0" containsString="0" containsBlank="1"/>
    </cacheField>
    <cacheField name="Was your inquiry resolved? (LC Video)" numFmtId="0">
      <sharedItems containsNonDate="0" containsString="0" containsBlank="1"/>
    </cacheField>
    <cacheField name="How satisfied are you with the time it took to connect with your video live chat representative?" numFmtId="0">
      <sharedItems containsNonDate="0" containsString="0" containsBlank="1"/>
    </cacheField>
    <cacheField name="Was your inquiry resolved? (LC Sales)" numFmtId="0">
      <sharedItems containsNonDate="0" containsString="0" containsBlank="1"/>
    </cacheField>
    <cacheField name="Clarity of information provided (Live Chat)" numFmtId="0">
      <sharedItems containsNonDate="0" containsString="0" containsBlank="1"/>
    </cacheField>
    <cacheField name="Was your inquiry resolved? (Live Chat CS)" numFmtId="0">
      <sharedItems containsNonDate="0" containsString="0" containsBlank="1"/>
    </cacheField>
    <cacheField name="How did you learn about Live Video Chat?" numFmtId="0">
      <sharedItems containsNonDate="0" containsString="0" containsBlank="1"/>
    </cacheField>
    <cacheField name="How did you learn about Live Video Chat: Other" numFmtId="0">
      <sharedItems containsNonDate="0" containsString="0" containsBlank="1"/>
    </cacheField>
    <cacheField name="How many times have you used B&amp;H's Live Video Chat?" numFmtId="0">
      <sharedItems containsNonDate="0" containsString="0" containsBlank="1"/>
    </cacheField>
    <cacheField name="¿Se resolvió su consulta?" numFmtId="0">
      <sharedItems containsNonDate="0" containsString="0" containsBlank="1"/>
    </cacheField>
    <cacheField name="Digital Satisfaction" numFmtId="0">
      <sharedItems containsNonDate="0" containsString="0" containsBlank="1"/>
    </cacheField>
    <cacheField name="​" numFmtId="0">
      <sharedItems containsNonDate="0" containsString="0" containsBlank="1"/>
    </cacheField>
    <cacheField name="Customer response requested:" numFmtId="0">
      <sharedItems containsNonDate="0" containsString="0" containsBlank="1"/>
    </cacheField>
    <cacheField name="Overall, how satisfied are you with your recent Central Purchasing experience?" numFmtId="0">
      <sharedItems containsNonDate="0" containsString="0" containsBlank="1"/>
    </cacheField>
    <cacheField name="The professionalism of the Central Purchasing representative." numFmtId="0">
      <sharedItems containsNonDate="0" containsString="0" containsBlank="1"/>
    </cacheField>
    <cacheField name="The timeliness of our responses to your phone calls and emails." numFmtId="0">
      <sharedItems containsNonDate="0" containsString="0" containsBlank="1"/>
    </cacheField>
    <cacheField name="The time it took to receive your product." numFmtId="0">
      <sharedItems containsNonDate="0" containsString="0" containsBlank="1"/>
    </cacheField>
    <cacheField name="Have you ever utilized the Central Purchasing Intranet page?" numFmtId="0">
      <sharedItems containsNonDate="0" containsString="0" containsBlank="1"/>
    </cacheField>
    <cacheField name="How satisfied were you with the information and tools?" numFmtId="0">
      <sharedItems containsNonDate="0" containsString="0" containsBlank="1"/>
    </cacheField>
    <cacheField name="Likely To Recommend2" numFmtId="0">
      <sharedItems containsNonDate="0" containsString="0" containsBlank="1"/>
    </cacheField>
    <cacheField name="How likely are you to recommend our products to a friend or colleague?" numFmtId="0">
      <sharedItems containsNonDate="0" containsString="0" containsBlank="1"/>
    </cacheField>
    <cacheField name="Overall, how satisfied are you with your recent Customer Service experience?" numFmtId="0">
      <sharedItems containsNonDate="0" containsString="0" containsBlank="1"/>
    </cacheField>
    <cacheField name="Please tell us how you contacted our Customer Service." numFmtId="0">
      <sharedItems containsNonDate="0" containsString="0" containsBlank="1"/>
    </cacheField>
    <cacheField name="How satisfied are you with the wait time to speak with a representative." numFmtId="0">
      <sharedItems containsNonDate="0" containsString="0" containsBlank="1"/>
    </cacheField>
    <cacheField name="How satisfied are you with the wait time for a response to your inquiry?" numFmtId="0">
      <sharedItems containsNonDate="0" containsString="0" containsBlank="1"/>
    </cacheField>
    <cacheField name="Please select the primary reason you contacted Customer Service." numFmtId="0">
      <sharedItems containsNonDate="0" containsString="0" containsBlank="1"/>
    </cacheField>
    <cacheField name="Courtesy5" numFmtId="0">
      <sharedItems containsNonDate="0" containsString="0" containsBlank="1"/>
    </cacheField>
    <cacheField name="Knowledge needed to resolve your issue." numFmtId="0">
      <sharedItems containsNonDate="0" containsString="0" containsBlank="1"/>
    </cacheField>
    <cacheField name="Clarity of information provided." numFmtId="0">
      <sharedItems containsNonDate="0" containsString="0" containsBlank="1"/>
    </cacheField>
    <cacheField name="Did you need:" numFmtId="0">
      <sharedItems containsNonDate="0" containsString="0" containsBlank="1"/>
    </cacheField>
    <cacheField name="_x000a__x000a__x000a_Did your product/s require: (choose all that apply)" numFmtId="0">
      <sharedItems containsNonDate="0" containsString="0" containsBlank="1"/>
    </cacheField>
    <cacheField name="_x000a__x000a__x000a__x000a__x000a__x000a_Was your inquiry resolved?" numFmtId="0">
      <sharedItems containsNonDate="0" containsString="0" containsBlank="1"/>
    </cacheField>
    <cacheField name="Please tell us how you learned about Payboo?" numFmtId="0">
      <sharedItems containsNonDate="0" containsString="0" containsBlank="1"/>
    </cacheField>
    <cacheField name="Did you encounter any obstacles when applying for Payboo?" numFmtId="0">
      <sharedItems containsNonDate="0" containsString="0" containsBlank="1"/>
    </cacheField>
    <cacheField name="How satisfied are you with the credit limit you received?" numFmtId="0">
      <sharedItems containsNonDate="0" containsString="0" containsBlank="1"/>
    </cacheField>
    <cacheField name="Have you contacted B&amp;H’s customer service regarding Payboo?" numFmtId="0">
      <sharedItems containsNonDate="0" containsString="0" containsBlank="1"/>
    </cacheField>
    <cacheField name="How satisfied are you with B&amp;H’s Payboo customer support?" numFmtId="0">
      <sharedItems containsNonDate="0" containsString="0" containsBlank="1"/>
    </cacheField>
    <cacheField name="Have you contacted Comenity customer support?" numFmtId="0">
      <sharedItems containsNonDate="0" containsString="0" containsBlank="1"/>
    </cacheField>
    <cacheField name="How satisfied are you with Comenity’s customer support?" numFmtId="0">
      <sharedItems containsNonDate="0" containsString="0" containsBlank="1"/>
    </cacheField>
    <cacheField name="Did the customer purchase the order?" numFmtId="0">
      <sharedItems containsNonDate="0" containsString="0" containsBlank="1"/>
    </cacheField>
    <cacheField name="Overall, how satisfied are you with your recent experience?" numFmtId="0">
      <sharedItems containsNonDate="0" containsString="0" containsBlank="1"/>
    </cacheField>
    <cacheField name="Provided a clear and understandable reason for the decision" numFmtId="0">
      <sharedItems containsNonDate="0" containsString="0" containsBlank="1"/>
    </cacheField>
    <cacheField name="What was the main reason you did not complete your purchase?" numFmtId="0">
      <sharedItems containsNonDate="0" containsString="0" containsBlank="1"/>
    </cacheField>
    <cacheField name="Have you heard about B&amp;H’s Product Experts who can give you free, unbiased advice and solutions via phone, chat, email, video chat, and in person at our NYC store?" numFmtId="0">
      <sharedItems containsNonDate="0" containsString="0" containsBlank="1"/>
    </cacheField>
    <cacheField name="Have you ever interacted with one of B&amp;H’s Product Experts?" numFmtId="0">
      <sharedItems containsNonDate="0" containsString="0" containsBlank="1"/>
    </cacheField>
    <cacheField name="Have you heard about B&amp;H’s Payboo Credit Card and how you can Save the Tax with Payboo?" numFmtId="0">
      <sharedItems containsNonDate="0" containsString="0" containsBlank="1"/>
    </cacheField>
    <cacheField name="Did you experience any issues with the checkout process?" numFmtId="0">
      <sharedItems containsNonDate="0" containsString="0" containsBlank="1"/>
    </cacheField>
    <cacheField name="Rating3" numFmtId="0">
      <sharedItems containsNonDate="0" containsString="0" containsBlank="1"/>
    </cacheField>
    <cacheField name="The carrier2" numFmtId="0">
      <sharedItems containsNonDate="0" containsString="0" containsBlank="1"/>
    </cacheField>
    <cacheField name="The condition of the shipping box2" numFmtId="0">
      <sharedItems containsNonDate="0" containsString="0" containsBlank="1"/>
    </cacheField>
    <cacheField name="The packing of the product2" numFmtId="0">
      <sharedItems containsNonDate="0" containsString="0" containsBlank="1"/>
    </cacheField>
    <cacheField name="The condition of the items " numFmtId="0">
      <sharedItems containsNonDate="0" containsString="0" containsBlank="1"/>
    </cacheField>
    <cacheField name="The accuracy of the product condition rating" numFmtId="0">
      <sharedItems containsNonDate="0" containsString="0" containsBlank="1"/>
    </cacheField>
    <cacheField name="Communication during the shipment process2" numFmtId="0">
      <sharedItems containsNonDate="0" containsString="0" containsBlank="1"/>
    </cacheField>
    <cacheField name="Did the Used item/s in your order meet or exceed the condition rating associated with your item/s?" numFmtId="0">
      <sharedItems containsNonDate="0" containsString="0" containsBlank="1"/>
    </cacheField>
    <cacheField name="The ease of finding the Used item you were looking for" numFmtId="0">
      <sharedItems containsNonDate="0" containsString="0" containsBlank="1"/>
    </cacheField>
    <cacheField name="The availability of Used products" numFmtId="0">
      <sharedItems containsNonDate="0" containsString="0" containsBlank="1"/>
    </cacheField>
    <cacheField name="Product reviews3" numFmtId="0">
      <sharedItems containsNonDate="0" containsString="0" containsBlank="1"/>
    </cacheField>
    <cacheField name="Product overviews and specifications" numFmtId="0">
      <sharedItems containsNonDate="0" containsString="0" containsBlank="1"/>
    </cacheField>
    <cacheField name="The clarity of product condition ratings" numFmtId="0">
      <sharedItems containsNonDate="0" containsString="0" containsBlank="1"/>
    </cacheField>
    <cacheField name="Q&amp;A's3" numFmtId="0">
      <sharedItems containsNonDate="0" containsString="0" containsBlank="1"/>
    </cacheField>
    <cacheField name="The ease of accessing expert help" numFmtId="0">
      <sharedItems containsNonDate="0" containsString="0" containsBlank="1"/>
    </cacheField>
    <cacheField name="Used product images" numFmtId="0">
      <sharedItems containsNonDate="0" containsString="0" containsBlank="1"/>
    </cacheField>
    <cacheField name="Clarity of shipping cost, delivery times, and options3" numFmtId="0">
      <sharedItems containsNonDate="0" containsString="0" containsBlank="1"/>
    </cacheField>
    <cacheField name="The pricing of Used items" numFmtId="0">
      <sharedItems containsNonDate="0" containsString="0" containsBlank="1"/>
    </cacheField>
    <cacheField name="The ease of checkout" numFmtId="0">
      <sharedItems containsNonDate="0" containsString="0" containsBlank="1"/>
    </cacheField>
    <cacheField name="May we send you a follow-up survey once you receive your purchase?2" numFmtId="0">
      <sharedItems containsNonDate="0" containsString="0" containsBlank="1"/>
    </cacheField>
    <cacheField name="Have you heard about B&amp;H’s Payboo Credit Card?2" numFmtId="0">
      <sharedItems containsNonDate="0" containsString="0" containsBlank="1"/>
    </cacheField>
    <cacheField name="Are you familiar with B&amp;H’s Payboo Credit Card?2" numFmtId="0">
      <sharedItems containsNonDate="0" containsString="0" containsBlank="1"/>
    </cacheField>
    <cacheField name="Since you are familiar with Payboo but did not use it for your recent_x000a_transaction, please share your reasons (choose all that apply)" numFmtId="0">
      <sharedItems containsNonDate="0" containsString="0" containsBlank="1"/>
    </cacheField>
    <cacheField name="_x000a__x000a__x000a_Please let us know how you learned about Payboo?2" numFmtId="0">
      <sharedItems containsNonDate="0" containsString="0" containsBlank="1"/>
    </cacheField>
    <cacheField name="Please select your department:" numFmtId="0">
      <sharedItems containsNonDate="0" containsString="0" containsBlank="1"/>
    </cacheField>
    <cacheField name="I was able to deliver on our brand promise today." numFmtId="0">
      <sharedItems containsNonDate="0" containsString="0" containsBlank="1"/>
    </cacheField>
    <cacheField name="What is the feedback about?" numFmtId="0">
      <sharedItems containsNonDate="0" containsString="0" containsBlank="1"/>
    </cacheField>
    <cacheField name="Would you like a response?" numFmtId="0">
      <sharedItems containsNonDate="0" containsString="0" containsBlank="1"/>
    </cacheField>
    <cacheField name="How professional and courteous was the staff throughout your visit?" numFmtId="0">
      <sharedItems containsNonDate="0" containsString="0" containsBlank="1"/>
    </cacheField>
    <cacheField name="How clearly did the staff set your expectations for the film development / photo printing process?" numFmtId="0">
      <sharedItems containsNonDate="0" containsString="0" containsBlank="1"/>
    </cacheField>
    <cacheField name="How well did we identify and address your specific film development / photo printing needs?" numFmtId="0">
      <sharedItems containsNonDate="0" containsString="0" containsBlank="1"/>
    </cacheField>
    <cacheField name="How satisfied were you with the turnaround time for your film?" numFmtId="0">
      <sharedItems containsNonDate="0" containsString="0" containsBlank="1"/>
    </cacheField>
    <cacheField name="Was your order ready when promised?" numFmtId="0">
      <sharedItems containsNonDate="0" containsString="0" containsBlank="1"/>
    </cacheField>
    <cacheField name="How would you rate the quality?" numFmtId="0">
      <sharedItems containsNonDate="0" containsString="0" containsBlank="1"/>
    </cacheField>
    <cacheField name="How satisfied were you with the packaging and condition of your returned_x000a_film? (Select N/A if digital only)" numFmtId="0">
      <sharedItems containsNonDate="0" containsString="0" containsBlank="1"/>
    </cacheField>
    <cacheField name="How satisfied were you with the cost of the film development / photo printing service?" numFmtId="0">
      <sharedItems containsNonDate="0" containsString="0" containsBlank="1"/>
    </cacheField>
    <cacheField name="Topics Tagged Original" numFmtId="0">
      <sharedItems containsBlank="1"/>
    </cacheField>
    <cacheField name="Topics Tagged After Manual Updates" numFmtId="0">
      <sharedItems containsBlank="1" longText="1"/>
    </cacheField>
    <cacheField name="Topic Review Required" numFmtId="0">
      <sharedItems containsNonDate="0" containsString="0" containsBlank="1"/>
    </cacheField>
    <cacheField name="Recognition sentiment types" numFmtId="0">
      <sharedItems containsBlank="1"/>
    </cacheField>
    <cacheField name="Combined Topics and Sentiments Tagged Original" numFmtId="0">
      <sharedItems containsBlank="1" longText="1"/>
    </cacheField>
    <cacheField name="Combined Topics and Sentiment Tagged After Manual Updates" numFmtId="0">
      <sharedItems containsBlank="1" longText="1"/>
    </cacheField>
    <cacheField name="Topics Update Manually" numFmtId="0">
      <sharedItems containsBlank="1"/>
    </cacheField>
    <cacheField name="Manual Sentiment Override Applied" numFmtId="0">
      <sharedItems containsBlank="1"/>
    </cacheField>
    <cacheField name="Please tell us more: (Required)" numFmtId="0">
      <sharedItems containsNonDate="0" containsString="0" containsBlank="1"/>
    </cacheField>
    <cacheField name="Theme 1" numFmtId="0">
      <sharedItems containsBlank="1" count="47">
        <s v="Hassle-free/easy/straightforward/fast process"/>
        <s v="Hassle-free/easy/straightforward process"/>
        <s v="Requires too many shipping labels/boxes to send used item"/>
        <s v="Fair/honest price (trust signal)"/>
        <s v="Likes selling accessories with main item"/>
        <s v="Hassle-free/flawless/easy/straightforward/fast/efficient/streamlined process"/>
        <s v="Likes online quote"/>
        <s v="Great customer support/friendly staff"/>
        <s v="Honored price quote"/>
        <s v="Wants a save and return option for online quotes"/>
        <s v="Great/competitive/fair/accurate product valuation"/>
        <s v="Wants an online status update tool (instead of email updates)"/>
        <s v="B&amp;H is trustworthy/honest"/>
        <s v="Easy to get quote online"/>
        <s v="Hassle-free/flawless/easy/straightforward/fast process"/>
        <s v="B&amp;H is trustworthy/honest/great"/>
        <s v="B&amp;H is trustworthy/honest/great/reliable"/>
        <s v="B&amp;H is trustworthy"/>
        <s v="Wants a final sale confirmation price before transaction is finalized"/>
        <s v="Wants to be paid through direct deposit, ACH, electronic funds transfer (or faster/secure method)"/>
        <s v="Slow evaluation process"/>
        <s v="Easy shipping process/likes prepaid label/free shipping"/>
        <s v="Liked explanation/transparency around valuation (difference between quote and actual valuation)"/>
        <s v="Hassle-free/flawless/easy/straightforward/fast/efficient process"/>
        <s v="B&amp;H rejected used product"/>
        <s v="Hassle-free/flawless/easy/straightforward/fast/efficient/streamlined/convenient process"/>
        <s v="Easy to navigate site"/>
        <s v="Professional, experienced staff (trust signal)"/>
        <s v="Fair price (trust signal)"/>
        <s v="Low product valuation"/>
        <s v="Likes trade-in benefts"/>
        <s v="Responsive/fast/great/excellent communication"/>
        <s v="Wants to use trade-in store credit online (instead of having to call in)"/>
        <s v="Unclear if customer can submit quote when checkout is closed"/>
        <s v="Professional, experienced, trustworthy staff (trust signal)"/>
        <s v="Slow payment"/>
        <s v="Liked receiving status updates"/>
        <s v="Fast payment"/>
        <s v="Received higher product valuation (than online quote) post-inspection (trust signal)"/>
        <s v="B&amp;H is trustworthy/honest/great/reliable/best"/>
        <s v="Couldn't find the product (customer was trying to sell) in the used search bar"/>
        <s v="Likes being able to do everything online (convenience of online sale)"/>
        <s v="Great/competitive product valuation"/>
        <s v="Liked having a valuation estimate with online quote"/>
        <s v="Easy/fast shipping process/likes prepaid label/free shipping"/>
        <s v="Fair/honest/clear price (trust signal)"/>
        <m/>
      </sharedItems>
    </cacheField>
    <cacheField name="Theme 2" numFmtId="0">
      <sharedItems containsBlank="1" count="66">
        <m/>
        <s v="Can't revisit/look up transaction details after submitting sale confirmation "/>
        <s v="Great customer support/friendly staff"/>
        <s v="Unclear of differences between trade-in credit and check"/>
        <s v="Slow evaluation process"/>
        <s v="Poor/buggy search function"/>
        <s v="Fair/honest price (trust signal)"/>
        <s v="Wants B&amp;H to take a wider array of used products"/>
        <s v="Low product valuation"/>
        <s v="Honored price quote"/>
        <s v="Easy shipping process/likes prepaid label"/>
        <s v="Slow payment"/>
        <s v="Fast payment"/>
        <s v="Professional (trust signal)"/>
        <s v="B&amp;H rejected used product"/>
        <s v="Fair price (trust signal)"/>
        <s v="Wants to be paid through direct deposit, ACH, electronic funds transfer (or faster/secure method)"/>
        <s v="Unaware of process delays due to shipping time"/>
        <s v="Great/competitive/fair/accurate product valuation"/>
        <s v="Wants a final sale confirmation price before transaction is finalized"/>
        <s v="Wants trade-in credit to be applied differently"/>
        <s v="Responsive/fast/great/excellent communication"/>
        <s v="Great product valuation"/>
        <s v="Difficult to enter used product if not listed/included in the category search bar "/>
        <s v="Hassle-free/flawless/easy/straightforward/fast/efficient/streamlined process"/>
        <s v="B&amp;H is trustworthy/honest/great/reliable"/>
        <s v="Easy shipping process/likes prepaid label/free shipping"/>
        <s v="Fast communication/responsive"/>
        <s v="Great/competitive product valuation"/>
        <s v="Wants to use trade-in store credit online (instead of having to call in)"/>
        <s v="Had to pay for shipping to get insurance"/>
        <s v="Hassle-free/flawless/easy/straightforward/fast/efficient/streamlined/convenient process"/>
        <s v="Received higher product valuation (than online quote) post-inspection (trust signal)"/>
        <s v="Likes check payment (not being forced to choose store credit)"/>
        <s v="Wants to be paid through direct deposit (or faster/secure method)"/>
        <s v="Liked receiving status updates"/>
        <s v="Wants an online status update tool (instead of email updates)"/>
        <s v="Wants additional incentive for choosing store credit as payment method"/>
        <s v="Didn't know about trade-in program"/>
        <s v="Professional, experienced staff (trust signal)"/>
        <s v="Likes trade-in benefts"/>
        <s v="Wants to be paid through direct deposit, electronic funds transfer (or faster/secure method)"/>
        <s v="Professional, experienced, trustworthy staff (trust signal)"/>
        <s v="Liked explanation/transparency around valuation (difference between quote and actual valuation)"/>
        <s v="Easy/fast shipping process/likes prepaid label/free shipping"/>
        <s v="Doesn't like price quote cut due to missing accessories (battery, charger, etc.)"/>
        <s v="Couldn't find the product (customer was trying to sell) in the used search bar"/>
        <s v="Easy to get quote online"/>
        <s v="B&amp;H is trustworthy/honest/great"/>
        <s v="Hassle-free/easy/straightforward/fast process"/>
        <s v="Wants more transparency around valuation process (specifically why certain products received a price cut or were rejected)"/>
        <s v="Didn't like not having a tracking #/means of tracking payment"/>
        <s v="Slow shipping"/>
        <s v="Hard to find the used sale page on website"/>
        <s v="Easy to use trade-in credit for another purchase"/>
        <s v="Easy to get quote"/>
        <s v="Hard to pack everything into one box"/>
        <s v="Likes online quote"/>
        <s v="Wanted store credit but got check as payment"/>
        <s v="Fair/honest/clear price (trust signal)"/>
        <s v="Price reduction post-inspection"/>
        <s v="Wants a save and return option for online quotes"/>
        <s v="Wants more transparency around valuation process (specifically why certain products received a price cut)"/>
        <s v="B&amp;H is trustworthy/honest/great/reliable/best"/>
        <s v="Wants status updates"/>
        <s v="Simple web interface for used good sale"/>
      </sharedItems>
    </cacheField>
    <cacheField name="Theme 3" numFmtId="0">
      <sharedItems containsBlank="1" count="38">
        <m/>
        <s v="Can't revisit/look up PREVIOUS sale transaction details"/>
        <s v="Wants status updates"/>
        <s v="Easy shipping process/likes prepaid label"/>
        <s v="Slow evaluation process"/>
        <s v="B&amp;H rejected used product"/>
        <s v="Low product valuation"/>
        <s v="Great/competitive product valuation"/>
        <s v="Unfair product valuation"/>
        <s v="Slow payment"/>
        <s v="Great customer support/friendly staff"/>
        <s v="Liked explanation/transparency around valuation (difference between quote and actual valuation)"/>
        <s v="Hassle-free/flawless/easy/straightforward/fast/efficient/streamlined process"/>
        <s v="Responsive/fast/great/excellent communication"/>
        <s v="Didn't know about trade-in program"/>
        <s v="Easy shipping process/likes prepaid label/free shipping"/>
        <s v="Liked having a valuation estimate with online quote"/>
        <s v="Wants a final sale confirmation price before transaction is finalized"/>
        <s v="Liked receiving status updates"/>
        <s v="Wants description of quality ranges online"/>
        <s v="Wants to use trade-in store credit online (instead of having to call in)"/>
        <s v="Buggy/wonky search tool"/>
        <s v="Fast payment"/>
        <s v="Hassle-free/easy/straightforward/fast process"/>
        <s v="Wants an online status update tool (instead of email updates)"/>
        <s v="Couldn't find the product (customer was trying to sell) in the used search bar"/>
        <s v="Doesn't like international shipping fees"/>
        <s v="Fair price (trust signal)"/>
        <s v="Wants more transparency around valuation process (specifically why certain products received a price cut or were rejected)"/>
        <s v="Fair/honest price (trust signal)"/>
        <s v="Likes being able to get an online quote without an account"/>
        <s v="Professional, experienced staff (trust signal)"/>
        <s v="Disagrees with product evaluation"/>
        <s v="Difficult to use online portal"/>
        <s v="Wants transparency about additional incentive for choosing store credit as payment method"/>
        <s v="Received higher product valuation (than online quote) post-inspection (trust signal)"/>
        <s v="Slower than in-person sale"/>
        <s v="Fair/honest/clear price (trust signal)"/>
      </sharedItems>
    </cacheField>
    <cacheField name="Theme 4" numFmtId="0">
      <sharedItems containsBlank="1"/>
    </cacheField>
    <cacheField name="Theme 5" numFmtId="0">
      <sharedItems containsBlank="1" count="6">
        <m/>
        <s v="Low product valuation"/>
        <s v="Slow payment"/>
        <s v="Wants to be paid through direct deposit, ACH, electronic funds transfer (or faster/secure method)"/>
        <s v="Slow evaluation process"/>
        <s v="Honored price quote"/>
      </sharedItems>
    </cacheField>
    <cacheField name="Theme 6" numFmtId="0">
      <sharedItems containsBlank="1" count="2">
        <m/>
        <s v="Wants to be paid through direct deposit, ACH, electronic funds transfer (or faster/secure metho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1">
  <r>
    <s v="Meghan Copenhaver - Used Trade-In Product"/>
    <n v="10"/>
    <n v="5"/>
    <d v="2026-03-04T10:57:13"/>
    <n v="5262075"/>
    <s v="Used Trade-In Product"/>
    <m/>
    <s v="Meghan Copenhaver"/>
    <m/>
    <s v="mcopenhaver@swcenter.edu"/>
    <m/>
    <s v="Abingdon;Virginia;24210"/>
    <m/>
    <m/>
    <s v="No"/>
    <m/>
    <m/>
    <s v="mcopenhaver@swcenter.edu"/>
    <m/>
    <m/>
    <m/>
    <m/>
    <m/>
    <m/>
    <m/>
    <m/>
    <m/>
    <m/>
    <d v="2026-03-04T13:08:05"/>
    <m/>
    <s v="1143280"/>
    <m/>
    <m/>
    <m/>
    <m/>
    <m/>
    <m/>
    <m/>
    <m/>
    <m/>
    <m/>
    <m/>
    <m/>
    <m/>
    <m/>
    <m/>
    <m/>
    <m/>
    <m/>
    <m/>
    <m/>
    <m/>
    <m/>
    <s v="https://bnh.lightning.force.com/001WP00000ttDgSYAU"/>
    <m/>
    <m/>
    <m/>
    <m/>
    <m/>
    <m/>
    <m/>
    <m/>
    <m/>
    <m/>
    <m/>
    <m/>
    <m/>
    <m/>
    <m/>
    <m/>
    <m/>
    <m/>
    <m/>
    <m/>
    <m/>
    <m/>
    <m/>
    <m/>
    <m/>
    <m/>
    <m/>
    <m/>
    <m/>
    <m/>
    <m/>
    <m/>
    <m/>
    <m/>
    <m/>
    <m/>
    <m/>
    <m/>
    <s v="CAD"/>
    <m/>
    <s v="No"/>
    <m/>
    <m/>
    <d v="2026-03-04T11:04:41"/>
    <s v="Promoter"/>
    <s v="New"/>
    <m/>
    <m/>
    <s v="Yes"/>
    <m/>
    <m/>
    <m/>
    <m/>
    <m/>
    <m/>
    <m/>
    <m/>
    <m/>
    <m/>
    <m/>
    <m/>
    <m/>
    <m/>
    <m/>
    <m/>
    <s v="Easy process!"/>
    <m/>
    <m/>
    <m/>
    <m/>
    <s v="None"/>
    <m/>
    <m/>
    <m/>
    <m/>
    <m/>
    <m/>
    <m/>
    <m/>
    <m/>
    <m/>
    <m/>
    <m/>
    <m/>
    <m/>
    <m/>
    <m/>
    <m/>
    <m/>
    <m/>
    <m/>
    <m/>
    <m/>
    <m/>
    <m/>
    <m/>
    <m/>
    <m/>
    <m/>
    <m/>
    <m/>
    <m/>
    <m/>
    <m/>
    <m/>
    <m/>
    <m/>
    <m/>
    <m/>
    <m/>
    <m/>
    <m/>
    <m/>
    <m/>
    <m/>
    <m/>
    <m/>
    <m/>
    <m/>
    <m/>
    <m/>
    <m/>
    <m/>
    <m/>
    <m/>
    <m/>
    <m/>
    <m/>
    <m/>
    <m/>
    <m/>
    <m/>
    <m/>
    <m/>
    <m/>
    <m/>
    <m/>
    <m/>
    <m/>
    <m/>
    <m/>
    <m/>
    <m/>
    <m/>
    <m/>
    <m/>
    <m/>
    <m/>
    <m/>
    <m/>
    <m/>
    <m/>
    <m/>
    <s v="Easy process!"/>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s v="N/A"/>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Paul Scudder - Used Trade-In Product"/>
    <n v="10"/>
    <n v="4"/>
    <d v="2026-03-04T10:20:07"/>
    <n v="5261649"/>
    <s v="Used Trade-In Product"/>
    <m/>
    <s v="Paul Scudder"/>
    <m/>
    <s v="paul@scudderphotography.com"/>
    <m/>
    <s v="Arlington;Texas;76012"/>
    <s v="Arlington;Texas;76012"/>
    <s v="19 years 0 months"/>
    <s v="No"/>
    <m/>
    <m/>
    <s v="paul@scudderphotography.com"/>
    <s v="228"/>
    <m/>
    <m/>
    <m/>
    <m/>
    <m/>
    <m/>
    <m/>
    <m/>
    <m/>
    <d v="2026-03-04T13:07:23"/>
    <m/>
    <s v="1144466"/>
    <m/>
    <m/>
    <m/>
    <m/>
    <m/>
    <m/>
    <m/>
    <m/>
    <m/>
    <m/>
    <m/>
    <m/>
    <m/>
    <m/>
    <m/>
    <m/>
    <m/>
    <m/>
    <m/>
    <m/>
    <m/>
    <m/>
    <s v="https://bnh.lightning.force.com/0018X00003Fsz59QAB"/>
    <m/>
    <m/>
    <m/>
    <m/>
    <m/>
    <m/>
    <m/>
    <m/>
    <m/>
    <m/>
    <m/>
    <m/>
    <m/>
    <m/>
    <m/>
    <m/>
    <m/>
    <m/>
    <m/>
    <m/>
    <m/>
    <m/>
    <m/>
    <m/>
    <m/>
    <m/>
    <m/>
    <m/>
    <m/>
    <m/>
    <m/>
    <m/>
    <m/>
    <m/>
    <m/>
    <m/>
    <m/>
    <m/>
    <s v="CAD"/>
    <m/>
    <s v="No"/>
    <m/>
    <m/>
    <d v="2026-03-04T10:18:56"/>
    <s v="Promoter"/>
    <s v="New"/>
    <m/>
    <m/>
    <s v="Yes"/>
    <m/>
    <m/>
    <m/>
    <m/>
    <m/>
    <m/>
    <m/>
    <m/>
    <m/>
    <m/>
    <m/>
    <m/>
    <m/>
    <m/>
    <m/>
    <m/>
    <s v="It was straight forward, no surprises"/>
    <m/>
    <m/>
    <m/>
    <m/>
    <s v="After completing the initial list of items I was selling and agreeing to send them, I was unable to re-visit or look up the transaction details.  Even logged into my account I couldn’t view my transaction.  You list past orders, but no way to look up and see past sales._x000a__x000a_Also, I never received an acceptance email from B&amp;H regarding how they rated and priced my equipment.  I just got a “the check is on its way” email.  Even though I was OK with the amount, I feel I deserved a simple “please OK these prices, then we’ll send you a check” email."/>
    <m/>
    <m/>
    <m/>
    <m/>
    <m/>
    <m/>
    <m/>
    <m/>
    <m/>
    <m/>
    <m/>
    <m/>
    <m/>
    <m/>
    <m/>
    <m/>
    <m/>
    <m/>
    <m/>
    <m/>
    <m/>
    <m/>
    <m/>
    <m/>
    <m/>
    <m/>
    <m/>
    <m/>
    <m/>
    <m/>
    <m/>
    <m/>
    <m/>
    <m/>
    <m/>
    <m/>
    <m/>
    <m/>
    <m/>
    <m/>
    <m/>
    <m/>
    <m/>
    <m/>
    <m/>
    <m/>
    <m/>
    <m/>
    <m/>
    <m/>
    <m/>
    <m/>
    <m/>
    <m/>
    <m/>
    <m/>
    <m/>
    <m/>
    <m/>
    <m/>
    <m/>
    <m/>
    <m/>
    <m/>
    <m/>
    <m/>
    <m/>
    <m/>
    <m/>
    <m/>
    <m/>
    <m/>
    <m/>
    <m/>
    <m/>
    <m/>
    <m/>
    <m/>
    <m/>
    <m/>
    <m/>
    <m/>
    <s v="It was straight forward, no surprises"/>
    <s v="After completing the initial list of items I was selling and agreeing to send them, I was unable to re-visit or look up the transaction details.  Even logged into my account I couldn’t view my transaction.  You list past orders, but no way to look up and see past sales._x000a__x000a_Also, I never received an acceptance email from B&amp;H regarding how they rated and priced my equipment.  I just got a “the check is on its way” email.  Even though I was OK with the amount, I feel I deserved a simple “please OK these prices, then we’ll send you a check” emai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3"/>
    <n v="1"/>
    <n v="3"/>
    <n v="3"/>
    <m/>
    <m/>
    <m/>
    <m/>
    <m/>
    <m/>
    <m/>
    <m/>
    <m/>
    <m/>
    <m/>
    <m/>
    <m/>
    <m/>
    <m/>
    <m/>
    <m/>
    <m/>
    <m/>
    <m/>
    <m/>
    <m/>
    <m/>
    <m/>
    <m/>
    <m/>
    <m/>
    <m/>
    <m/>
    <m/>
    <m/>
    <m/>
    <m/>
    <m/>
    <m/>
    <m/>
    <m/>
    <m/>
    <m/>
    <m/>
    <m/>
    <m/>
    <m/>
    <m/>
    <m/>
    <m/>
    <m/>
    <m/>
    <m/>
    <m/>
    <m/>
    <m/>
    <m/>
    <m/>
    <m/>
    <m/>
    <m/>
    <m/>
    <m/>
    <m/>
    <m/>
    <m/>
    <m/>
    <m/>
    <m/>
    <m/>
    <m/>
    <m/>
    <m/>
    <m/>
    <m/>
    <m/>
    <m/>
    <m/>
    <m/>
    <m/>
    <m/>
    <m/>
    <m/>
    <m/>
    <m/>
    <m/>
    <m/>
    <m/>
    <m/>
    <m/>
    <m/>
    <m/>
    <m/>
    <m/>
    <m/>
    <m/>
    <m/>
    <m/>
    <m/>
    <m/>
    <m/>
    <m/>
    <m/>
    <m/>
    <m/>
    <s v="Account Activities &gt; Log In / Out &gt;, Pricing &gt; Value for Money &gt;, Used &gt; Pricing &gt;"/>
    <s v="Account Activities &gt; Log In / Out &gt;, Pricing &gt; Value for Money &gt;, Used &gt; Pricing &gt;"/>
    <m/>
    <m/>
    <s v="Account Activities &gt; Log In / Out &gt; (Negative), Pricing &gt; Value for Money &gt; (Negative), Used &gt; Pricing &gt; (Negative)"/>
    <s v="Account Activities &gt; Log In / Out &gt; (Negative), Pricing &gt; Value for Money &gt; (Negative), Used &gt; Pricing &gt; (Negative)"/>
    <s v="No"/>
    <s v="No"/>
    <m/>
    <x v="1"/>
    <x v="1"/>
    <x v="1"/>
    <s v="Wants a final sale price before transaction is confirmed"/>
    <x v="0"/>
    <x v="0"/>
  </r>
  <r>
    <s v="Chris Roebuck - Used Trade-In Product"/>
    <n v="10"/>
    <n v="5"/>
    <d v="2026-03-04T10:16:12"/>
    <n v="5261674"/>
    <s v="Used Trade-In Product"/>
    <m/>
    <s v="Chris Roebuck"/>
    <m/>
    <s v="cougar60@rocketmail.com"/>
    <m/>
    <s v="Pagosa Springs;Colorado;81147"/>
    <s v="Pagosa Springs;Colorado;81147"/>
    <s v="15 years 7 months"/>
    <s v="No"/>
    <m/>
    <m/>
    <s v="cougar60@rocketmail.com"/>
    <s v="187"/>
    <m/>
    <m/>
    <m/>
    <m/>
    <m/>
    <m/>
    <m/>
    <m/>
    <m/>
    <d v="2026-03-04T13:09:18"/>
    <m/>
    <s v="1144335"/>
    <m/>
    <m/>
    <m/>
    <m/>
    <m/>
    <m/>
    <m/>
    <m/>
    <m/>
    <m/>
    <m/>
    <m/>
    <m/>
    <m/>
    <m/>
    <m/>
    <m/>
    <m/>
    <m/>
    <m/>
    <m/>
    <m/>
    <s v="https://bnh.lightning.force.com/0011a00000s0eHIAAY"/>
    <m/>
    <m/>
    <m/>
    <m/>
    <m/>
    <m/>
    <m/>
    <m/>
    <m/>
    <m/>
    <m/>
    <m/>
    <m/>
    <m/>
    <m/>
    <m/>
    <m/>
    <m/>
    <m/>
    <m/>
    <m/>
    <m/>
    <m/>
    <m/>
    <m/>
    <m/>
    <m/>
    <m/>
    <m/>
    <m/>
    <m/>
    <m/>
    <m/>
    <m/>
    <m/>
    <m/>
    <m/>
    <m/>
    <s v="CAD"/>
    <m/>
    <s v="No"/>
    <m/>
    <m/>
    <d v="2026-03-04T10:24:30"/>
    <s v="Promoter"/>
    <s v="New"/>
    <m/>
    <m/>
    <s v="Yes"/>
    <m/>
    <m/>
    <m/>
    <m/>
    <m/>
    <m/>
    <m/>
    <m/>
    <m/>
    <m/>
    <m/>
    <m/>
    <m/>
    <m/>
    <m/>
    <m/>
    <s v="giving the equipment another life"/>
    <m/>
    <m/>
    <m/>
    <m/>
    <s v="requiring additional mailing labels for fed ex. b+h should ask how many boxes are to ship."/>
    <m/>
    <m/>
    <m/>
    <m/>
    <m/>
    <m/>
    <m/>
    <m/>
    <m/>
    <m/>
    <m/>
    <m/>
    <m/>
    <m/>
    <m/>
    <m/>
    <m/>
    <m/>
    <m/>
    <m/>
    <m/>
    <m/>
    <m/>
    <m/>
    <m/>
    <m/>
    <m/>
    <m/>
    <m/>
    <m/>
    <m/>
    <m/>
    <m/>
    <m/>
    <m/>
    <m/>
    <m/>
    <m/>
    <m/>
    <m/>
    <m/>
    <m/>
    <m/>
    <m/>
    <m/>
    <m/>
    <m/>
    <m/>
    <m/>
    <m/>
    <m/>
    <m/>
    <m/>
    <m/>
    <m/>
    <m/>
    <m/>
    <m/>
    <m/>
    <m/>
    <m/>
    <m/>
    <m/>
    <m/>
    <m/>
    <m/>
    <m/>
    <m/>
    <m/>
    <m/>
    <m/>
    <m/>
    <m/>
    <m/>
    <m/>
    <m/>
    <m/>
    <m/>
    <m/>
    <m/>
    <m/>
    <m/>
    <s v="giving the equipment another life"/>
    <s v="requiring additional mailing labels for fed ex. b+h should ask how many boxes are to ship."/>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4"/>
    <n v="5"/>
    <n v="4"/>
    <n v="4"/>
    <m/>
    <m/>
    <m/>
    <m/>
    <m/>
    <m/>
    <m/>
    <m/>
    <m/>
    <m/>
    <m/>
    <m/>
    <m/>
    <m/>
    <m/>
    <m/>
    <m/>
    <m/>
    <m/>
    <m/>
    <m/>
    <m/>
    <m/>
    <m/>
    <m/>
    <m/>
    <m/>
    <m/>
    <m/>
    <m/>
    <m/>
    <m/>
    <m/>
    <m/>
    <m/>
    <m/>
    <m/>
    <m/>
    <m/>
    <m/>
    <m/>
    <m/>
    <m/>
    <m/>
    <m/>
    <m/>
    <m/>
    <m/>
    <m/>
    <m/>
    <m/>
    <m/>
    <m/>
    <m/>
    <m/>
    <m/>
    <m/>
    <m/>
    <m/>
    <m/>
    <m/>
    <m/>
    <m/>
    <m/>
    <m/>
    <m/>
    <m/>
    <m/>
    <m/>
    <m/>
    <m/>
    <m/>
    <m/>
    <m/>
    <m/>
    <m/>
    <m/>
    <m/>
    <m/>
    <m/>
    <m/>
    <m/>
    <m/>
    <m/>
    <m/>
    <m/>
    <m/>
    <m/>
    <m/>
    <m/>
    <m/>
    <m/>
    <m/>
    <m/>
    <m/>
    <m/>
    <m/>
    <m/>
    <m/>
    <m/>
    <m/>
    <m/>
    <m/>
    <m/>
    <m/>
    <m/>
    <m/>
    <s v="No"/>
    <s v="No"/>
    <m/>
    <x v="2"/>
    <x v="0"/>
    <x v="0"/>
    <m/>
    <x v="0"/>
    <x v="0"/>
  </r>
  <r>
    <s v="Stephen Stanforth - Used Trade-In Product"/>
    <n v="10"/>
    <n v="5"/>
    <d v="2026-03-04T10:13:42"/>
    <n v="5261673"/>
    <s v="Used Trade-In Product"/>
    <m/>
    <s v="Stephen Stanforth"/>
    <m/>
    <s v="stke3720@gmail.com"/>
    <m/>
    <s v="Brooksville;Florida;34604"/>
    <s v="Brooksville;Florida;34604"/>
    <s v="3 years 7 months"/>
    <s v="Yes"/>
    <m/>
    <m/>
    <s v="stke3720@gmail.com"/>
    <s v="43"/>
    <m/>
    <m/>
    <m/>
    <m/>
    <m/>
    <m/>
    <m/>
    <m/>
    <m/>
    <d v="2026-03-04T13:06:40"/>
    <m/>
    <s v="1142809"/>
    <m/>
    <m/>
    <m/>
    <m/>
    <m/>
    <m/>
    <m/>
    <m/>
    <m/>
    <m/>
    <m/>
    <m/>
    <m/>
    <m/>
    <m/>
    <m/>
    <m/>
    <m/>
    <m/>
    <m/>
    <m/>
    <m/>
    <s v="https://bnh.lightning.force.com/0018X000032dAb4QAE"/>
    <m/>
    <m/>
    <m/>
    <m/>
    <m/>
    <m/>
    <m/>
    <m/>
    <m/>
    <m/>
    <m/>
    <m/>
    <m/>
    <m/>
    <m/>
    <m/>
    <m/>
    <m/>
    <m/>
    <m/>
    <m/>
    <m/>
    <m/>
    <m/>
    <m/>
    <m/>
    <m/>
    <m/>
    <m/>
    <m/>
    <m/>
    <m/>
    <m/>
    <m/>
    <m/>
    <m/>
    <m/>
    <m/>
    <s v="CAD"/>
    <m/>
    <s v="No"/>
    <m/>
    <m/>
    <d v="2026-03-04T10:24:30"/>
    <s v="Promoter"/>
    <s v="New"/>
    <m/>
    <m/>
    <s v="Yes"/>
    <m/>
    <m/>
    <m/>
    <m/>
    <m/>
    <m/>
    <m/>
    <m/>
    <m/>
    <m/>
    <m/>
    <m/>
    <m/>
    <m/>
    <m/>
    <m/>
    <s v="Friendly staff and ease of use.  Love the entire concept of your business.  Keep it up."/>
    <m/>
    <m/>
    <m/>
    <m/>
    <s v="Nothing."/>
    <m/>
    <m/>
    <m/>
    <m/>
    <m/>
    <m/>
    <m/>
    <m/>
    <m/>
    <m/>
    <m/>
    <m/>
    <m/>
    <m/>
    <m/>
    <m/>
    <m/>
    <m/>
    <m/>
    <m/>
    <m/>
    <m/>
    <m/>
    <m/>
    <m/>
    <m/>
    <m/>
    <m/>
    <m/>
    <m/>
    <m/>
    <m/>
    <m/>
    <m/>
    <m/>
    <m/>
    <m/>
    <m/>
    <m/>
    <m/>
    <m/>
    <m/>
    <m/>
    <m/>
    <m/>
    <m/>
    <m/>
    <m/>
    <m/>
    <m/>
    <m/>
    <m/>
    <m/>
    <m/>
    <m/>
    <m/>
    <m/>
    <m/>
    <m/>
    <m/>
    <m/>
    <m/>
    <m/>
    <m/>
    <m/>
    <m/>
    <m/>
    <m/>
    <m/>
    <m/>
    <m/>
    <m/>
    <m/>
    <m/>
    <m/>
    <m/>
    <m/>
    <m/>
    <m/>
    <m/>
    <m/>
    <m/>
    <s v="Friendly staff and ease of use.  Love the entire concept of your business.  Keep it up."/>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Courtesy / Professional &gt;"/>
    <s v="People &gt; Courtesy / Professional &gt;"/>
    <m/>
    <s v="POSITIVE"/>
    <s v="People &gt; Courtesy / Professional &gt; (Positive)"/>
    <s v="People &gt; Courtesy / Professional &gt; (Positive)"/>
    <s v="No"/>
    <s v="No"/>
    <m/>
    <x v="1"/>
    <x v="2"/>
    <x v="0"/>
    <m/>
    <x v="0"/>
    <x v="0"/>
  </r>
  <r>
    <s v="Andy Rogers - Used Trade-In Product"/>
    <n v="9"/>
    <n v="5"/>
    <d v="2026-03-03T14:12:14"/>
    <n v="5260422"/>
    <s v="Used Trade-In Product"/>
    <m/>
    <s v="Andy Rogers"/>
    <m/>
    <s v="andy.rogers@comcast.net"/>
    <m/>
    <s v="Little Rock;Arkansas;72207"/>
    <s v="Little Rock;Arkansas;72207"/>
    <s v="16 years 1 months"/>
    <s v="No"/>
    <m/>
    <m/>
    <s v="andy.rogers@comcast.net"/>
    <s v="193"/>
    <m/>
    <m/>
    <m/>
    <m/>
    <m/>
    <m/>
    <m/>
    <m/>
    <m/>
    <d v="2026-02-25T18:17:23"/>
    <m/>
    <s v="1143911"/>
    <m/>
    <m/>
    <m/>
    <m/>
    <m/>
    <m/>
    <m/>
    <m/>
    <m/>
    <m/>
    <m/>
    <m/>
    <m/>
    <m/>
    <m/>
    <m/>
    <m/>
    <m/>
    <m/>
    <m/>
    <m/>
    <m/>
    <s v="https://bnh.lightning.force.com/0011a00000orZGBAA2"/>
    <m/>
    <m/>
    <m/>
    <m/>
    <m/>
    <m/>
    <m/>
    <m/>
    <m/>
    <m/>
    <m/>
    <m/>
    <m/>
    <m/>
    <m/>
    <m/>
    <m/>
    <m/>
    <m/>
    <m/>
    <m/>
    <m/>
    <m/>
    <m/>
    <m/>
    <m/>
    <m/>
    <m/>
    <m/>
    <m/>
    <m/>
    <m/>
    <m/>
    <m/>
    <m/>
    <m/>
    <m/>
    <m/>
    <s v="CAD"/>
    <m/>
    <s v="No"/>
    <s v="Efrat Malachi"/>
    <s v="Efrat Malachi"/>
    <d v="2026-03-03T14:11:33"/>
    <s v="Promoter"/>
    <s v="New"/>
    <m/>
    <m/>
    <s v="Yes"/>
    <m/>
    <m/>
    <m/>
    <m/>
    <m/>
    <m/>
    <m/>
    <m/>
    <m/>
    <m/>
    <m/>
    <m/>
    <m/>
    <m/>
    <m/>
    <m/>
    <s v="Seemed to be a fair price for my used gear. Well executed"/>
    <m/>
    <m/>
    <m/>
    <m/>
    <s v="It was a little unclear how the trade in credit vs sending a check would work on the front end. No sales tax when using the credit was a nice surprise and shipping was quick."/>
    <m/>
    <m/>
    <m/>
    <m/>
    <m/>
    <m/>
    <m/>
    <m/>
    <m/>
    <m/>
    <m/>
    <m/>
    <m/>
    <m/>
    <m/>
    <m/>
    <m/>
    <m/>
    <m/>
    <m/>
    <m/>
    <m/>
    <m/>
    <m/>
    <m/>
    <m/>
    <m/>
    <m/>
    <m/>
    <m/>
    <m/>
    <m/>
    <m/>
    <m/>
    <m/>
    <m/>
    <m/>
    <m/>
    <m/>
    <m/>
    <m/>
    <m/>
    <m/>
    <m/>
    <m/>
    <m/>
    <m/>
    <m/>
    <m/>
    <m/>
    <m/>
    <m/>
    <m/>
    <m/>
    <m/>
    <m/>
    <m/>
    <m/>
    <m/>
    <m/>
    <m/>
    <m/>
    <m/>
    <m/>
    <m/>
    <m/>
    <m/>
    <m/>
    <m/>
    <m/>
    <m/>
    <m/>
    <m/>
    <m/>
    <m/>
    <m/>
    <m/>
    <m/>
    <m/>
    <m/>
    <m/>
    <m/>
    <s v="Seemed to be a fair price for my used gear. Well executed"/>
    <s v="It was a little unclear how the trade in credit vs sending a check would work on the front end. No sales tax when using the credit was a nice surprise and shipping was qui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4"/>
    <n v="5"/>
    <n v="5"/>
    <m/>
    <m/>
    <m/>
    <m/>
    <m/>
    <m/>
    <m/>
    <m/>
    <m/>
    <m/>
    <m/>
    <m/>
    <m/>
    <m/>
    <m/>
    <m/>
    <m/>
    <m/>
    <m/>
    <m/>
    <m/>
    <m/>
    <m/>
    <m/>
    <m/>
    <m/>
    <m/>
    <m/>
    <m/>
    <m/>
    <m/>
    <m/>
    <m/>
    <m/>
    <m/>
    <m/>
    <m/>
    <m/>
    <m/>
    <m/>
    <m/>
    <m/>
    <m/>
    <m/>
    <m/>
    <m/>
    <m/>
    <m/>
    <m/>
    <m/>
    <m/>
    <m/>
    <m/>
    <m/>
    <m/>
    <m/>
    <m/>
    <m/>
    <m/>
    <m/>
    <m/>
    <m/>
    <m/>
    <m/>
    <m/>
    <m/>
    <m/>
    <m/>
    <m/>
    <m/>
    <m/>
    <m/>
    <m/>
    <m/>
    <m/>
    <m/>
    <m/>
    <m/>
    <m/>
    <m/>
    <m/>
    <m/>
    <m/>
    <m/>
    <m/>
    <m/>
    <m/>
    <m/>
    <m/>
    <m/>
    <m/>
    <m/>
    <m/>
    <m/>
    <m/>
    <m/>
    <m/>
    <m/>
    <m/>
    <m/>
    <m/>
    <s v="B&amp;H Payboo &gt; Benefit Satisfaction &gt;, Pricing &gt; Value for Money &gt;, Trade In &gt; Quote Price &gt;, Used &gt; Description &gt;, Used &gt; Pricing &gt;, Warehouse Fulfillment &gt; Timeliness &gt;"/>
    <s v="B&amp;H Payboo &gt; Benefit Satisfaction &gt;, Pricing &gt; Value for Money &gt;, Trade In &gt; Quote Price &gt;, Used &gt; Description &gt;, Used &gt; Pricing &gt;, Warehouse Fulfillment &gt; Timeliness &gt;"/>
    <m/>
    <m/>
    <s v="B&amp;H Payboo &gt; Benefit Satisfaction &gt; (Positive), Pricing &gt; Value for Money &gt; (Positive), Trade In &gt; Quote Price &gt; (Positive), Used &gt; Description &gt; (Positive), Used &gt; Pricing &gt; (Positive), Warehouse Fulfillment &gt; Timeliness &gt; (Positive)"/>
    <s v="B&amp;H Payboo &gt; Benefit Satisfaction &gt; (Positive), Pricing &gt; Value for Money &gt; (Positive), Trade In &gt; Quote Price &gt; (Positive), Used &gt; Description &gt; (Positive), Used &gt; Pricing &gt; (Positive), Warehouse Fulfillment &gt; Timeliness &gt; (Positive)"/>
    <s v="No"/>
    <s v="No"/>
    <m/>
    <x v="3"/>
    <x v="3"/>
    <x v="0"/>
    <m/>
    <x v="0"/>
    <x v="0"/>
  </r>
  <r>
    <s v="Tracie Seimon - Used Trade-In Product"/>
    <n v="10"/>
    <n v="5"/>
    <d v="2026-03-03T08:47:06"/>
    <n v="5260037"/>
    <s v="Used Trade-In Product"/>
    <m/>
    <s v="Tracie Seimon"/>
    <m/>
    <s v="tracieseimon@gmail.com"/>
    <m/>
    <s v="East Chatham;New York;12060"/>
    <s v="Montague;Massachusetts;01351"/>
    <s v="11 years 10 months"/>
    <s v="No"/>
    <m/>
    <m/>
    <s v="tracieseimon@gmail.com"/>
    <s v="142"/>
    <m/>
    <m/>
    <m/>
    <m/>
    <m/>
    <m/>
    <m/>
    <m/>
    <d v="2026-03-04T08:08:46"/>
    <d v="2026-02-18T12:47:09"/>
    <m/>
    <s v="1141418"/>
    <m/>
    <m/>
    <m/>
    <m/>
    <m/>
    <m/>
    <m/>
    <m/>
    <m/>
    <m/>
    <m/>
    <m/>
    <m/>
    <m/>
    <m/>
    <m/>
    <m/>
    <m/>
    <m/>
    <m/>
    <m/>
    <m/>
    <s v="https://bnh.lightning.force.com/001WP00000sisQhYAI"/>
    <m/>
    <m/>
    <m/>
    <m/>
    <m/>
    <m/>
    <m/>
    <m/>
    <m/>
    <m/>
    <m/>
    <m/>
    <m/>
    <m/>
    <m/>
    <m/>
    <m/>
    <m/>
    <m/>
    <m/>
    <m/>
    <m/>
    <m/>
    <m/>
    <m/>
    <m/>
    <m/>
    <m/>
    <m/>
    <m/>
    <m/>
    <m/>
    <m/>
    <m/>
    <m/>
    <m/>
    <m/>
    <m/>
    <s v="CAD"/>
    <m/>
    <s v="No"/>
    <s v="Aine Hoye"/>
    <s v="Aine Hoye"/>
    <d v="2026-03-03T08:49:54"/>
    <s v="Promoter"/>
    <s v="Closed"/>
    <m/>
    <m/>
    <s v="Yes"/>
    <m/>
    <m/>
    <m/>
    <m/>
    <m/>
    <m/>
    <m/>
    <m/>
    <m/>
    <m/>
    <m/>
    <m/>
    <m/>
    <m/>
    <m/>
    <m/>
    <s v="How streamlined and easy the experience was."/>
    <m/>
    <m/>
    <m/>
    <m/>
    <s v="there is nothing to report"/>
    <m/>
    <m/>
    <m/>
    <m/>
    <m/>
    <m/>
    <m/>
    <m/>
    <m/>
    <m/>
    <m/>
    <m/>
    <m/>
    <m/>
    <m/>
    <m/>
    <m/>
    <m/>
    <m/>
    <m/>
    <m/>
    <m/>
    <m/>
    <m/>
    <m/>
    <m/>
    <m/>
    <m/>
    <m/>
    <m/>
    <m/>
    <m/>
    <m/>
    <m/>
    <m/>
    <m/>
    <m/>
    <m/>
    <m/>
    <m/>
    <m/>
    <m/>
    <m/>
    <m/>
    <m/>
    <m/>
    <m/>
    <m/>
    <m/>
    <m/>
    <m/>
    <m/>
    <m/>
    <m/>
    <m/>
    <m/>
    <m/>
    <m/>
    <m/>
    <m/>
    <m/>
    <m/>
    <m/>
    <m/>
    <m/>
    <m/>
    <m/>
    <m/>
    <m/>
    <m/>
    <m/>
    <m/>
    <m/>
    <m/>
    <m/>
    <m/>
    <m/>
    <m/>
    <m/>
    <m/>
    <m/>
    <m/>
    <s v="How streamlined and easy the experience was."/>
    <s v="there is nothing to repor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s v="N/A"/>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Aaron Medick - Used Trade-In Product"/>
    <n v="8"/>
    <n v="4"/>
    <d v="2026-03-02T21:43:18"/>
    <n v="5259684"/>
    <s v="Used Trade-In Product"/>
    <m/>
    <s v="Aaron Medick"/>
    <m/>
    <s v="steadycineinc@mac.com"/>
    <m/>
    <s v="Chapel Hill;North Carolina;27516"/>
    <m/>
    <s v="20 years 8 months"/>
    <s v="No"/>
    <m/>
    <m/>
    <s v="steadycineinc@mac.com"/>
    <s v="248"/>
    <m/>
    <m/>
    <m/>
    <m/>
    <m/>
    <m/>
    <m/>
    <m/>
    <d v="2026-03-04T09:25:40"/>
    <d v="2026-03-02T16:16:33"/>
    <m/>
    <s v="1149056"/>
    <m/>
    <m/>
    <m/>
    <m/>
    <m/>
    <m/>
    <m/>
    <m/>
    <m/>
    <m/>
    <m/>
    <m/>
    <m/>
    <m/>
    <m/>
    <m/>
    <m/>
    <m/>
    <m/>
    <m/>
    <m/>
    <m/>
    <s v="https://bnh.lightning.force.com/001WP00000xK8KfYAK"/>
    <m/>
    <m/>
    <m/>
    <m/>
    <m/>
    <m/>
    <m/>
    <m/>
    <m/>
    <m/>
    <m/>
    <m/>
    <m/>
    <m/>
    <m/>
    <m/>
    <m/>
    <m/>
    <m/>
    <m/>
    <m/>
    <m/>
    <m/>
    <m/>
    <m/>
    <m/>
    <m/>
    <m/>
    <m/>
    <m/>
    <m/>
    <m/>
    <m/>
    <m/>
    <m/>
    <m/>
    <m/>
    <m/>
    <s v="CAD"/>
    <m/>
    <s v="No"/>
    <s v="Freddy Gomez"/>
    <s v="Freddy Gomez"/>
    <d v="2026-03-02T21:42:01"/>
    <s v="Passive"/>
    <s v="Closed"/>
    <m/>
    <m/>
    <s v="Yes"/>
    <m/>
    <m/>
    <m/>
    <m/>
    <m/>
    <m/>
    <m/>
    <m/>
    <m/>
    <m/>
    <m/>
    <m/>
    <m/>
    <m/>
    <m/>
    <m/>
    <s v="fast"/>
    <m/>
    <m/>
    <m/>
    <m/>
    <m/>
    <m/>
    <m/>
    <m/>
    <m/>
    <m/>
    <m/>
    <m/>
    <m/>
    <m/>
    <m/>
    <m/>
    <m/>
    <m/>
    <m/>
    <m/>
    <m/>
    <m/>
    <m/>
    <m/>
    <m/>
    <m/>
    <m/>
    <m/>
    <m/>
    <m/>
    <m/>
    <m/>
    <m/>
    <m/>
    <m/>
    <m/>
    <m/>
    <m/>
    <m/>
    <m/>
    <m/>
    <m/>
    <m/>
    <m/>
    <m/>
    <m/>
    <m/>
    <m/>
    <m/>
    <m/>
    <m/>
    <m/>
    <m/>
    <m/>
    <m/>
    <m/>
    <m/>
    <m/>
    <m/>
    <m/>
    <m/>
    <m/>
    <m/>
    <m/>
    <m/>
    <m/>
    <m/>
    <m/>
    <m/>
    <m/>
    <m/>
    <m/>
    <m/>
    <m/>
    <m/>
    <m/>
    <m/>
    <m/>
    <m/>
    <m/>
    <m/>
    <m/>
    <m/>
    <m/>
    <m/>
    <m/>
    <m/>
    <s v="fas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5"/>
    <n v="5"/>
    <n v="5"/>
    <m/>
    <m/>
    <m/>
    <m/>
    <m/>
    <m/>
    <m/>
    <m/>
    <m/>
    <m/>
    <m/>
    <m/>
    <m/>
    <m/>
    <m/>
    <m/>
    <m/>
    <m/>
    <m/>
    <m/>
    <m/>
    <m/>
    <m/>
    <m/>
    <m/>
    <m/>
    <m/>
    <m/>
    <m/>
    <m/>
    <m/>
    <m/>
    <m/>
    <m/>
    <m/>
    <m/>
    <m/>
    <m/>
    <m/>
    <m/>
    <m/>
    <m/>
    <m/>
    <m/>
    <m/>
    <m/>
    <m/>
    <m/>
    <m/>
    <m/>
    <m/>
    <m/>
    <m/>
    <m/>
    <m/>
    <m/>
    <m/>
    <m/>
    <m/>
    <m/>
    <m/>
    <m/>
    <m/>
    <m/>
    <m/>
    <m/>
    <m/>
    <m/>
    <m/>
    <m/>
    <m/>
    <m/>
    <m/>
    <m/>
    <m/>
    <m/>
    <m/>
    <m/>
    <m/>
    <m/>
    <m/>
    <m/>
    <m/>
    <m/>
    <m/>
    <m/>
    <m/>
    <m/>
    <m/>
    <m/>
    <m/>
    <m/>
    <m/>
    <m/>
    <m/>
    <m/>
    <m/>
    <m/>
    <m/>
    <m/>
    <m/>
    <s v="Warehouse Fulfillment &gt; Timeliness &gt;"/>
    <s v="Trade In &gt; Overall Process &gt;"/>
    <m/>
    <m/>
    <s v="Warehouse Fulfillment &gt; Timeliness &gt; (Positive)"/>
    <s v="Trade In &gt; Overall Process &gt; (Positive)"/>
    <s v="Yes"/>
    <s v="No"/>
    <m/>
    <x v="0"/>
    <x v="0"/>
    <x v="0"/>
    <m/>
    <x v="0"/>
    <x v="0"/>
  </r>
  <r>
    <s v="Stephen Spence - Used Trade-In Product"/>
    <n v="10"/>
    <n v="5"/>
    <d v="2026-03-02T18:38:07"/>
    <n v="5259471"/>
    <s v="Used Trade-In Product"/>
    <m/>
    <s v="Stephen Spence"/>
    <m/>
    <s v="s.spence@me.com"/>
    <m/>
    <s v="Buford;Georgia;30519"/>
    <m/>
    <m/>
    <s v="No"/>
    <m/>
    <m/>
    <s v="s.spence@me.com"/>
    <m/>
    <m/>
    <m/>
    <m/>
    <m/>
    <m/>
    <m/>
    <m/>
    <m/>
    <d v="2026-03-04T09:14:59"/>
    <d v="2026-02-26T12:53:35"/>
    <m/>
    <s v="1142953"/>
    <m/>
    <m/>
    <m/>
    <m/>
    <m/>
    <m/>
    <m/>
    <m/>
    <m/>
    <m/>
    <m/>
    <m/>
    <m/>
    <m/>
    <m/>
    <m/>
    <m/>
    <m/>
    <m/>
    <m/>
    <m/>
    <m/>
    <s v="https://bnh.lightning.force.com/0018X0000373Sa9QAE"/>
    <m/>
    <m/>
    <m/>
    <m/>
    <m/>
    <m/>
    <m/>
    <m/>
    <m/>
    <m/>
    <m/>
    <m/>
    <m/>
    <m/>
    <m/>
    <m/>
    <m/>
    <m/>
    <m/>
    <m/>
    <m/>
    <m/>
    <m/>
    <m/>
    <m/>
    <m/>
    <m/>
    <m/>
    <m/>
    <m/>
    <m/>
    <m/>
    <m/>
    <m/>
    <m/>
    <m/>
    <m/>
    <m/>
    <s v="CAD"/>
    <m/>
    <s v="No"/>
    <s v="Andrea Garcia"/>
    <s v="Andrea Garcia"/>
    <d v="2026-03-02T18:36:15"/>
    <s v="Promoter"/>
    <s v="Closed"/>
    <m/>
    <m/>
    <s v="Yes"/>
    <m/>
    <m/>
    <m/>
    <m/>
    <m/>
    <m/>
    <m/>
    <m/>
    <m/>
    <m/>
    <m/>
    <m/>
    <m/>
    <m/>
    <m/>
    <m/>
    <s v="I was able to sell the flash accessories as well as the flash. No where else seemed to give that as an option."/>
    <m/>
    <m/>
    <m/>
    <m/>
    <s v="It took over a week to get the used items looked at and a confirmation on the estimate."/>
    <m/>
    <m/>
    <m/>
    <m/>
    <m/>
    <m/>
    <m/>
    <m/>
    <m/>
    <m/>
    <m/>
    <m/>
    <m/>
    <m/>
    <m/>
    <m/>
    <m/>
    <m/>
    <m/>
    <m/>
    <m/>
    <m/>
    <m/>
    <m/>
    <m/>
    <m/>
    <m/>
    <m/>
    <m/>
    <m/>
    <m/>
    <m/>
    <m/>
    <m/>
    <m/>
    <m/>
    <m/>
    <m/>
    <m/>
    <m/>
    <m/>
    <m/>
    <m/>
    <m/>
    <m/>
    <m/>
    <m/>
    <m/>
    <m/>
    <m/>
    <m/>
    <m/>
    <m/>
    <m/>
    <m/>
    <m/>
    <m/>
    <m/>
    <m/>
    <m/>
    <m/>
    <m/>
    <m/>
    <m/>
    <m/>
    <m/>
    <m/>
    <m/>
    <m/>
    <m/>
    <m/>
    <m/>
    <m/>
    <m/>
    <m/>
    <m/>
    <m/>
    <m/>
    <m/>
    <m/>
    <m/>
    <m/>
    <s v="I was able to sell the flash accessories as well as the flash. No where else seemed to give that as an option."/>
    <s v="It took over a week to get the used items looked at and a confirmation on the estima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4"/>
    <n v="5"/>
    <n v="5"/>
    <n v="5"/>
    <m/>
    <m/>
    <m/>
    <m/>
    <m/>
    <m/>
    <m/>
    <m/>
    <m/>
    <m/>
    <m/>
    <m/>
    <m/>
    <m/>
    <m/>
    <m/>
    <m/>
    <m/>
    <m/>
    <m/>
    <m/>
    <m/>
    <m/>
    <m/>
    <m/>
    <m/>
    <m/>
    <m/>
    <m/>
    <m/>
    <m/>
    <m/>
    <m/>
    <m/>
    <m/>
    <m/>
    <m/>
    <m/>
    <m/>
    <m/>
    <m/>
    <m/>
    <m/>
    <m/>
    <m/>
    <m/>
    <m/>
    <m/>
    <m/>
    <m/>
    <m/>
    <m/>
    <m/>
    <m/>
    <m/>
    <m/>
    <m/>
    <m/>
    <m/>
    <m/>
    <m/>
    <m/>
    <m/>
    <m/>
    <m/>
    <m/>
    <m/>
    <m/>
    <m/>
    <m/>
    <m/>
    <m/>
    <m/>
    <m/>
    <m/>
    <m/>
    <m/>
    <m/>
    <m/>
    <m/>
    <m/>
    <m/>
    <m/>
    <m/>
    <m/>
    <m/>
    <m/>
    <m/>
    <m/>
    <m/>
    <m/>
    <m/>
    <m/>
    <m/>
    <m/>
    <m/>
    <m/>
    <m/>
    <m/>
    <m/>
    <m/>
    <m/>
    <s v="B&amp;H &gt; Satisfaction &gt;, Trade In &gt; Overall Process &gt;, Trade In &gt; Timeliness of Quote &gt;"/>
    <m/>
    <m/>
    <m/>
    <s v="B&amp;H &gt; Satisfaction &gt; (Positive), Trade In &gt; Overall Process &gt; (Positive), Trade In &gt; Timeliness of Quote &gt; (Negative)"/>
    <s v="Yes"/>
    <s v="Yes"/>
    <m/>
    <x v="4"/>
    <x v="4"/>
    <x v="0"/>
    <m/>
    <x v="0"/>
    <x v="0"/>
  </r>
  <r>
    <s v="Raymond Cheung - Used Trade-In Product"/>
    <n v="10"/>
    <n v="5"/>
    <d v="2026-03-02T14:35:25"/>
    <n v="5259012"/>
    <s v="Used Trade-In Product"/>
    <m/>
    <s v="Raymond Cheung"/>
    <m/>
    <s v="raymond.cheung@gmail.com"/>
    <m/>
    <s v="Arcadia;California;91007"/>
    <m/>
    <s v="17 years 0 months"/>
    <s v="No"/>
    <m/>
    <m/>
    <s v="raymond.cheung@gmail.com"/>
    <s v="204"/>
    <m/>
    <m/>
    <m/>
    <m/>
    <m/>
    <m/>
    <m/>
    <m/>
    <d v="2026-03-04T08:57:46"/>
    <d v="2026-03-02T17:17:23"/>
    <m/>
    <s v="1143897"/>
    <m/>
    <m/>
    <m/>
    <m/>
    <m/>
    <m/>
    <m/>
    <m/>
    <m/>
    <m/>
    <m/>
    <m/>
    <m/>
    <m/>
    <m/>
    <m/>
    <m/>
    <m/>
    <m/>
    <m/>
    <m/>
    <m/>
    <s v="https://bnh.lightning.force.com/001WP00000uDrWGYA0"/>
    <m/>
    <m/>
    <m/>
    <m/>
    <m/>
    <m/>
    <m/>
    <m/>
    <m/>
    <m/>
    <m/>
    <m/>
    <m/>
    <m/>
    <m/>
    <m/>
    <m/>
    <m/>
    <m/>
    <m/>
    <m/>
    <m/>
    <m/>
    <m/>
    <m/>
    <m/>
    <m/>
    <m/>
    <m/>
    <m/>
    <m/>
    <m/>
    <m/>
    <m/>
    <m/>
    <m/>
    <m/>
    <m/>
    <s v="CAD"/>
    <m/>
    <s v="No"/>
    <s v="Emily Schreier"/>
    <s v="Emily Schreier"/>
    <d v="2026-03-02T14:34:41"/>
    <s v="Promoter"/>
    <s v="Closed"/>
    <m/>
    <m/>
    <s v="Yes"/>
    <m/>
    <m/>
    <m/>
    <m/>
    <m/>
    <m/>
    <m/>
    <m/>
    <m/>
    <m/>
    <m/>
    <m/>
    <m/>
    <m/>
    <m/>
    <m/>
    <s v="Fast and easy process overall"/>
    <m/>
    <m/>
    <m/>
    <m/>
    <s v="The search function seemed to be a little finicky"/>
    <m/>
    <m/>
    <m/>
    <m/>
    <m/>
    <m/>
    <m/>
    <m/>
    <m/>
    <m/>
    <m/>
    <m/>
    <m/>
    <m/>
    <m/>
    <m/>
    <m/>
    <m/>
    <m/>
    <m/>
    <m/>
    <m/>
    <m/>
    <m/>
    <m/>
    <m/>
    <m/>
    <m/>
    <m/>
    <m/>
    <m/>
    <m/>
    <m/>
    <m/>
    <m/>
    <m/>
    <m/>
    <m/>
    <m/>
    <m/>
    <m/>
    <m/>
    <m/>
    <m/>
    <m/>
    <m/>
    <m/>
    <m/>
    <m/>
    <m/>
    <m/>
    <m/>
    <m/>
    <m/>
    <m/>
    <m/>
    <m/>
    <m/>
    <m/>
    <m/>
    <m/>
    <m/>
    <m/>
    <m/>
    <m/>
    <m/>
    <m/>
    <m/>
    <m/>
    <m/>
    <m/>
    <m/>
    <m/>
    <m/>
    <m/>
    <m/>
    <m/>
    <m/>
    <m/>
    <m/>
    <m/>
    <m/>
    <s v="Fast and easy process overall"/>
    <s v="The search function seemed to be a little finick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2"/>
    <n v="5"/>
    <m/>
    <m/>
    <m/>
    <m/>
    <m/>
    <m/>
    <n v="5"/>
    <n v="5"/>
    <n v="5"/>
    <n v="4"/>
    <m/>
    <m/>
    <m/>
    <m/>
    <m/>
    <m/>
    <m/>
    <m/>
    <m/>
    <m/>
    <m/>
    <m/>
    <m/>
    <m/>
    <m/>
    <m/>
    <m/>
    <m/>
    <m/>
    <m/>
    <m/>
    <m/>
    <m/>
    <m/>
    <m/>
    <m/>
    <m/>
    <m/>
    <m/>
    <m/>
    <m/>
    <m/>
    <m/>
    <m/>
    <m/>
    <m/>
    <m/>
    <m/>
    <m/>
    <m/>
    <m/>
    <m/>
    <m/>
    <m/>
    <m/>
    <m/>
    <m/>
    <m/>
    <m/>
    <m/>
    <m/>
    <m/>
    <m/>
    <m/>
    <m/>
    <m/>
    <m/>
    <m/>
    <m/>
    <m/>
    <m/>
    <m/>
    <m/>
    <m/>
    <m/>
    <m/>
    <m/>
    <m/>
    <m/>
    <m/>
    <m/>
    <m/>
    <m/>
    <m/>
    <m/>
    <m/>
    <m/>
    <m/>
    <m/>
    <m/>
    <m/>
    <m/>
    <m/>
    <m/>
    <m/>
    <m/>
    <m/>
    <m/>
    <m/>
    <m/>
    <m/>
    <m/>
    <m/>
    <m/>
    <m/>
    <m/>
    <m/>
    <m/>
    <m/>
    <m/>
    <m/>
    <s v="Trade In &gt; Overall Process &gt;, Website &gt; Search Function &gt;"/>
    <s v="Trade In &gt; Overall Process &gt;, Website &gt; Search Function &gt;"/>
    <m/>
    <m/>
    <s v="Trade In &gt; Overall Process &gt; (Positive), Website &gt; Search Function &gt; (Negative)"/>
    <s v="Trade In &gt; Overall Process &gt; (Positive), Website &gt; Search Function &gt; (Negative)"/>
    <s v="No"/>
    <s v="No"/>
    <m/>
    <x v="0"/>
    <x v="5"/>
    <x v="0"/>
    <m/>
    <x v="0"/>
    <x v="0"/>
  </r>
  <r>
    <s v="Casey O'Connell - Used Trade-In Product"/>
    <n v="10"/>
    <n v="4"/>
    <d v="2026-03-02T13:14:06"/>
    <n v="5249048"/>
    <s v="Used Trade-In Product"/>
    <m/>
    <s v="Casey O'Connell"/>
    <m/>
    <s v="casey2k3@gmail.com"/>
    <m/>
    <s v="Energy;Illinois;62933"/>
    <m/>
    <m/>
    <s v="No"/>
    <m/>
    <m/>
    <s v="casey2k3@gmail.com"/>
    <m/>
    <m/>
    <m/>
    <m/>
    <m/>
    <m/>
    <m/>
    <m/>
    <m/>
    <d v="2026-03-04T09:30:49"/>
    <d v="2026-03-02T14:16:24"/>
    <m/>
    <s v="1143892"/>
    <m/>
    <m/>
    <m/>
    <m/>
    <m/>
    <m/>
    <m/>
    <m/>
    <m/>
    <m/>
    <m/>
    <m/>
    <m/>
    <m/>
    <m/>
    <m/>
    <m/>
    <m/>
    <m/>
    <m/>
    <m/>
    <m/>
    <s v="https://bnh.lightning.force.com/001WP00000uFQWfYAO"/>
    <m/>
    <m/>
    <m/>
    <m/>
    <m/>
    <m/>
    <m/>
    <m/>
    <m/>
    <m/>
    <m/>
    <m/>
    <m/>
    <m/>
    <m/>
    <m/>
    <m/>
    <m/>
    <m/>
    <m/>
    <m/>
    <m/>
    <m/>
    <m/>
    <m/>
    <m/>
    <m/>
    <m/>
    <m/>
    <m/>
    <m/>
    <m/>
    <m/>
    <m/>
    <m/>
    <m/>
    <m/>
    <m/>
    <s v="CAD"/>
    <m/>
    <s v="No"/>
    <s v="Sergio Jonusas"/>
    <s v="Sergio Jonusas"/>
    <d v="2026-03-02T12:31:29"/>
    <s v="Promoter"/>
    <s v="Closed"/>
    <m/>
    <m/>
    <s v="Yes"/>
    <m/>
    <m/>
    <m/>
    <m/>
    <m/>
    <m/>
    <m/>
    <m/>
    <m/>
    <m/>
    <m/>
    <m/>
    <m/>
    <m/>
    <m/>
    <m/>
    <s v="I would absolutely use this service again. The process was simple, and the quote I received was very fair. I probably could have gotten a bit more for the items if I had taken the time to create listings and manage the sales myself on eBay or Facebook Marketplace. That said, avoiding the hassle of listing, messaging buyers, and handling the transaction process made it completely worth it."/>
    <m/>
    <m/>
    <m/>
    <m/>
    <s v="My only minor complaint was around communication during the inspection stage. I received an email confirming that my equipment had been received along with an estimated inspection date. When that date passed, I didn’t receive another update. A couple of days later, the gift card arrived, so everything worked out just fine. Still, I would have appreciated a quick follow-up email letting me know the inspection was still pending. Overall though, it was a great experience and a smooth process from start to finish."/>
    <m/>
    <m/>
    <m/>
    <m/>
    <m/>
    <m/>
    <m/>
    <m/>
    <m/>
    <m/>
    <m/>
    <m/>
    <m/>
    <m/>
    <m/>
    <m/>
    <m/>
    <m/>
    <m/>
    <m/>
    <m/>
    <m/>
    <m/>
    <m/>
    <m/>
    <m/>
    <m/>
    <m/>
    <m/>
    <m/>
    <m/>
    <m/>
    <m/>
    <m/>
    <m/>
    <m/>
    <m/>
    <m/>
    <m/>
    <m/>
    <m/>
    <m/>
    <m/>
    <m/>
    <m/>
    <m/>
    <m/>
    <m/>
    <m/>
    <m/>
    <m/>
    <m/>
    <m/>
    <m/>
    <m/>
    <m/>
    <m/>
    <m/>
    <m/>
    <m/>
    <m/>
    <m/>
    <m/>
    <m/>
    <m/>
    <m/>
    <m/>
    <m/>
    <m/>
    <m/>
    <m/>
    <m/>
    <m/>
    <m/>
    <m/>
    <m/>
    <m/>
    <m/>
    <m/>
    <m/>
    <m/>
    <m/>
    <s v="I would absolutely use this service again. The process was simple, and the quote I received was very fair. I probably could have gotten a bit more for the items if I had taken the time to create listings and manage the sales myself on eBay or Facebook Marketplace. That said, avoiding the hassle of listing, messaging buyers, and handling the transaction process made it completely worth it."/>
    <s v="My only minor complaint was around communication during the inspection stage. I received an email confirming that my equipment had been received along with an estimated inspection date. When that date passed, I didn’t receive another update. A couple of days later, the gift card arrived, so everything worked out just fine. Still, I would have appreciated a quick follow-up email letting me know the inspection was still pending. Overall though, it was a great experience and a smooth process from start to finis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n v="4"/>
    <m/>
    <m/>
    <m/>
    <m/>
    <m/>
    <m/>
    <m/>
    <m/>
    <m/>
    <m/>
    <m/>
    <m/>
    <m/>
    <m/>
    <m/>
    <m/>
    <m/>
    <m/>
    <m/>
    <m/>
    <m/>
    <m/>
    <m/>
    <m/>
    <m/>
    <m/>
    <m/>
    <m/>
    <m/>
    <m/>
    <m/>
    <m/>
    <m/>
    <m/>
    <m/>
    <m/>
    <m/>
    <m/>
    <m/>
    <m/>
    <m/>
    <m/>
    <m/>
    <m/>
    <m/>
    <m/>
    <m/>
    <m/>
    <m/>
    <m/>
    <m/>
    <m/>
    <m/>
    <m/>
    <m/>
    <m/>
    <m/>
    <m/>
    <m/>
    <m/>
    <m/>
    <m/>
    <m/>
    <m/>
    <m/>
    <m/>
    <m/>
    <m/>
    <m/>
    <m/>
    <m/>
    <m/>
    <m/>
    <m/>
    <m/>
    <m/>
    <m/>
    <m/>
    <m/>
    <m/>
    <m/>
    <m/>
    <m/>
    <m/>
    <m/>
    <m/>
    <m/>
    <m/>
    <m/>
    <m/>
    <m/>
    <m/>
    <m/>
    <m/>
    <m/>
    <m/>
    <m/>
    <m/>
    <m/>
    <m/>
    <m/>
    <s v="B&amp;H &gt; Satisfaction &gt;, People &gt; Follow Up &gt;, Trade In &gt; Overall Process &gt;, Used &gt; Description &gt;, Warehouse Fulfillment &gt; Timeliness &gt;"/>
    <s v="B&amp;H &gt; Satisfaction &gt;, People &gt; Follow Up &gt;, Trade In &gt; Overall Process &gt;, Trade In &gt; Quote Price &gt;"/>
    <m/>
    <m/>
    <s v="B&amp;H &gt; Satisfaction &gt; (Positive), People &gt; Follow Up &gt; (Negative), Trade In &gt; Overall Process &gt; (Positive), Used &gt; Description &gt; (Positive), Warehouse Fulfillment &gt; Timeliness &gt; (Positive)"/>
    <s v="B&amp;H &gt; Satisfaction &gt; (Positive), People &gt; Follow Up &gt; (Negative), Trade In &gt; Overall Process &gt; (Positive), Trade In &gt; Quote Price &gt; (Negative)"/>
    <s v="Yes"/>
    <s v="No"/>
    <m/>
    <x v="5"/>
    <x v="6"/>
    <x v="2"/>
    <m/>
    <x v="0"/>
    <x v="0"/>
  </r>
  <r>
    <s v="Joseph Borker - Used Trade-In Product"/>
    <n v="10"/>
    <n v="5"/>
    <d v="2026-03-01T21:09:26"/>
    <n v="5247853"/>
    <s v="Used Trade-In Product"/>
    <m/>
    <s v="Joseph Borker"/>
    <m/>
    <s v="josephborker@gmail.com"/>
    <m/>
    <s v="Brooklyn;New York;11217"/>
    <s v="Brooklyn;New York;11217"/>
    <s v="26 years 0 months"/>
    <s v="No"/>
    <m/>
    <m/>
    <s v="josephborker@gmail.com"/>
    <s v="312"/>
    <m/>
    <m/>
    <m/>
    <m/>
    <m/>
    <m/>
    <m/>
    <m/>
    <d v="2026-03-02T10:57:21"/>
    <d v="2026-03-01T17:14:52"/>
    <m/>
    <s v="1148885"/>
    <m/>
    <m/>
    <m/>
    <m/>
    <m/>
    <m/>
    <m/>
    <m/>
    <m/>
    <m/>
    <m/>
    <m/>
    <m/>
    <m/>
    <m/>
    <m/>
    <m/>
    <m/>
    <m/>
    <m/>
    <m/>
    <m/>
    <s v="https://bnh.lightning.force.com/0012L00000xPRmhQAG"/>
    <m/>
    <m/>
    <m/>
    <m/>
    <m/>
    <m/>
    <m/>
    <m/>
    <m/>
    <m/>
    <m/>
    <m/>
    <m/>
    <m/>
    <m/>
    <m/>
    <m/>
    <m/>
    <m/>
    <m/>
    <m/>
    <m/>
    <m/>
    <m/>
    <m/>
    <m/>
    <m/>
    <m/>
    <m/>
    <m/>
    <m/>
    <m/>
    <m/>
    <m/>
    <m/>
    <m/>
    <m/>
    <m/>
    <s v="CAD"/>
    <m/>
    <s v="No"/>
    <s v="Sergio Jonusas"/>
    <s v="Sergio Jonusas"/>
    <d v="2026-03-01T21:08:01"/>
    <s v="Promoter"/>
    <s v="Closed"/>
    <m/>
    <m/>
    <s v="Yes"/>
    <m/>
    <m/>
    <m/>
    <m/>
    <m/>
    <m/>
    <m/>
    <m/>
    <m/>
    <m/>
    <m/>
    <m/>
    <m/>
    <m/>
    <m/>
    <m/>
    <s v="Getting Quote online and completing transaction at Trade-In Counter on 34th street"/>
    <m/>
    <m/>
    <m/>
    <m/>
    <m/>
    <m/>
    <m/>
    <m/>
    <m/>
    <m/>
    <m/>
    <m/>
    <m/>
    <m/>
    <m/>
    <m/>
    <m/>
    <m/>
    <m/>
    <m/>
    <m/>
    <m/>
    <m/>
    <m/>
    <m/>
    <m/>
    <m/>
    <m/>
    <m/>
    <m/>
    <m/>
    <m/>
    <m/>
    <m/>
    <m/>
    <m/>
    <m/>
    <m/>
    <m/>
    <m/>
    <m/>
    <m/>
    <m/>
    <m/>
    <m/>
    <m/>
    <m/>
    <m/>
    <m/>
    <m/>
    <m/>
    <m/>
    <m/>
    <m/>
    <m/>
    <m/>
    <m/>
    <m/>
    <m/>
    <m/>
    <m/>
    <m/>
    <m/>
    <m/>
    <m/>
    <m/>
    <m/>
    <m/>
    <m/>
    <m/>
    <m/>
    <m/>
    <m/>
    <m/>
    <m/>
    <m/>
    <m/>
    <m/>
    <m/>
    <m/>
    <m/>
    <m/>
    <m/>
    <m/>
    <m/>
    <m/>
    <m/>
    <s v="Getting Quote online and completing transaction at Trade-In Counter on 34th stree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s v="N/A"/>
    <n v="5"/>
    <s v="N/A"/>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No opinion)"/>
    <s v="Trade In &gt; Overall Process &gt; (Positive)"/>
    <s v="Yes"/>
    <s v="Yes"/>
    <m/>
    <x v="6"/>
    <x v="0"/>
    <x v="0"/>
    <m/>
    <x v="0"/>
    <x v="0"/>
  </r>
  <r>
    <s v="Enan Hombra - Used Trade-In Product"/>
    <n v="10"/>
    <n v="5"/>
    <d v="2026-03-01T15:25:02"/>
    <n v="5247238"/>
    <s v="Used Trade-In Product"/>
    <m/>
    <s v="Enan Hombra"/>
    <m/>
    <s v="enanmusic@gmail.com"/>
    <m/>
    <s v="Long Island City;New York;11101"/>
    <s v="Long Island City;New York;11101"/>
    <s v="13 years 0 months"/>
    <s v="Yes"/>
    <m/>
    <m/>
    <s v="enanmusic@gmail.com"/>
    <s v="156"/>
    <m/>
    <m/>
    <m/>
    <m/>
    <m/>
    <m/>
    <m/>
    <m/>
    <d v="2026-03-02T08:52:50"/>
    <d v="2026-03-01T15:15:18"/>
    <m/>
    <s v="1148721"/>
    <m/>
    <m/>
    <m/>
    <m/>
    <m/>
    <m/>
    <m/>
    <m/>
    <m/>
    <m/>
    <m/>
    <m/>
    <m/>
    <m/>
    <m/>
    <m/>
    <m/>
    <m/>
    <m/>
    <m/>
    <m/>
    <m/>
    <s v="https://bnh.lightning.force.com/001Hs00005HiFKPIA3"/>
    <m/>
    <m/>
    <m/>
    <m/>
    <m/>
    <m/>
    <m/>
    <m/>
    <m/>
    <m/>
    <m/>
    <m/>
    <m/>
    <m/>
    <m/>
    <m/>
    <m/>
    <m/>
    <m/>
    <m/>
    <m/>
    <m/>
    <m/>
    <m/>
    <m/>
    <m/>
    <m/>
    <m/>
    <m/>
    <m/>
    <m/>
    <m/>
    <m/>
    <m/>
    <m/>
    <m/>
    <m/>
    <m/>
    <s v="CAD"/>
    <m/>
    <s v="No"/>
    <s v="Emily Schreier"/>
    <s v="Emily Schreier"/>
    <d v="2026-03-01T15:26:18"/>
    <s v="Promoter"/>
    <s v="Closed"/>
    <m/>
    <m/>
    <s v="Yes"/>
    <m/>
    <m/>
    <m/>
    <m/>
    <m/>
    <m/>
    <m/>
    <m/>
    <m/>
    <m/>
    <m/>
    <m/>
    <m/>
    <m/>
    <m/>
    <m/>
    <s v="The friendly atmosphere of the staff"/>
    <m/>
    <m/>
    <m/>
    <m/>
    <m/>
    <m/>
    <m/>
    <m/>
    <m/>
    <m/>
    <m/>
    <m/>
    <m/>
    <m/>
    <m/>
    <m/>
    <m/>
    <m/>
    <m/>
    <m/>
    <m/>
    <m/>
    <m/>
    <m/>
    <m/>
    <m/>
    <m/>
    <m/>
    <m/>
    <m/>
    <m/>
    <m/>
    <m/>
    <m/>
    <m/>
    <m/>
    <m/>
    <m/>
    <m/>
    <m/>
    <m/>
    <m/>
    <m/>
    <m/>
    <m/>
    <m/>
    <m/>
    <m/>
    <m/>
    <m/>
    <m/>
    <m/>
    <m/>
    <m/>
    <m/>
    <m/>
    <m/>
    <m/>
    <m/>
    <m/>
    <m/>
    <m/>
    <m/>
    <m/>
    <m/>
    <m/>
    <m/>
    <m/>
    <m/>
    <m/>
    <m/>
    <m/>
    <m/>
    <m/>
    <m/>
    <m/>
    <m/>
    <m/>
    <m/>
    <m/>
    <m/>
    <m/>
    <m/>
    <m/>
    <m/>
    <m/>
    <m/>
    <s v="The friendly atmosphere of the staff"/>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s v="N/A"/>
    <n v="5"/>
    <n v="5"/>
    <m/>
    <m/>
    <m/>
    <m/>
    <m/>
    <m/>
    <m/>
    <m/>
    <m/>
    <m/>
    <m/>
    <m/>
    <m/>
    <m/>
    <m/>
    <m/>
    <m/>
    <m/>
    <m/>
    <m/>
    <m/>
    <m/>
    <m/>
    <m/>
    <m/>
    <m/>
    <m/>
    <m/>
    <m/>
    <m/>
    <m/>
    <m/>
    <m/>
    <m/>
    <m/>
    <m/>
    <m/>
    <m/>
    <m/>
    <m/>
    <m/>
    <m/>
    <m/>
    <m/>
    <m/>
    <m/>
    <m/>
    <m/>
    <m/>
    <m/>
    <m/>
    <m/>
    <m/>
    <m/>
    <m/>
    <m/>
    <m/>
    <m/>
    <m/>
    <m/>
    <m/>
    <m/>
    <m/>
    <m/>
    <m/>
    <m/>
    <m/>
    <m/>
    <m/>
    <m/>
    <m/>
    <m/>
    <m/>
    <m/>
    <m/>
    <m/>
    <m/>
    <m/>
    <m/>
    <m/>
    <m/>
    <m/>
    <m/>
    <m/>
    <m/>
    <m/>
    <m/>
    <m/>
    <m/>
    <m/>
    <m/>
    <m/>
    <m/>
    <m/>
    <m/>
    <m/>
    <m/>
    <m/>
    <m/>
    <m/>
    <m/>
    <s v="People &gt; Courtesy / Professional &gt;"/>
    <s v="People &gt; Courtesy / Professional &gt;, Store &gt; Atmosphere &gt;"/>
    <m/>
    <s v="POSITIVE"/>
    <s v="People &gt; Courtesy / Professional &gt; (Positive)"/>
    <s v="People &gt; Courtesy / Professional &gt; (Positive), Store &gt; Atmosphere &gt; (Positive)"/>
    <s v="Yes"/>
    <s v="No"/>
    <m/>
    <x v="7"/>
    <x v="0"/>
    <x v="0"/>
    <m/>
    <x v="0"/>
    <x v="0"/>
  </r>
  <r>
    <s v="Cheryl Freedman - Used Trade-In Product"/>
    <n v="10"/>
    <n v="5"/>
    <d v="2026-03-01T09:49:39"/>
    <n v="5246482"/>
    <s v="Used Trade-In Product"/>
    <m/>
    <s v="Cheryl Freedman"/>
    <m/>
    <s v="cfreedman@mac.com"/>
    <m/>
    <s v="Gilbert;Arizona;85298"/>
    <s v="Gilbert;Arizona;85298"/>
    <s v="15 years 5 months"/>
    <s v="No"/>
    <m/>
    <m/>
    <s v="cfreedman@mac.com"/>
    <s v="185"/>
    <m/>
    <m/>
    <m/>
    <m/>
    <m/>
    <m/>
    <m/>
    <m/>
    <d v="2026-03-02T08:50:09"/>
    <d v="2025-12-30T12:58:26"/>
    <m/>
    <s v="1127879"/>
    <m/>
    <m/>
    <m/>
    <m/>
    <m/>
    <m/>
    <m/>
    <m/>
    <m/>
    <m/>
    <m/>
    <m/>
    <m/>
    <m/>
    <m/>
    <m/>
    <m/>
    <m/>
    <m/>
    <m/>
    <m/>
    <m/>
    <s v="https://bnh.lightning.force.com/0018X00003W8UEpQAN"/>
    <m/>
    <m/>
    <m/>
    <m/>
    <m/>
    <m/>
    <m/>
    <m/>
    <m/>
    <m/>
    <m/>
    <m/>
    <m/>
    <m/>
    <m/>
    <m/>
    <m/>
    <m/>
    <m/>
    <m/>
    <m/>
    <m/>
    <m/>
    <m/>
    <m/>
    <m/>
    <m/>
    <m/>
    <m/>
    <m/>
    <m/>
    <m/>
    <m/>
    <m/>
    <m/>
    <m/>
    <m/>
    <m/>
    <s v="CAD"/>
    <m/>
    <s v="No"/>
    <s v="Aine Hoye"/>
    <s v="Aine Hoye"/>
    <d v="2026-03-01T09:48:40"/>
    <s v="Promoter"/>
    <s v="Closed"/>
    <m/>
    <m/>
    <s v="Yes"/>
    <m/>
    <m/>
    <m/>
    <m/>
    <m/>
    <m/>
    <m/>
    <m/>
    <m/>
    <m/>
    <m/>
    <m/>
    <m/>
    <m/>
    <m/>
    <m/>
    <s v="It is always a quick and easy process."/>
    <m/>
    <m/>
    <m/>
    <m/>
    <s v="I wish you bought a wider array of lenses."/>
    <m/>
    <m/>
    <m/>
    <m/>
    <m/>
    <m/>
    <m/>
    <m/>
    <m/>
    <m/>
    <m/>
    <m/>
    <m/>
    <m/>
    <m/>
    <m/>
    <m/>
    <m/>
    <m/>
    <m/>
    <m/>
    <m/>
    <m/>
    <m/>
    <m/>
    <m/>
    <m/>
    <m/>
    <m/>
    <m/>
    <m/>
    <m/>
    <m/>
    <m/>
    <m/>
    <m/>
    <m/>
    <m/>
    <m/>
    <m/>
    <m/>
    <m/>
    <m/>
    <m/>
    <m/>
    <m/>
    <m/>
    <m/>
    <m/>
    <m/>
    <m/>
    <m/>
    <m/>
    <m/>
    <m/>
    <m/>
    <m/>
    <m/>
    <m/>
    <m/>
    <m/>
    <m/>
    <m/>
    <m/>
    <m/>
    <m/>
    <m/>
    <m/>
    <m/>
    <m/>
    <m/>
    <m/>
    <m/>
    <m/>
    <m/>
    <m/>
    <m/>
    <m/>
    <m/>
    <m/>
    <m/>
    <m/>
    <s v="It is always a quick and easy process."/>
    <s v="I wish you bought a wider array of lens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Product &gt; Selection / Variety &gt;, Trade In &gt; Overall Process &gt;"/>
    <m/>
    <m/>
    <s v="Trade In &gt; Overall Process &gt; (Positive)"/>
    <s v="Product &gt; Selection / Variety &gt; (Negative), Trade In &gt; Overall Process &gt; (Positive)"/>
    <s v="Yes"/>
    <s v="No"/>
    <m/>
    <x v="0"/>
    <x v="7"/>
    <x v="0"/>
    <m/>
    <x v="0"/>
    <x v="0"/>
  </r>
  <r>
    <s v="Christopher Raissi - Used Trade-In Product"/>
    <n v="10"/>
    <n v="5"/>
    <d v="2026-02-27T17:51:13"/>
    <n v="5245395"/>
    <s v="Used Trade-In Product"/>
    <m/>
    <s v="Christopher Raissi"/>
    <m/>
    <s v="christopher.raissi@gmail.com"/>
    <m/>
    <s v="New Orleans;Louisiana;70122"/>
    <s v="New Orleans;Louisiana;70122"/>
    <s v="12 months"/>
    <s v="No"/>
    <m/>
    <m/>
    <s v="christopher.raissi@gmail.com"/>
    <s v="12"/>
    <m/>
    <m/>
    <m/>
    <m/>
    <m/>
    <m/>
    <m/>
    <m/>
    <d v="2026-03-02T10:06:26"/>
    <d v="2026-02-27T12:45:22"/>
    <m/>
    <s v="1144120"/>
    <m/>
    <m/>
    <m/>
    <m/>
    <m/>
    <m/>
    <m/>
    <m/>
    <m/>
    <m/>
    <m/>
    <m/>
    <m/>
    <m/>
    <m/>
    <m/>
    <m/>
    <m/>
    <m/>
    <m/>
    <m/>
    <m/>
    <s v="https://bnh.lightning.force.com/0018X00003VRJi6QAH"/>
    <m/>
    <m/>
    <m/>
    <m/>
    <m/>
    <m/>
    <m/>
    <m/>
    <m/>
    <m/>
    <m/>
    <m/>
    <m/>
    <m/>
    <m/>
    <m/>
    <m/>
    <m/>
    <m/>
    <m/>
    <m/>
    <m/>
    <m/>
    <m/>
    <m/>
    <m/>
    <m/>
    <m/>
    <m/>
    <m/>
    <m/>
    <m/>
    <m/>
    <m/>
    <m/>
    <m/>
    <m/>
    <m/>
    <s v="CAD"/>
    <m/>
    <s v="No"/>
    <s v="Efrat Malachi"/>
    <s v="Efrat Malachi"/>
    <d v="2026-02-27T17:50:15"/>
    <s v="Promoter"/>
    <s v="Closed"/>
    <m/>
    <m/>
    <s v="Yes"/>
    <m/>
    <m/>
    <m/>
    <m/>
    <m/>
    <m/>
    <m/>
    <m/>
    <m/>
    <m/>
    <m/>
    <m/>
    <m/>
    <m/>
    <m/>
    <m/>
    <s v="You've consistently honored your quoted price."/>
    <m/>
    <m/>
    <m/>
    <m/>
    <s v="Your quoted price is low. Which balances with the liked most I listed."/>
    <m/>
    <m/>
    <m/>
    <m/>
    <m/>
    <m/>
    <m/>
    <m/>
    <m/>
    <m/>
    <m/>
    <m/>
    <m/>
    <m/>
    <m/>
    <m/>
    <m/>
    <m/>
    <m/>
    <m/>
    <m/>
    <m/>
    <m/>
    <m/>
    <m/>
    <m/>
    <m/>
    <m/>
    <m/>
    <m/>
    <m/>
    <m/>
    <m/>
    <m/>
    <m/>
    <m/>
    <m/>
    <m/>
    <m/>
    <m/>
    <m/>
    <m/>
    <m/>
    <m/>
    <m/>
    <m/>
    <m/>
    <m/>
    <m/>
    <m/>
    <m/>
    <m/>
    <m/>
    <m/>
    <m/>
    <m/>
    <m/>
    <m/>
    <m/>
    <m/>
    <m/>
    <m/>
    <m/>
    <m/>
    <m/>
    <m/>
    <m/>
    <m/>
    <m/>
    <m/>
    <m/>
    <m/>
    <m/>
    <m/>
    <m/>
    <m/>
    <m/>
    <m/>
    <m/>
    <m/>
    <m/>
    <m/>
    <s v="You've consistently honored your quoted price."/>
    <s v="Your quoted price is low. Which balances with the liked most I lis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4"/>
    <m/>
    <m/>
    <m/>
    <m/>
    <m/>
    <m/>
    <n v="5"/>
    <n v="5"/>
    <n v="5"/>
    <n v="4"/>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B&amp;H &gt; Reliable / Trustworthy &gt;, Trade In &gt; Quote Price &gt;"/>
    <m/>
    <m/>
    <s v="Pricing &gt; Value for Money &gt; (Negative), Pricing &gt; Value for Money &gt; (Positive), Trade In &gt; Quote Price &gt; (Negative), Trade In &gt; Quote Price &gt; (Positive), Used &gt; Pricing &gt; (Negative), Used &gt; Pricing &gt; (Positive)"/>
    <s v="B&amp;H &gt; Reliable / Trustworthy &gt; (Positive), Trade In &gt; Quote Price &gt; (Negative), Trade In &gt; Quote Price &gt; (Positive)"/>
    <s v="Yes"/>
    <s v="Yes"/>
    <m/>
    <x v="8"/>
    <x v="8"/>
    <x v="0"/>
    <m/>
    <x v="0"/>
    <x v="0"/>
  </r>
  <r>
    <s v="Reginald Heggie - Used Trade-In Product"/>
    <n v="10"/>
    <n v="5"/>
    <d v="2026-02-27T10:53:09"/>
    <n v="5244532"/>
    <s v="Used Trade-In Product"/>
    <m/>
    <s v="Reginald Heggie"/>
    <m/>
    <s v="rheggie@optonline.net"/>
    <m/>
    <s v="Elmont;New York;11003"/>
    <s v="Elmont;New York;11003"/>
    <s v="2 years 9 months"/>
    <s v="No"/>
    <m/>
    <m/>
    <s v="rheggie@optonline.net"/>
    <s v="33"/>
    <m/>
    <m/>
    <m/>
    <m/>
    <m/>
    <m/>
    <m/>
    <m/>
    <d v="2026-03-01T10:00:24"/>
    <d v="2026-02-17T17:22:23"/>
    <m/>
    <s v="1143666"/>
    <m/>
    <m/>
    <m/>
    <m/>
    <m/>
    <m/>
    <m/>
    <m/>
    <m/>
    <m/>
    <m/>
    <m/>
    <m/>
    <m/>
    <m/>
    <m/>
    <m/>
    <m/>
    <m/>
    <m/>
    <m/>
    <m/>
    <s v="https://bnh.lightning.force.com/0018X00003GK4wAQAT"/>
    <m/>
    <m/>
    <m/>
    <m/>
    <m/>
    <m/>
    <m/>
    <m/>
    <m/>
    <m/>
    <m/>
    <m/>
    <m/>
    <m/>
    <m/>
    <m/>
    <m/>
    <m/>
    <m/>
    <m/>
    <m/>
    <m/>
    <m/>
    <m/>
    <m/>
    <m/>
    <m/>
    <m/>
    <m/>
    <m/>
    <m/>
    <m/>
    <m/>
    <m/>
    <m/>
    <m/>
    <m/>
    <m/>
    <s v="CAD"/>
    <m/>
    <s v="No"/>
    <s v="Aine Hoye"/>
    <s v="Aine Hoye"/>
    <d v="2026-02-27T10:51:17"/>
    <s v="Promoter"/>
    <s v="Closed"/>
    <m/>
    <m/>
    <s v="Yes"/>
    <m/>
    <m/>
    <m/>
    <m/>
    <m/>
    <m/>
    <m/>
    <m/>
    <m/>
    <m/>
    <m/>
    <m/>
    <m/>
    <m/>
    <m/>
    <m/>
    <s v="Great service. The salesperson was knowledgeable and kind. Sales Person code: PA"/>
    <m/>
    <m/>
    <m/>
    <m/>
    <s v="N/A."/>
    <m/>
    <m/>
    <m/>
    <m/>
    <m/>
    <m/>
    <m/>
    <m/>
    <m/>
    <m/>
    <m/>
    <m/>
    <m/>
    <m/>
    <m/>
    <m/>
    <m/>
    <m/>
    <m/>
    <m/>
    <m/>
    <m/>
    <m/>
    <m/>
    <m/>
    <m/>
    <m/>
    <m/>
    <m/>
    <m/>
    <m/>
    <m/>
    <m/>
    <m/>
    <m/>
    <m/>
    <m/>
    <m/>
    <m/>
    <m/>
    <m/>
    <m/>
    <m/>
    <m/>
    <m/>
    <m/>
    <m/>
    <m/>
    <m/>
    <m/>
    <m/>
    <m/>
    <m/>
    <m/>
    <m/>
    <m/>
    <m/>
    <m/>
    <m/>
    <m/>
    <m/>
    <m/>
    <m/>
    <m/>
    <m/>
    <m/>
    <m/>
    <m/>
    <m/>
    <m/>
    <m/>
    <m/>
    <m/>
    <m/>
    <m/>
    <m/>
    <m/>
    <m/>
    <m/>
    <m/>
    <m/>
    <m/>
    <s v="Great service. The salesperson was knowledgeable and kind. Sales Person code: PA"/>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s v="N/A"/>
    <n v="5"/>
    <n v="5"/>
    <m/>
    <m/>
    <m/>
    <m/>
    <m/>
    <m/>
    <m/>
    <m/>
    <m/>
    <m/>
    <m/>
    <m/>
    <m/>
    <m/>
    <m/>
    <m/>
    <m/>
    <m/>
    <m/>
    <m/>
    <m/>
    <m/>
    <m/>
    <m/>
    <m/>
    <m/>
    <m/>
    <m/>
    <m/>
    <m/>
    <m/>
    <m/>
    <m/>
    <m/>
    <m/>
    <m/>
    <m/>
    <m/>
    <m/>
    <m/>
    <m/>
    <m/>
    <m/>
    <m/>
    <m/>
    <m/>
    <m/>
    <m/>
    <m/>
    <m/>
    <m/>
    <m/>
    <m/>
    <m/>
    <m/>
    <m/>
    <m/>
    <m/>
    <m/>
    <m/>
    <m/>
    <m/>
    <m/>
    <m/>
    <m/>
    <m/>
    <m/>
    <m/>
    <m/>
    <m/>
    <m/>
    <m/>
    <m/>
    <m/>
    <m/>
    <m/>
    <m/>
    <m/>
    <m/>
    <m/>
    <m/>
    <m/>
    <m/>
    <m/>
    <m/>
    <m/>
    <m/>
    <m/>
    <m/>
    <m/>
    <m/>
    <m/>
    <m/>
    <m/>
    <m/>
    <m/>
    <m/>
    <m/>
    <m/>
    <m/>
    <m/>
    <s v="People &gt; Courtesy / Professional &gt;, People &gt; Knowledge / Recommend &gt;"/>
    <s v="People &gt; Courtesy / Professional &gt;, People &gt; Knowledge / Recommend &gt;, Trade In &gt; Overall Process &gt;"/>
    <m/>
    <s v="NEUTRAL"/>
    <s v="People &gt; Courtesy / Professional &gt; (Positive), People &gt; Knowledge / Recommend &gt; (Positive)"/>
    <s v="People &gt; Courtesy / Professional &gt; (Positive), People &gt; Knowledge / Recommend &gt; (Positive), Trade In &gt; Overall Process &gt; (Positive)"/>
    <s v="Yes"/>
    <s v="No"/>
    <m/>
    <x v="7"/>
    <x v="0"/>
    <x v="0"/>
    <m/>
    <x v="0"/>
    <x v="0"/>
  </r>
  <r>
    <s v="Suzanne Keller - Used Trade-In Product"/>
    <n v="10"/>
    <n v="4"/>
    <d v="2026-02-27T10:23:19"/>
    <n v="5244438"/>
    <s v="Used Trade-In Product"/>
    <m/>
    <s v="Suzanne Keller"/>
    <m/>
    <s v="suzheart03@yahoo.com"/>
    <m/>
    <s v="Richmond;Virginia;23227"/>
    <m/>
    <s v="14 years 0 months"/>
    <s v="No"/>
    <m/>
    <m/>
    <s v="suzheart03@yahoo.com"/>
    <s v="168"/>
    <m/>
    <m/>
    <m/>
    <m/>
    <m/>
    <m/>
    <m/>
    <m/>
    <d v="2026-03-01T09:35:01"/>
    <d v="2026-02-27T12:46:56"/>
    <m/>
    <s v="1145120"/>
    <m/>
    <m/>
    <m/>
    <m/>
    <m/>
    <m/>
    <m/>
    <m/>
    <m/>
    <m/>
    <m/>
    <m/>
    <m/>
    <m/>
    <m/>
    <m/>
    <m/>
    <m/>
    <m/>
    <m/>
    <m/>
    <m/>
    <s v="https://bnh.lightning.force.com/001WP00000uzknNYAQ"/>
    <m/>
    <m/>
    <m/>
    <m/>
    <m/>
    <m/>
    <m/>
    <m/>
    <m/>
    <m/>
    <m/>
    <m/>
    <m/>
    <m/>
    <m/>
    <m/>
    <m/>
    <m/>
    <m/>
    <m/>
    <m/>
    <m/>
    <m/>
    <m/>
    <m/>
    <m/>
    <m/>
    <m/>
    <m/>
    <m/>
    <m/>
    <m/>
    <m/>
    <m/>
    <m/>
    <m/>
    <m/>
    <m/>
    <s v="CAD"/>
    <m/>
    <s v="No"/>
    <s v="Aine Hoye"/>
    <s v="Aine Hoye"/>
    <d v="2026-02-27T10:23:11"/>
    <s v="Promoter"/>
    <s v="Closed"/>
    <m/>
    <m/>
    <s v="Yes"/>
    <m/>
    <m/>
    <m/>
    <m/>
    <m/>
    <m/>
    <m/>
    <m/>
    <m/>
    <m/>
    <m/>
    <m/>
    <m/>
    <m/>
    <m/>
    <m/>
    <s v="Ease of process."/>
    <m/>
    <m/>
    <m/>
    <m/>
    <s v="A slightly higher offer, 100.00 would have been nice."/>
    <m/>
    <m/>
    <m/>
    <m/>
    <m/>
    <m/>
    <m/>
    <m/>
    <m/>
    <m/>
    <m/>
    <m/>
    <m/>
    <m/>
    <m/>
    <m/>
    <m/>
    <m/>
    <m/>
    <m/>
    <m/>
    <m/>
    <m/>
    <m/>
    <m/>
    <m/>
    <m/>
    <m/>
    <m/>
    <m/>
    <m/>
    <m/>
    <m/>
    <m/>
    <m/>
    <m/>
    <m/>
    <m/>
    <m/>
    <m/>
    <m/>
    <m/>
    <m/>
    <m/>
    <m/>
    <m/>
    <m/>
    <m/>
    <m/>
    <m/>
    <m/>
    <m/>
    <m/>
    <m/>
    <m/>
    <m/>
    <m/>
    <m/>
    <m/>
    <m/>
    <m/>
    <m/>
    <m/>
    <m/>
    <m/>
    <m/>
    <m/>
    <m/>
    <m/>
    <m/>
    <m/>
    <m/>
    <m/>
    <m/>
    <m/>
    <m/>
    <m/>
    <m/>
    <m/>
    <m/>
    <m/>
    <m/>
    <s v="Ease of process."/>
    <s v="A slightly higher offer, 100.00 would have been n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Positive)"/>
    <s v="Trade In &gt; Overall Process &gt; (Positive), Trade In &gt; Quote Price &gt; (Negative)"/>
    <s v="Yes"/>
    <s v="No"/>
    <m/>
    <x v="5"/>
    <x v="8"/>
    <x v="0"/>
    <m/>
    <x v="0"/>
    <x v="0"/>
  </r>
  <r>
    <s v="Zach Ashcraft - Used Trade-In Product"/>
    <n v="10"/>
    <n v="5"/>
    <d v="2026-02-27T10:02:45"/>
    <n v="5244356"/>
    <s v="Used Trade-In Product"/>
    <m/>
    <s v="Zach Ashcraft"/>
    <m/>
    <s v="zach.ashcraft@cityofdenton.com"/>
    <m/>
    <s v="Denton;Texas;76201"/>
    <m/>
    <m/>
    <s v="No"/>
    <m/>
    <m/>
    <s v="zach.ashcraft@cityofdenton.com"/>
    <m/>
    <m/>
    <m/>
    <m/>
    <m/>
    <m/>
    <m/>
    <m/>
    <m/>
    <d v="2026-03-02T09:31:51"/>
    <d v="2026-02-27T12:47:32"/>
    <m/>
    <s v="1144248"/>
    <m/>
    <m/>
    <m/>
    <m/>
    <m/>
    <m/>
    <m/>
    <m/>
    <m/>
    <m/>
    <m/>
    <m/>
    <m/>
    <m/>
    <m/>
    <m/>
    <m/>
    <m/>
    <m/>
    <m/>
    <m/>
    <m/>
    <s v="https://bnh.lightning.force.com/001WP00000oeMlIYAU"/>
    <m/>
    <m/>
    <m/>
    <m/>
    <m/>
    <m/>
    <m/>
    <m/>
    <m/>
    <m/>
    <m/>
    <m/>
    <m/>
    <m/>
    <m/>
    <m/>
    <m/>
    <m/>
    <m/>
    <m/>
    <m/>
    <m/>
    <m/>
    <m/>
    <m/>
    <m/>
    <m/>
    <m/>
    <m/>
    <m/>
    <m/>
    <m/>
    <m/>
    <m/>
    <m/>
    <m/>
    <m/>
    <m/>
    <s v="CAD"/>
    <m/>
    <s v="No"/>
    <s v="Andrea Garcia"/>
    <s v="Andrea Garcia"/>
    <d v="2026-02-27T10:02:51"/>
    <s v="Promoter"/>
    <s v="Closed"/>
    <m/>
    <m/>
    <s v="Yes"/>
    <m/>
    <m/>
    <m/>
    <m/>
    <m/>
    <m/>
    <m/>
    <m/>
    <m/>
    <m/>
    <m/>
    <m/>
    <m/>
    <m/>
    <m/>
    <m/>
    <s v="The web app is great for items that are in the system."/>
    <m/>
    <m/>
    <m/>
    <m/>
    <s v="I wish I could build a quote in progress and save it to continue working on it later, rather than have to do it all at once"/>
    <m/>
    <m/>
    <m/>
    <m/>
    <m/>
    <m/>
    <m/>
    <m/>
    <m/>
    <m/>
    <m/>
    <m/>
    <m/>
    <m/>
    <m/>
    <m/>
    <m/>
    <m/>
    <m/>
    <m/>
    <m/>
    <m/>
    <m/>
    <m/>
    <m/>
    <m/>
    <m/>
    <m/>
    <m/>
    <m/>
    <m/>
    <m/>
    <m/>
    <m/>
    <m/>
    <m/>
    <m/>
    <m/>
    <m/>
    <m/>
    <m/>
    <m/>
    <m/>
    <m/>
    <m/>
    <m/>
    <m/>
    <m/>
    <m/>
    <m/>
    <m/>
    <m/>
    <m/>
    <m/>
    <m/>
    <m/>
    <m/>
    <m/>
    <m/>
    <m/>
    <m/>
    <m/>
    <m/>
    <m/>
    <m/>
    <m/>
    <m/>
    <m/>
    <m/>
    <m/>
    <m/>
    <m/>
    <m/>
    <m/>
    <m/>
    <m/>
    <m/>
    <m/>
    <m/>
    <m/>
    <m/>
    <m/>
    <s v="The web app is great for items that are in the system."/>
    <s v="I wish I could build a quote in progress and save it to continue working on it later, rather than have to do it all at o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4"/>
    <m/>
    <m/>
    <m/>
    <m/>
    <m/>
    <m/>
    <n v="5"/>
    <n v="4"/>
    <n v="5"/>
    <n v="5"/>
    <m/>
    <m/>
    <m/>
    <m/>
    <m/>
    <m/>
    <m/>
    <m/>
    <m/>
    <m/>
    <m/>
    <m/>
    <m/>
    <m/>
    <m/>
    <m/>
    <m/>
    <m/>
    <m/>
    <m/>
    <m/>
    <m/>
    <m/>
    <m/>
    <m/>
    <m/>
    <m/>
    <m/>
    <m/>
    <m/>
    <m/>
    <m/>
    <m/>
    <m/>
    <m/>
    <m/>
    <m/>
    <m/>
    <m/>
    <m/>
    <m/>
    <m/>
    <m/>
    <m/>
    <m/>
    <m/>
    <m/>
    <m/>
    <m/>
    <m/>
    <m/>
    <m/>
    <m/>
    <m/>
    <m/>
    <m/>
    <m/>
    <m/>
    <m/>
    <m/>
    <m/>
    <m/>
    <m/>
    <m/>
    <m/>
    <m/>
    <m/>
    <m/>
    <m/>
    <m/>
    <m/>
    <m/>
    <m/>
    <m/>
    <m/>
    <m/>
    <m/>
    <m/>
    <m/>
    <m/>
    <m/>
    <m/>
    <m/>
    <m/>
    <m/>
    <m/>
    <m/>
    <m/>
    <m/>
    <m/>
    <m/>
    <m/>
    <m/>
    <m/>
    <m/>
    <m/>
    <m/>
    <m/>
    <m/>
    <m/>
    <m/>
    <s v="Mobile | App &gt; Overall Satisfaction &gt;, Trade In &gt; Overall Process &gt;"/>
    <s v="Mobile | App &gt; Overall Satisfaction &gt;, Trade In &gt; Overall Process &gt;"/>
    <m/>
    <m/>
    <s v="Mobile | App &gt; Overall Satisfaction &gt; (Positive), Trade In &gt; Overall Process &gt; (Negative)"/>
    <s v="Mobile | App &gt; Overall Satisfaction &gt; (Positive), Trade In &gt; Overall Process &gt; (Negative), Trade In &gt; Overall Process &gt; (Positive)"/>
    <s v="Yes"/>
    <s v="Yes"/>
    <m/>
    <x v="9"/>
    <x v="0"/>
    <x v="0"/>
    <m/>
    <x v="0"/>
    <x v="0"/>
  </r>
  <r>
    <s v="Leonard Diliberto - Used Trade-In Product"/>
    <n v="10"/>
    <n v="5"/>
    <d v="2026-02-27T09:54:14"/>
    <n v="5244322"/>
    <s v="Used Trade-In Product"/>
    <m/>
    <s v="Leonard Diliberto"/>
    <m/>
    <s v="leonard_diliberto_92@comcast.net"/>
    <m/>
    <s v="Flemington;New Jersey;08822"/>
    <m/>
    <s v="11 years 8 months"/>
    <s v="Yes"/>
    <m/>
    <m/>
    <s v="leonard_diliberto_92@comcast.net"/>
    <s v="140"/>
    <m/>
    <m/>
    <m/>
    <m/>
    <m/>
    <m/>
    <m/>
    <m/>
    <d v="2026-03-02T09:33:42"/>
    <d v="2026-02-27T12:45:18"/>
    <m/>
    <s v="1144216"/>
    <m/>
    <m/>
    <m/>
    <m/>
    <m/>
    <m/>
    <m/>
    <m/>
    <m/>
    <m/>
    <m/>
    <m/>
    <m/>
    <m/>
    <m/>
    <m/>
    <m/>
    <m/>
    <m/>
    <m/>
    <m/>
    <m/>
    <s v="https://bnh.lightning.force.com/001WP00000uRN7AYAW"/>
    <m/>
    <m/>
    <m/>
    <m/>
    <m/>
    <m/>
    <m/>
    <m/>
    <m/>
    <m/>
    <m/>
    <m/>
    <m/>
    <m/>
    <m/>
    <m/>
    <m/>
    <m/>
    <m/>
    <m/>
    <m/>
    <m/>
    <m/>
    <m/>
    <m/>
    <m/>
    <m/>
    <m/>
    <m/>
    <m/>
    <m/>
    <m/>
    <m/>
    <m/>
    <m/>
    <m/>
    <m/>
    <m/>
    <s v="CAD"/>
    <m/>
    <s v="No"/>
    <s v="Andrea Garcia"/>
    <s v="Andrea Garcia"/>
    <d v="2026-02-27T09:53:30"/>
    <s v="Promoter"/>
    <s v="Closed"/>
    <m/>
    <m/>
    <s v="Yes"/>
    <m/>
    <m/>
    <m/>
    <m/>
    <m/>
    <m/>
    <m/>
    <m/>
    <m/>
    <m/>
    <m/>
    <m/>
    <m/>
    <m/>
    <m/>
    <m/>
    <s v="My item was appraised at the level I expected - no issue - Thank you !"/>
    <m/>
    <m/>
    <m/>
    <m/>
    <s v="Nothing - You folks are great - I have been doing business with you for over 40 years !!"/>
    <m/>
    <m/>
    <m/>
    <m/>
    <m/>
    <m/>
    <m/>
    <m/>
    <m/>
    <m/>
    <m/>
    <m/>
    <m/>
    <m/>
    <m/>
    <m/>
    <m/>
    <m/>
    <m/>
    <m/>
    <m/>
    <m/>
    <m/>
    <m/>
    <m/>
    <m/>
    <m/>
    <m/>
    <m/>
    <m/>
    <m/>
    <m/>
    <m/>
    <m/>
    <m/>
    <m/>
    <m/>
    <m/>
    <m/>
    <m/>
    <m/>
    <m/>
    <m/>
    <m/>
    <m/>
    <m/>
    <m/>
    <m/>
    <m/>
    <m/>
    <m/>
    <m/>
    <m/>
    <m/>
    <m/>
    <m/>
    <m/>
    <m/>
    <m/>
    <m/>
    <m/>
    <m/>
    <m/>
    <m/>
    <m/>
    <m/>
    <m/>
    <m/>
    <m/>
    <m/>
    <m/>
    <m/>
    <m/>
    <m/>
    <m/>
    <m/>
    <m/>
    <m/>
    <m/>
    <m/>
    <m/>
    <m/>
    <s v="My item was appraised at the level I expected - no issue - Thank you !"/>
    <s v="Nothing - You folks are great - I have been doing business with you for over 40 years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Loyalty &gt;, B&amp;H &gt; Satisfaction &gt;, Trade In &gt; Overall Process &gt;"/>
    <m/>
    <m/>
    <m/>
    <s v="B&amp;H &gt; Loyalty &gt; (Positive), B&amp;H &gt; Satisfaction &gt; (Positive), Trade In &gt; Overall Process &gt; (Positive)"/>
    <s v="Yes"/>
    <s v="No"/>
    <m/>
    <x v="10"/>
    <x v="0"/>
    <x v="0"/>
    <m/>
    <x v="0"/>
    <x v="0"/>
  </r>
  <r>
    <s v="Sheldon Golder - Used Trade-In Product"/>
    <n v="10"/>
    <n v="5"/>
    <d v="2026-02-27T09:46:22"/>
    <n v="5244302"/>
    <s v="Used Trade-In Product"/>
    <m/>
    <s v="Sheldon Golder"/>
    <m/>
    <s v="spgolder107@gmail.com"/>
    <m/>
    <s v="Framingham;Massachusetts;01701"/>
    <m/>
    <s v="16 years 8 months"/>
    <s v="Yes"/>
    <m/>
    <m/>
    <s v="spgolder107@gmail.com"/>
    <s v="200"/>
    <m/>
    <m/>
    <m/>
    <m/>
    <m/>
    <m/>
    <m/>
    <m/>
    <d v="2026-03-02T09:35:58"/>
    <d v="2026-02-27T12:45:00"/>
    <m/>
    <s v="1144188"/>
    <m/>
    <m/>
    <m/>
    <m/>
    <m/>
    <m/>
    <m/>
    <m/>
    <m/>
    <m/>
    <m/>
    <m/>
    <m/>
    <m/>
    <m/>
    <m/>
    <m/>
    <m/>
    <m/>
    <m/>
    <m/>
    <m/>
    <s v="https://bnh.lightning.force.com/001WP00000uR0UCYA0"/>
    <m/>
    <m/>
    <m/>
    <m/>
    <m/>
    <m/>
    <m/>
    <m/>
    <m/>
    <m/>
    <m/>
    <m/>
    <m/>
    <m/>
    <m/>
    <m/>
    <m/>
    <m/>
    <m/>
    <m/>
    <m/>
    <m/>
    <m/>
    <m/>
    <m/>
    <m/>
    <m/>
    <m/>
    <m/>
    <m/>
    <m/>
    <m/>
    <m/>
    <m/>
    <m/>
    <m/>
    <m/>
    <m/>
    <s v="CAD"/>
    <m/>
    <s v="No"/>
    <s v="Andrea Garcia"/>
    <s v="Andrea Garcia"/>
    <d v="2026-02-27T09:46:45"/>
    <s v="Promoter"/>
    <s v="Closed"/>
    <m/>
    <m/>
    <s v="Yes"/>
    <m/>
    <m/>
    <m/>
    <m/>
    <m/>
    <m/>
    <m/>
    <m/>
    <m/>
    <m/>
    <m/>
    <m/>
    <m/>
    <m/>
    <m/>
    <m/>
    <s v="Very easy experience"/>
    <m/>
    <m/>
    <m/>
    <m/>
    <s v="Nothing"/>
    <m/>
    <m/>
    <m/>
    <m/>
    <m/>
    <m/>
    <m/>
    <m/>
    <m/>
    <m/>
    <m/>
    <m/>
    <m/>
    <m/>
    <m/>
    <m/>
    <m/>
    <m/>
    <m/>
    <m/>
    <m/>
    <m/>
    <m/>
    <m/>
    <m/>
    <m/>
    <m/>
    <m/>
    <m/>
    <m/>
    <m/>
    <m/>
    <m/>
    <m/>
    <m/>
    <m/>
    <m/>
    <m/>
    <m/>
    <m/>
    <m/>
    <m/>
    <m/>
    <m/>
    <m/>
    <m/>
    <m/>
    <m/>
    <m/>
    <m/>
    <m/>
    <m/>
    <m/>
    <m/>
    <m/>
    <m/>
    <m/>
    <m/>
    <m/>
    <m/>
    <m/>
    <m/>
    <m/>
    <m/>
    <m/>
    <m/>
    <m/>
    <m/>
    <m/>
    <m/>
    <m/>
    <m/>
    <m/>
    <m/>
    <m/>
    <m/>
    <m/>
    <m/>
    <m/>
    <m/>
    <m/>
    <m/>
    <s v="Very easy experienc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Judith Kepshire - Used Trade-In Product"/>
    <n v="10"/>
    <n v="5"/>
    <d v="2026-02-27T08:13:38"/>
    <n v="5244043"/>
    <s v="Used Trade-In Product"/>
    <m/>
    <s v="Judith Kepshire"/>
    <m/>
    <s v="jkepshire1@comcast.net"/>
    <m/>
    <s v="Chesterton;Indiana;46304"/>
    <m/>
    <s v="22 years 8 months"/>
    <s v="No"/>
    <m/>
    <m/>
    <s v="jkepshire1@comcast.net"/>
    <s v="272"/>
    <m/>
    <m/>
    <m/>
    <m/>
    <m/>
    <m/>
    <m/>
    <m/>
    <d v="2026-02-27T10:13:42"/>
    <d v="2026-02-26T12:53:06"/>
    <m/>
    <s v="1143171"/>
    <m/>
    <m/>
    <m/>
    <m/>
    <m/>
    <m/>
    <m/>
    <m/>
    <m/>
    <m/>
    <m/>
    <m/>
    <m/>
    <m/>
    <m/>
    <m/>
    <m/>
    <m/>
    <m/>
    <m/>
    <m/>
    <m/>
    <s v="https://bnh.lightning.force.com/0011a00000rwr6jAAA"/>
    <m/>
    <m/>
    <m/>
    <m/>
    <m/>
    <m/>
    <m/>
    <m/>
    <m/>
    <m/>
    <m/>
    <m/>
    <m/>
    <m/>
    <m/>
    <m/>
    <m/>
    <m/>
    <m/>
    <m/>
    <m/>
    <m/>
    <m/>
    <m/>
    <m/>
    <m/>
    <m/>
    <m/>
    <m/>
    <m/>
    <m/>
    <m/>
    <m/>
    <m/>
    <m/>
    <m/>
    <m/>
    <m/>
    <s v="CAD"/>
    <m/>
    <s v="No"/>
    <s v="Gershon Orenstein"/>
    <s v="Gershon Orenstein"/>
    <d v="2026-02-27T08:08:43"/>
    <s v="Promoter"/>
    <s v="Closed"/>
    <m/>
    <m/>
    <s v="Yes"/>
    <m/>
    <m/>
    <m/>
    <m/>
    <m/>
    <m/>
    <m/>
    <m/>
    <m/>
    <m/>
    <m/>
    <m/>
    <m/>
    <m/>
    <m/>
    <m/>
    <s v="The whole experience was very easy."/>
    <m/>
    <m/>
    <m/>
    <m/>
    <s v="I thought I would get a little more for my camera that was hardly used."/>
    <m/>
    <m/>
    <m/>
    <m/>
    <m/>
    <m/>
    <m/>
    <m/>
    <m/>
    <m/>
    <m/>
    <m/>
    <m/>
    <m/>
    <m/>
    <m/>
    <m/>
    <m/>
    <m/>
    <m/>
    <m/>
    <m/>
    <m/>
    <m/>
    <m/>
    <m/>
    <m/>
    <m/>
    <m/>
    <m/>
    <m/>
    <m/>
    <m/>
    <m/>
    <m/>
    <m/>
    <m/>
    <m/>
    <m/>
    <m/>
    <m/>
    <m/>
    <m/>
    <m/>
    <m/>
    <m/>
    <m/>
    <m/>
    <m/>
    <m/>
    <m/>
    <m/>
    <m/>
    <m/>
    <m/>
    <m/>
    <m/>
    <m/>
    <m/>
    <m/>
    <m/>
    <m/>
    <m/>
    <m/>
    <m/>
    <m/>
    <m/>
    <m/>
    <m/>
    <m/>
    <m/>
    <m/>
    <m/>
    <m/>
    <m/>
    <m/>
    <m/>
    <m/>
    <m/>
    <m/>
    <m/>
    <m/>
    <s v="The whole experience was very easy."/>
    <s v="I thought I would get a little more for my camera that was hardly us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m/>
    <s v="Trade In &gt; Overall Process &gt;, Trade In &gt; Quote Price &gt;"/>
    <m/>
    <m/>
    <m/>
    <s v="Trade In &gt; Overall Process &gt; (Strongly positive), Trade In &gt; Quote Price &gt; (Negative)"/>
    <s v="Yes"/>
    <s v="Yes"/>
    <m/>
    <x v="0"/>
    <x v="8"/>
    <x v="0"/>
    <m/>
    <x v="0"/>
    <x v="0"/>
  </r>
  <r>
    <s v="John Bartucci - Used Trade-In Product"/>
    <n v="10"/>
    <n v="5"/>
    <d v="2026-02-26T18:18:10"/>
    <n v="5243209"/>
    <s v="Used Trade-In Product"/>
    <m/>
    <s v="John Bartucci"/>
    <m/>
    <s v="astrok8jb@gmail.com"/>
    <m/>
    <s v="Cuyahoga Falls;Ohio;44223"/>
    <m/>
    <m/>
    <s v="No"/>
    <m/>
    <m/>
    <s v="astrok8jb@gmail.com"/>
    <m/>
    <m/>
    <m/>
    <m/>
    <m/>
    <m/>
    <m/>
    <m/>
    <m/>
    <d v="2026-02-27T09:06:55"/>
    <d v="2026-02-26T12:53:08"/>
    <m/>
    <s v="1143388"/>
    <m/>
    <m/>
    <m/>
    <m/>
    <m/>
    <m/>
    <m/>
    <m/>
    <m/>
    <m/>
    <m/>
    <m/>
    <m/>
    <m/>
    <m/>
    <m/>
    <m/>
    <m/>
    <m/>
    <m/>
    <m/>
    <m/>
    <s v="https://bnh.lightning.force.com/0011a00000X6e6TAAR"/>
    <m/>
    <m/>
    <m/>
    <m/>
    <m/>
    <m/>
    <m/>
    <m/>
    <m/>
    <m/>
    <m/>
    <m/>
    <m/>
    <m/>
    <m/>
    <m/>
    <m/>
    <m/>
    <m/>
    <m/>
    <m/>
    <m/>
    <m/>
    <m/>
    <m/>
    <m/>
    <m/>
    <m/>
    <m/>
    <m/>
    <m/>
    <m/>
    <m/>
    <m/>
    <m/>
    <m/>
    <m/>
    <m/>
    <s v="CAD"/>
    <m/>
    <s v="No"/>
    <s v="Freddy Gomez"/>
    <s v="Freddy Gomez"/>
    <d v="2026-02-26T18:18:09"/>
    <s v="Promoter"/>
    <s v="Closed"/>
    <m/>
    <m/>
    <s v="Yes"/>
    <m/>
    <m/>
    <m/>
    <m/>
    <m/>
    <m/>
    <m/>
    <m/>
    <m/>
    <m/>
    <m/>
    <m/>
    <m/>
    <m/>
    <m/>
    <m/>
    <s v="Quick and easy quote, prepaid mailer, lived up to the quoted price"/>
    <m/>
    <m/>
    <m/>
    <m/>
    <s v="Nothing at all, great service"/>
    <m/>
    <m/>
    <m/>
    <m/>
    <m/>
    <m/>
    <m/>
    <m/>
    <m/>
    <m/>
    <m/>
    <m/>
    <m/>
    <m/>
    <m/>
    <m/>
    <m/>
    <m/>
    <m/>
    <m/>
    <m/>
    <m/>
    <m/>
    <m/>
    <m/>
    <m/>
    <m/>
    <m/>
    <m/>
    <m/>
    <m/>
    <m/>
    <m/>
    <m/>
    <m/>
    <m/>
    <m/>
    <m/>
    <m/>
    <m/>
    <m/>
    <m/>
    <m/>
    <m/>
    <m/>
    <m/>
    <m/>
    <m/>
    <m/>
    <m/>
    <m/>
    <m/>
    <m/>
    <m/>
    <m/>
    <m/>
    <m/>
    <m/>
    <m/>
    <m/>
    <m/>
    <m/>
    <m/>
    <m/>
    <m/>
    <m/>
    <m/>
    <m/>
    <m/>
    <m/>
    <m/>
    <m/>
    <m/>
    <m/>
    <m/>
    <m/>
    <m/>
    <m/>
    <m/>
    <m/>
    <m/>
    <m/>
    <s v="Quick and easy quote, prepaid mailer, lived up to the quoted price"/>
    <s v="Nothing at all, great serv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Trade In &gt; Timeliness of Quote &gt;, Used &gt; Pricing &gt;"/>
    <s v="Trade In &gt; Overall Process &gt;, Trade In &gt; Quote Price &gt;, Trade In &gt; Timeliness of Quote &gt;"/>
    <m/>
    <m/>
    <s v="Pricing &gt; Value for Money &gt; (Positive), Trade In &gt; Quote Price &gt; (Positive), Trade In &gt; Timeliness of Quote &gt; (Positive), Used &gt; Pricing &gt; (Positive)"/>
    <s v="Trade In &gt; Overall Process &gt; (Positive), Trade In &gt; Quote Price &gt; (Positive), Trade In &gt; Timeliness of Quote &gt; (Positive)"/>
    <s v="Yes"/>
    <s v="Yes"/>
    <m/>
    <x v="0"/>
    <x v="9"/>
    <x v="3"/>
    <m/>
    <x v="0"/>
    <x v="0"/>
  </r>
  <r>
    <s v="Anna Martin - Used Trade-In Product"/>
    <n v="8"/>
    <n v="4"/>
    <d v="2026-02-26T17:20:13"/>
    <n v="5243087"/>
    <s v="Used Trade-In Product"/>
    <m/>
    <s v="Anna Martin"/>
    <m/>
    <s v="sevenmartinz@comcast.net"/>
    <m/>
    <s v="Greeley;Colorado;80634"/>
    <m/>
    <m/>
    <s v="No"/>
    <m/>
    <m/>
    <s v="sevenmartinz@comcast.net"/>
    <m/>
    <m/>
    <m/>
    <m/>
    <m/>
    <m/>
    <m/>
    <m/>
    <m/>
    <d v="2026-02-27T09:05:04"/>
    <d v="2026-02-24T13:13:52"/>
    <m/>
    <s v="1142586"/>
    <m/>
    <m/>
    <m/>
    <m/>
    <m/>
    <m/>
    <m/>
    <m/>
    <m/>
    <m/>
    <m/>
    <m/>
    <m/>
    <m/>
    <m/>
    <m/>
    <m/>
    <m/>
    <m/>
    <m/>
    <m/>
    <m/>
    <s v="https://bnh.lightning.force.com/001WP00000jjKdoYAE"/>
    <m/>
    <m/>
    <m/>
    <m/>
    <m/>
    <m/>
    <m/>
    <m/>
    <m/>
    <m/>
    <m/>
    <m/>
    <m/>
    <m/>
    <m/>
    <m/>
    <m/>
    <m/>
    <m/>
    <m/>
    <m/>
    <m/>
    <m/>
    <m/>
    <m/>
    <m/>
    <m/>
    <m/>
    <m/>
    <m/>
    <m/>
    <m/>
    <m/>
    <m/>
    <m/>
    <m/>
    <m/>
    <m/>
    <s v="CAD"/>
    <m/>
    <s v="No"/>
    <s v="Efrat Malachi"/>
    <s v="Efrat Malachi"/>
    <d v="2026-02-26T17:19:08"/>
    <s v="Passive"/>
    <s v="Closed"/>
    <m/>
    <m/>
    <s v="Yes"/>
    <m/>
    <m/>
    <m/>
    <m/>
    <m/>
    <m/>
    <m/>
    <m/>
    <m/>
    <m/>
    <m/>
    <m/>
    <m/>
    <m/>
    <m/>
    <m/>
    <s v="I liked speaking to a live person about the valued assessment of my items."/>
    <m/>
    <m/>
    <m/>
    <m/>
    <s v="I was hoping my camera lens would be valued a little higher than it was."/>
    <m/>
    <m/>
    <m/>
    <m/>
    <m/>
    <m/>
    <m/>
    <m/>
    <m/>
    <m/>
    <m/>
    <m/>
    <m/>
    <m/>
    <m/>
    <m/>
    <m/>
    <m/>
    <m/>
    <m/>
    <m/>
    <m/>
    <m/>
    <m/>
    <m/>
    <m/>
    <m/>
    <m/>
    <m/>
    <m/>
    <m/>
    <m/>
    <m/>
    <m/>
    <m/>
    <m/>
    <m/>
    <m/>
    <m/>
    <m/>
    <m/>
    <m/>
    <m/>
    <m/>
    <m/>
    <m/>
    <m/>
    <m/>
    <m/>
    <m/>
    <m/>
    <m/>
    <m/>
    <m/>
    <m/>
    <m/>
    <m/>
    <m/>
    <m/>
    <m/>
    <m/>
    <m/>
    <m/>
    <m/>
    <m/>
    <m/>
    <m/>
    <m/>
    <m/>
    <m/>
    <m/>
    <m/>
    <m/>
    <m/>
    <m/>
    <m/>
    <m/>
    <m/>
    <m/>
    <m/>
    <m/>
    <m/>
    <s v="I liked speaking to a live person about the valued assessment of my items."/>
    <s v="I was hoping my camera lens would be valued a little higher than it wa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4"/>
    <n v="5"/>
    <n v="5"/>
    <n v="5"/>
    <m/>
    <m/>
    <m/>
    <m/>
    <m/>
    <m/>
    <m/>
    <m/>
    <m/>
    <m/>
    <m/>
    <m/>
    <m/>
    <m/>
    <m/>
    <m/>
    <m/>
    <m/>
    <m/>
    <m/>
    <m/>
    <m/>
    <m/>
    <m/>
    <m/>
    <m/>
    <m/>
    <m/>
    <m/>
    <m/>
    <m/>
    <m/>
    <m/>
    <m/>
    <m/>
    <m/>
    <m/>
    <m/>
    <m/>
    <m/>
    <m/>
    <m/>
    <m/>
    <m/>
    <m/>
    <m/>
    <m/>
    <m/>
    <m/>
    <m/>
    <m/>
    <m/>
    <m/>
    <m/>
    <m/>
    <m/>
    <m/>
    <m/>
    <m/>
    <m/>
    <m/>
    <m/>
    <m/>
    <m/>
    <m/>
    <m/>
    <m/>
    <m/>
    <m/>
    <m/>
    <m/>
    <m/>
    <m/>
    <m/>
    <m/>
    <m/>
    <m/>
    <m/>
    <m/>
    <m/>
    <m/>
    <m/>
    <m/>
    <m/>
    <m/>
    <m/>
    <m/>
    <m/>
    <m/>
    <m/>
    <m/>
    <m/>
    <m/>
    <m/>
    <m/>
    <m/>
    <m/>
    <m/>
    <m/>
    <m/>
    <m/>
    <s v="People &gt; Communication Skills &gt;"/>
    <s v="People &gt; Real Person Interaction &gt;, Trade In &gt; Quote Price &gt;"/>
    <m/>
    <m/>
    <s v="People &gt; Communication Skills &gt; (Positive)"/>
    <s v="People &gt; Real Person Interaction &gt; (Positive), Trade In &gt; Quote Price &gt; (Negative)"/>
    <s v="Yes"/>
    <s v="No"/>
    <m/>
    <x v="7"/>
    <x v="8"/>
    <x v="0"/>
    <m/>
    <x v="0"/>
    <x v="0"/>
  </r>
  <r>
    <s v="Rocky Moroz - Used Trade-In Product"/>
    <n v="10"/>
    <n v="5"/>
    <d v="2026-02-26T16:30:41"/>
    <n v="5242984"/>
    <s v="Used Trade-In Product"/>
    <m/>
    <s v="Rocky Moroz"/>
    <m/>
    <s v="rocky.moroz65@gmail.com"/>
    <m/>
    <s v="Port Saint Lucie;Florida;34953"/>
    <s v="Port Saint Lucie;Florida;34953"/>
    <s v="1 months"/>
    <s v="Yes"/>
    <m/>
    <m/>
    <s v="rocky.moroz65@gmail.com"/>
    <s v="1"/>
    <m/>
    <m/>
    <m/>
    <m/>
    <m/>
    <m/>
    <m/>
    <m/>
    <m/>
    <d v="2026-02-26T19:24:20"/>
    <m/>
    <s v="1143940"/>
    <m/>
    <m/>
    <m/>
    <m/>
    <m/>
    <m/>
    <m/>
    <m/>
    <m/>
    <m/>
    <m/>
    <m/>
    <m/>
    <m/>
    <m/>
    <m/>
    <m/>
    <m/>
    <m/>
    <m/>
    <m/>
    <m/>
    <s v="https://bnh.lightning.force.com/001WP00000uFpQMYA0"/>
    <m/>
    <m/>
    <m/>
    <m/>
    <m/>
    <m/>
    <m/>
    <m/>
    <m/>
    <m/>
    <m/>
    <m/>
    <m/>
    <m/>
    <m/>
    <m/>
    <m/>
    <m/>
    <m/>
    <m/>
    <m/>
    <m/>
    <m/>
    <m/>
    <m/>
    <m/>
    <m/>
    <m/>
    <m/>
    <m/>
    <m/>
    <m/>
    <m/>
    <m/>
    <m/>
    <m/>
    <m/>
    <m/>
    <s v="CAD"/>
    <m/>
    <s v="No"/>
    <s v="Efrat Malachi,Avraham Schwartz,Reina Caba"/>
    <s v="Reina Caba"/>
    <d v="2026-02-26T16:28:21"/>
    <s v="Promoter"/>
    <s v="Overdue"/>
    <m/>
    <m/>
    <s v="Yes"/>
    <m/>
    <m/>
    <m/>
    <m/>
    <m/>
    <m/>
    <m/>
    <m/>
    <m/>
    <m/>
    <m/>
    <m/>
    <m/>
    <m/>
    <m/>
    <m/>
    <m/>
    <m/>
    <m/>
    <m/>
    <m/>
    <s v="No way to track trade-in while on-line. Check into MPB's website and how they handle trade-ins."/>
    <m/>
    <m/>
    <m/>
    <m/>
    <m/>
    <m/>
    <m/>
    <m/>
    <m/>
    <m/>
    <m/>
    <m/>
    <m/>
    <m/>
    <m/>
    <m/>
    <m/>
    <m/>
    <m/>
    <m/>
    <m/>
    <m/>
    <m/>
    <m/>
    <m/>
    <m/>
    <m/>
    <m/>
    <m/>
    <m/>
    <m/>
    <m/>
    <m/>
    <m/>
    <m/>
    <m/>
    <m/>
    <m/>
    <m/>
    <m/>
    <m/>
    <m/>
    <m/>
    <m/>
    <m/>
    <m/>
    <m/>
    <m/>
    <m/>
    <m/>
    <m/>
    <m/>
    <m/>
    <m/>
    <m/>
    <m/>
    <m/>
    <m/>
    <m/>
    <m/>
    <m/>
    <m/>
    <m/>
    <m/>
    <m/>
    <m/>
    <m/>
    <m/>
    <m/>
    <m/>
    <m/>
    <m/>
    <m/>
    <m/>
    <m/>
    <m/>
    <m/>
    <m/>
    <m/>
    <m/>
    <m/>
    <m/>
    <m/>
    <s v="No way to track trade-in while on-line. Check into MPB's website and how they handle trade-i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4"/>
    <n v="3"/>
    <n v="5"/>
    <n v="4"/>
    <m/>
    <m/>
    <m/>
    <m/>
    <m/>
    <m/>
    <m/>
    <m/>
    <m/>
    <m/>
    <m/>
    <m/>
    <m/>
    <m/>
    <m/>
    <m/>
    <m/>
    <m/>
    <m/>
    <m/>
    <m/>
    <m/>
    <m/>
    <m/>
    <m/>
    <m/>
    <m/>
    <m/>
    <m/>
    <m/>
    <m/>
    <m/>
    <m/>
    <m/>
    <m/>
    <m/>
    <m/>
    <m/>
    <m/>
    <m/>
    <m/>
    <m/>
    <m/>
    <m/>
    <m/>
    <m/>
    <m/>
    <m/>
    <m/>
    <m/>
    <m/>
    <m/>
    <m/>
    <m/>
    <m/>
    <m/>
    <m/>
    <m/>
    <m/>
    <m/>
    <m/>
    <m/>
    <m/>
    <m/>
    <m/>
    <m/>
    <m/>
    <m/>
    <m/>
    <m/>
    <m/>
    <m/>
    <m/>
    <m/>
    <m/>
    <m/>
    <m/>
    <m/>
    <m/>
    <m/>
    <m/>
    <m/>
    <m/>
    <m/>
    <m/>
    <m/>
    <m/>
    <m/>
    <m/>
    <m/>
    <m/>
    <m/>
    <m/>
    <m/>
    <m/>
    <m/>
    <m/>
    <m/>
    <m/>
    <m/>
    <m/>
    <s v="Website &gt; Order Tracking &gt;"/>
    <s v="B&amp;H &gt; Competitor Mentions &gt;, Trade In &gt; Overall Process &gt;"/>
    <m/>
    <m/>
    <s v="Website &gt; Order Tracking &gt; (Negative)"/>
    <s v="B&amp;H &gt; Competitor Mentions &gt; (Negative), Trade In &gt; Overall Process &gt; (Negative)"/>
    <s v="Yes"/>
    <s v="Yes"/>
    <m/>
    <x v="11"/>
    <x v="0"/>
    <x v="0"/>
    <m/>
    <x v="0"/>
    <x v="0"/>
  </r>
  <r>
    <s v="Andrea Deeb - Used Trade-In Product"/>
    <n v="10"/>
    <n v="5"/>
    <d v="2026-02-26T13:49:07"/>
    <n v="5242595"/>
    <s v="Used Trade-In Product"/>
    <m/>
    <s v="Andrea Deeb"/>
    <m/>
    <s v="andreadeeb@me.com"/>
    <m/>
    <s v="Naples;Florida;34112"/>
    <m/>
    <m/>
    <s v="No"/>
    <m/>
    <m/>
    <s v="andreadeeb@me.com"/>
    <m/>
    <m/>
    <m/>
    <m/>
    <m/>
    <m/>
    <m/>
    <m/>
    <m/>
    <d v="2026-02-26T13:55:33"/>
    <d v="2026-02-26T16:22:24"/>
    <m/>
    <s v="1145716"/>
    <m/>
    <m/>
    <m/>
    <m/>
    <m/>
    <m/>
    <m/>
    <m/>
    <m/>
    <m/>
    <m/>
    <m/>
    <m/>
    <m/>
    <m/>
    <m/>
    <m/>
    <m/>
    <m/>
    <m/>
    <m/>
    <m/>
    <s v="https://bnh.lightning.force.com/001WP00000vJpfbYAC"/>
    <m/>
    <m/>
    <m/>
    <m/>
    <m/>
    <m/>
    <m/>
    <m/>
    <m/>
    <m/>
    <m/>
    <m/>
    <m/>
    <m/>
    <m/>
    <m/>
    <m/>
    <m/>
    <m/>
    <m/>
    <m/>
    <m/>
    <m/>
    <m/>
    <m/>
    <m/>
    <m/>
    <m/>
    <m/>
    <m/>
    <m/>
    <m/>
    <m/>
    <m/>
    <m/>
    <m/>
    <m/>
    <m/>
    <s v="CAD"/>
    <m/>
    <s v="No"/>
    <s v="Sergio Jonusas"/>
    <s v="Sergio Jonusas"/>
    <d v="2026-02-26T13:49:23"/>
    <s v="Promoter"/>
    <s v="Closed"/>
    <m/>
    <m/>
    <s v="Yes"/>
    <m/>
    <m/>
    <m/>
    <m/>
    <m/>
    <m/>
    <m/>
    <m/>
    <m/>
    <m/>
    <m/>
    <m/>
    <m/>
    <m/>
    <m/>
    <m/>
    <s v="I love B&amp;H Photo! I feel they are very honest."/>
    <m/>
    <m/>
    <m/>
    <m/>
    <s v="Nothing!"/>
    <m/>
    <m/>
    <m/>
    <m/>
    <m/>
    <m/>
    <m/>
    <m/>
    <m/>
    <m/>
    <m/>
    <m/>
    <m/>
    <m/>
    <m/>
    <m/>
    <m/>
    <m/>
    <m/>
    <m/>
    <m/>
    <m/>
    <m/>
    <m/>
    <m/>
    <m/>
    <m/>
    <m/>
    <m/>
    <m/>
    <m/>
    <m/>
    <m/>
    <m/>
    <m/>
    <m/>
    <m/>
    <m/>
    <m/>
    <m/>
    <m/>
    <m/>
    <m/>
    <m/>
    <m/>
    <m/>
    <m/>
    <m/>
    <m/>
    <m/>
    <m/>
    <m/>
    <m/>
    <m/>
    <m/>
    <m/>
    <m/>
    <m/>
    <m/>
    <m/>
    <m/>
    <m/>
    <m/>
    <m/>
    <m/>
    <m/>
    <m/>
    <m/>
    <m/>
    <m/>
    <m/>
    <m/>
    <m/>
    <m/>
    <m/>
    <m/>
    <m/>
    <m/>
    <m/>
    <m/>
    <m/>
    <m/>
    <s v="I love B&amp;H Photo! I feel they are very honest."/>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Reliable / Trustworthy &gt;, B&amp;H &gt; Satisfaction &gt;"/>
    <m/>
    <m/>
    <s v="B&amp;H &gt; Satisfaction &gt; (Positive)"/>
    <s v="B&amp;H &gt; Reliable / Trustworthy &gt; (Positive), B&amp;H &gt; Satisfaction &gt; (Positive)"/>
    <s v="Yes"/>
    <s v="No"/>
    <m/>
    <x v="12"/>
    <x v="0"/>
    <x v="0"/>
    <m/>
    <x v="0"/>
    <x v="0"/>
  </r>
  <r>
    <s v="Avinash Ananthakrishnan - Used Trade-In Product"/>
    <n v="10"/>
    <n v="4"/>
    <d v="2026-02-26T13:12:53"/>
    <n v="5242492"/>
    <s v="Used Trade-In Product"/>
    <m/>
    <s v="Avinash Ananthakrishnan"/>
    <m/>
    <s v="avinashna@gmail.com"/>
    <m/>
    <s v="Vancouver;Washington;98685"/>
    <m/>
    <m/>
    <s v="No"/>
    <m/>
    <m/>
    <s v="avinashna@gmail.com"/>
    <m/>
    <m/>
    <m/>
    <m/>
    <m/>
    <m/>
    <m/>
    <m/>
    <m/>
    <d v="2026-02-26T13:25:47"/>
    <d v="2026-02-26T15:21:05"/>
    <m/>
    <s v="1143112"/>
    <m/>
    <m/>
    <m/>
    <m/>
    <m/>
    <m/>
    <m/>
    <m/>
    <m/>
    <m/>
    <m/>
    <m/>
    <m/>
    <m/>
    <m/>
    <m/>
    <m/>
    <m/>
    <m/>
    <m/>
    <m/>
    <m/>
    <s v="https://bnh.lightning.force.com/0018X00003RSkAnQAL"/>
    <m/>
    <m/>
    <m/>
    <m/>
    <m/>
    <m/>
    <m/>
    <m/>
    <m/>
    <m/>
    <m/>
    <m/>
    <m/>
    <m/>
    <m/>
    <m/>
    <m/>
    <m/>
    <m/>
    <m/>
    <m/>
    <m/>
    <m/>
    <m/>
    <m/>
    <m/>
    <m/>
    <m/>
    <m/>
    <m/>
    <m/>
    <m/>
    <m/>
    <m/>
    <m/>
    <m/>
    <m/>
    <m/>
    <s v="CAD"/>
    <m/>
    <s v="No"/>
    <s v="Sergio Jonusas"/>
    <s v="Sergio Jonusas"/>
    <d v="2026-02-26T13:14:07"/>
    <s v="Promoter"/>
    <s v="Closed"/>
    <m/>
    <m/>
    <s v="Yes"/>
    <m/>
    <m/>
    <m/>
    <m/>
    <m/>
    <m/>
    <m/>
    <m/>
    <m/>
    <m/>
    <m/>
    <m/>
    <m/>
    <m/>
    <m/>
    <m/>
    <s v="The ease of getting a quote and the &quot;no surprises&quot; approach to seeing the credit offered matching the quote."/>
    <m/>
    <m/>
    <m/>
    <m/>
    <s v="The delay between receiving the camera equipment to when B&amp;H evaluated it and confirmed the credit that will be offered. _x000a__x000a_The fact that the credit cannot be used online... but only in store or through phone orders."/>
    <m/>
    <m/>
    <m/>
    <m/>
    <m/>
    <m/>
    <m/>
    <m/>
    <m/>
    <m/>
    <m/>
    <m/>
    <m/>
    <m/>
    <m/>
    <m/>
    <m/>
    <m/>
    <m/>
    <m/>
    <m/>
    <m/>
    <m/>
    <m/>
    <m/>
    <m/>
    <m/>
    <m/>
    <m/>
    <m/>
    <m/>
    <m/>
    <m/>
    <m/>
    <m/>
    <m/>
    <m/>
    <m/>
    <m/>
    <m/>
    <m/>
    <m/>
    <m/>
    <m/>
    <m/>
    <m/>
    <m/>
    <m/>
    <m/>
    <m/>
    <m/>
    <m/>
    <m/>
    <m/>
    <m/>
    <m/>
    <m/>
    <m/>
    <m/>
    <m/>
    <m/>
    <m/>
    <m/>
    <m/>
    <m/>
    <m/>
    <m/>
    <m/>
    <m/>
    <m/>
    <m/>
    <m/>
    <m/>
    <m/>
    <m/>
    <m/>
    <m/>
    <m/>
    <m/>
    <m/>
    <m/>
    <m/>
    <s v="The ease of getting a quote and the &quot;no surprises&quot; approach to seeing the credit offered matching the quote."/>
    <s v="The delay between receiving the camera equipment to when B&amp;H evaluated it and confirmed the credit that will be offered. _x000a__x000a_The fact that the credit cannot be used online... but only in store or through phone orde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4"/>
    <s v="N/A"/>
    <s v="N/A"/>
    <s v="N/A"/>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Trade In &gt; Timeliness of Quote &gt;"/>
    <m/>
    <m/>
    <s v="Trade In &gt; Overall Process &gt; (Positive)"/>
    <s v="Trade In &gt; Overall Process &gt; (Negative), Trade In &gt; Overall Process &gt; (Positive), Trade In &gt; Timeliness of Payment &gt; (Negative), Trade In &gt; Timeliness of Quote &gt; (Negative)"/>
    <s v="Yes"/>
    <s v="Yes"/>
    <m/>
    <x v="13"/>
    <x v="6"/>
    <x v="4"/>
    <m/>
    <x v="0"/>
    <x v="0"/>
  </r>
  <r>
    <s v="Kelly Douglas - Used Trade-In Product"/>
    <n v="8"/>
    <n v="2"/>
    <d v="2026-02-26T12:46:18"/>
    <n v="5241506"/>
    <s v="Used Trade-In Product"/>
    <m/>
    <s v="Kelly Douglas"/>
    <m/>
    <s v="kellyetzeldouglas@gmail.com"/>
    <m/>
    <s v="Cheyenne;Wyoming;82009"/>
    <s v="Cheyenne;Wyoming;82009"/>
    <s v="3 years 0 months"/>
    <s v="No"/>
    <m/>
    <m/>
    <s v="kellyetzeldouglas@gmail.com"/>
    <s v="36"/>
    <m/>
    <m/>
    <m/>
    <m/>
    <m/>
    <m/>
    <m/>
    <m/>
    <m/>
    <d v="2026-02-25T13:20:33"/>
    <m/>
    <s v="1141820"/>
    <m/>
    <m/>
    <m/>
    <m/>
    <m/>
    <m/>
    <m/>
    <m/>
    <m/>
    <m/>
    <m/>
    <m/>
    <m/>
    <m/>
    <m/>
    <m/>
    <m/>
    <m/>
    <m/>
    <m/>
    <m/>
    <m/>
    <s v="https://bnh.lightning.force.com/0018X00003CRI1oQAH"/>
    <m/>
    <m/>
    <m/>
    <m/>
    <m/>
    <m/>
    <m/>
    <m/>
    <m/>
    <m/>
    <m/>
    <m/>
    <m/>
    <m/>
    <m/>
    <m/>
    <m/>
    <m/>
    <m/>
    <m/>
    <m/>
    <m/>
    <m/>
    <m/>
    <m/>
    <m/>
    <m/>
    <m/>
    <m/>
    <m/>
    <m/>
    <m/>
    <m/>
    <m/>
    <m/>
    <m/>
    <m/>
    <m/>
    <s v="CAD"/>
    <m/>
    <s v="No"/>
    <s v="Freddy Gomez,Avraham Schwartz,Reina Caba"/>
    <s v="Reina Caba"/>
    <d v="2026-02-26T09:35:46"/>
    <s v="Passive"/>
    <s v="Overdue"/>
    <m/>
    <m/>
    <s v="Yes"/>
    <m/>
    <m/>
    <m/>
    <m/>
    <m/>
    <m/>
    <m/>
    <m/>
    <m/>
    <m/>
    <m/>
    <m/>
    <m/>
    <m/>
    <m/>
    <m/>
    <s v="Quick and easy to send"/>
    <m/>
    <m/>
    <m/>
    <m/>
    <s v="I got the email that the package arrived bit I haven't received the final quote or check yet. It was supposed to be evaluated by Feb 17"/>
    <m/>
    <m/>
    <m/>
    <m/>
    <m/>
    <m/>
    <m/>
    <m/>
    <m/>
    <m/>
    <m/>
    <m/>
    <m/>
    <m/>
    <m/>
    <m/>
    <m/>
    <m/>
    <m/>
    <m/>
    <m/>
    <m/>
    <m/>
    <m/>
    <m/>
    <m/>
    <m/>
    <m/>
    <m/>
    <m/>
    <m/>
    <m/>
    <m/>
    <m/>
    <m/>
    <m/>
    <m/>
    <m/>
    <m/>
    <m/>
    <m/>
    <m/>
    <m/>
    <m/>
    <m/>
    <m/>
    <m/>
    <m/>
    <m/>
    <m/>
    <m/>
    <m/>
    <m/>
    <m/>
    <m/>
    <m/>
    <m/>
    <m/>
    <m/>
    <m/>
    <m/>
    <m/>
    <m/>
    <m/>
    <m/>
    <m/>
    <m/>
    <m/>
    <m/>
    <m/>
    <m/>
    <m/>
    <m/>
    <m/>
    <m/>
    <m/>
    <m/>
    <m/>
    <m/>
    <m/>
    <m/>
    <m/>
    <s v="Quick and easy to send"/>
    <s v="I got the email that the package arrived bit I haven't received the final quote or check yet. It was supposed to be evaluated by Feb 1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s v="N/A"/>
    <m/>
    <m/>
    <m/>
    <m/>
    <n v="5"/>
    <n v="5"/>
    <m/>
    <m/>
    <m/>
    <m/>
    <m/>
    <m/>
    <s v="N/A"/>
    <s v="N/A"/>
    <s v="N/A"/>
    <s v="N/A"/>
    <m/>
    <m/>
    <m/>
    <m/>
    <m/>
    <m/>
    <m/>
    <m/>
    <m/>
    <m/>
    <m/>
    <m/>
    <m/>
    <m/>
    <m/>
    <m/>
    <m/>
    <m/>
    <m/>
    <m/>
    <m/>
    <m/>
    <m/>
    <m/>
    <m/>
    <m/>
    <m/>
    <m/>
    <m/>
    <m/>
    <m/>
    <m/>
    <m/>
    <m/>
    <m/>
    <m/>
    <m/>
    <m/>
    <m/>
    <m/>
    <m/>
    <m/>
    <m/>
    <m/>
    <m/>
    <m/>
    <m/>
    <m/>
    <m/>
    <m/>
    <m/>
    <m/>
    <m/>
    <m/>
    <m/>
    <m/>
    <m/>
    <m/>
    <m/>
    <m/>
    <m/>
    <m/>
    <m/>
    <m/>
    <m/>
    <m/>
    <m/>
    <m/>
    <m/>
    <m/>
    <m/>
    <m/>
    <m/>
    <m/>
    <m/>
    <m/>
    <m/>
    <m/>
    <m/>
    <m/>
    <m/>
    <m/>
    <m/>
    <m/>
    <m/>
    <m/>
    <m/>
    <m/>
    <m/>
    <m/>
    <m/>
    <m/>
    <m/>
    <m/>
    <m/>
    <m/>
    <m/>
    <m/>
    <m/>
    <m/>
    <m/>
    <s v="Trade In &gt; Overall Process &gt;, Warehouse Fulfillment &gt; Issues &gt;"/>
    <s v="Trade In &gt; Overall Process &gt;, Trade In &gt; Timeliness of Payment &gt;"/>
    <m/>
    <m/>
    <s v="Trade In &gt; Overall Process &gt; (Negative), Warehouse Fulfillment &gt; Issues &gt; (Negative)"/>
    <s v="Trade In &gt; Overall Process &gt; (Negative), Trade In &gt; Overall Process &gt; (Positive), Trade In &gt; Timeliness of Payment &gt; (Negative)"/>
    <s v="Yes"/>
    <s v="Yes"/>
    <m/>
    <x v="0"/>
    <x v="10"/>
    <x v="2"/>
    <m/>
    <x v="0"/>
    <x v="0"/>
  </r>
  <r>
    <s v="Ned Cox - Used Trade-In Product"/>
    <n v="8"/>
    <n v="5"/>
    <d v="2026-02-26T11:52:59"/>
    <n v="5242255"/>
    <s v="Used Trade-In Product"/>
    <m/>
    <s v="Ned Cox"/>
    <m/>
    <s v="machnc@comcast.net"/>
    <m/>
    <s v="Johnson City;Tennessee;37601"/>
    <s v="Johnson City;Tennessee;37601"/>
    <s v="14 years 11 months"/>
    <s v="Yes"/>
    <m/>
    <m/>
    <s v="machnc@comcast.net"/>
    <s v="179"/>
    <m/>
    <m/>
    <m/>
    <m/>
    <m/>
    <m/>
    <m/>
    <m/>
    <d v="2026-02-26T13:40:56"/>
    <d v="2026-02-26T12:53:41"/>
    <m/>
    <s v="1141168"/>
    <m/>
    <m/>
    <m/>
    <m/>
    <m/>
    <m/>
    <m/>
    <m/>
    <m/>
    <m/>
    <m/>
    <m/>
    <m/>
    <m/>
    <m/>
    <m/>
    <m/>
    <m/>
    <m/>
    <m/>
    <m/>
    <m/>
    <s v="https://bnh.lightning.force.com/001WP00000sbGOTYA2"/>
    <m/>
    <m/>
    <m/>
    <m/>
    <m/>
    <m/>
    <m/>
    <m/>
    <m/>
    <m/>
    <m/>
    <m/>
    <m/>
    <m/>
    <m/>
    <m/>
    <m/>
    <m/>
    <m/>
    <m/>
    <m/>
    <m/>
    <m/>
    <m/>
    <m/>
    <m/>
    <m/>
    <m/>
    <m/>
    <m/>
    <m/>
    <m/>
    <m/>
    <m/>
    <m/>
    <m/>
    <m/>
    <m/>
    <s v="CAD"/>
    <m/>
    <s v="No"/>
    <s v="Efrat Malachi"/>
    <s v="Efrat Malachi"/>
    <d v="2026-02-26T11:51:56"/>
    <s v="Passive"/>
    <s v="Closed"/>
    <m/>
    <m/>
    <s v="Yes"/>
    <m/>
    <m/>
    <m/>
    <m/>
    <m/>
    <m/>
    <m/>
    <m/>
    <m/>
    <m/>
    <m/>
    <m/>
    <m/>
    <m/>
    <m/>
    <m/>
    <s v="Easy way to sell my stuff."/>
    <m/>
    <m/>
    <m/>
    <m/>
    <s v="Still haven't gotten my check in the mail..."/>
    <m/>
    <m/>
    <m/>
    <m/>
    <m/>
    <m/>
    <m/>
    <m/>
    <m/>
    <m/>
    <m/>
    <m/>
    <m/>
    <m/>
    <m/>
    <m/>
    <m/>
    <m/>
    <m/>
    <m/>
    <m/>
    <m/>
    <m/>
    <m/>
    <m/>
    <m/>
    <m/>
    <m/>
    <m/>
    <m/>
    <m/>
    <m/>
    <m/>
    <m/>
    <m/>
    <m/>
    <m/>
    <m/>
    <m/>
    <m/>
    <m/>
    <m/>
    <m/>
    <m/>
    <m/>
    <m/>
    <m/>
    <m/>
    <m/>
    <m/>
    <m/>
    <m/>
    <m/>
    <m/>
    <m/>
    <m/>
    <m/>
    <m/>
    <m/>
    <m/>
    <m/>
    <m/>
    <m/>
    <m/>
    <m/>
    <m/>
    <m/>
    <m/>
    <m/>
    <m/>
    <m/>
    <m/>
    <m/>
    <m/>
    <m/>
    <m/>
    <m/>
    <m/>
    <m/>
    <m/>
    <m/>
    <m/>
    <s v="Easy way to sell my stuff."/>
    <s v="Still haven't gotten my check in the mai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4"/>
    <n v="4"/>
    <n v="4"/>
    <n v="3"/>
    <m/>
    <m/>
    <m/>
    <m/>
    <m/>
    <m/>
    <m/>
    <m/>
    <m/>
    <m/>
    <m/>
    <m/>
    <m/>
    <m/>
    <m/>
    <m/>
    <m/>
    <m/>
    <m/>
    <m/>
    <m/>
    <m/>
    <m/>
    <m/>
    <m/>
    <m/>
    <m/>
    <m/>
    <m/>
    <m/>
    <m/>
    <m/>
    <m/>
    <m/>
    <m/>
    <m/>
    <m/>
    <m/>
    <m/>
    <m/>
    <m/>
    <m/>
    <m/>
    <m/>
    <m/>
    <m/>
    <m/>
    <m/>
    <m/>
    <m/>
    <m/>
    <m/>
    <m/>
    <m/>
    <m/>
    <m/>
    <m/>
    <m/>
    <m/>
    <m/>
    <m/>
    <m/>
    <m/>
    <m/>
    <m/>
    <m/>
    <m/>
    <m/>
    <m/>
    <m/>
    <m/>
    <m/>
    <m/>
    <m/>
    <m/>
    <m/>
    <m/>
    <m/>
    <m/>
    <m/>
    <m/>
    <m/>
    <m/>
    <m/>
    <m/>
    <m/>
    <m/>
    <m/>
    <m/>
    <m/>
    <m/>
    <m/>
    <m/>
    <m/>
    <m/>
    <m/>
    <m/>
    <m/>
    <m/>
    <m/>
    <m/>
    <m/>
    <s v="Trade In &gt; Overall Process &gt;, Trade In &gt; Timeliness of Payment &gt;"/>
    <m/>
    <m/>
    <m/>
    <s v="Trade In &gt; Overall Process &gt; (Positive), Trade In &gt; Timeliness of Payment &gt; (Negative)"/>
    <s v="Yes"/>
    <s v="No"/>
    <m/>
    <x v="0"/>
    <x v="11"/>
    <x v="0"/>
    <m/>
    <x v="0"/>
    <x v="0"/>
  </r>
  <r>
    <s v="Monte Middleton - Used Trade-In Product"/>
    <n v="8"/>
    <n v="5"/>
    <d v="2026-02-26T10:54:13"/>
    <n v="5242030"/>
    <s v="Used Trade-In Product"/>
    <m/>
    <s v="Monte Middleton"/>
    <m/>
    <s v="monte2482@gmail.com"/>
    <m/>
    <s v="Ashburn;Virginia;20147"/>
    <m/>
    <m/>
    <s v="No"/>
    <m/>
    <m/>
    <s v="monte2482@gmail.com"/>
    <m/>
    <m/>
    <m/>
    <m/>
    <m/>
    <m/>
    <m/>
    <m/>
    <m/>
    <d v="2026-02-26T13:40:15"/>
    <d v="2026-02-26T12:52:51"/>
    <m/>
    <s v="1142187"/>
    <m/>
    <m/>
    <m/>
    <m/>
    <m/>
    <m/>
    <m/>
    <m/>
    <m/>
    <m/>
    <m/>
    <m/>
    <m/>
    <m/>
    <m/>
    <m/>
    <m/>
    <m/>
    <m/>
    <m/>
    <m/>
    <m/>
    <s v="https://bnh.lightning.force.com/001WP00000tAuPgYAK"/>
    <m/>
    <m/>
    <m/>
    <m/>
    <m/>
    <m/>
    <m/>
    <m/>
    <m/>
    <m/>
    <m/>
    <m/>
    <m/>
    <m/>
    <m/>
    <m/>
    <m/>
    <m/>
    <m/>
    <m/>
    <m/>
    <m/>
    <m/>
    <m/>
    <m/>
    <m/>
    <m/>
    <m/>
    <m/>
    <m/>
    <m/>
    <m/>
    <m/>
    <m/>
    <m/>
    <m/>
    <m/>
    <m/>
    <s v="CAD"/>
    <m/>
    <s v="No"/>
    <s v="Aine Hoye"/>
    <s v="Aine Hoye"/>
    <d v="2026-02-26T10:55:02"/>
    <s v="Passive"/>
    <s v="Closed"/>
    <m/>
    <m/>
    <s v="Yes"/>
    <m/>
    <m/>
    <m/>
    <m/>
    <m/>
    <m/>
    <m/>
    <m/>
    <m/>
    <m/>
    <m/>
    <m/>
    <m/>
    <m/>
    <m/>
    <m/>
    <s v="Accurate price quote and quick payment."/>
    <m/>
    <m/>
    <m/>
    <m/>
    <s v="Nothing"/>
    <m/>
    <m/>
    <m/>
    <m/>
    <m/>
    <m/>
    <m/>
    <m/>
    <m/>
    <m/>
    <m/>
    <m/>
    <m/>
    <m/>
    <m/>
    <m/>
    <m/>
    <m/>
    <m/>
    <m/>
    <m/>
    <m/>
    <m/>
    <m/>
    <m/>
    <m/>
    <m/>
    <m/>
    <m/>
    <m/>
    <m/>
    <m/>
    <m/>
    <m/>
    <m/>
    <m/>
    <m/>
    <m/>
    <m/>
    <m/>
    <m/>
    <m/>
    <m/>
    <m/>
    <m/>
    <m/>
    <m/>
    <m/>
    <m/>
    <m/>
    <m/>
    <m/>
    <m/>
    <m/>
    <m/>
    <m/>
    <m/>
    <m/>
    <m/>
    <m/>
    <m/>
    <m/>
    <m/>
    <m/>
    <m/>
    <m/>
    <m/>
    <m/>
    <m/>
    <m/>
    <m/>
    <m/>
    <m/>
    <m/>
    <m/>
    <m/>
    <m/>
    <m/>
    <m/>
    <m/>
    <m/>
    <m/>
    <s v="Accurate price quote and quick payment."/>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4"/>
    <n v="5"/>
    <m/>
    <m/>
    <m/>
    <m/>
    <m/>
    <m/>
    <m/>
    <m/>
    <m/>
    <m/>
    <m/>
    <m/>
    <m/>
    <m/>
    <m/>
    <m/>
    <m/>
    <m/>
    <m/>
    <m/>
    <m/>
    <m/>
    <m/>
    <m/>
    <m/>
    <m/>
    <m/>
    <m/>
    <m/>
    <m/>
    <m/>
    <m/>
    <m/>
    <m/>
    <m/>
    <m/>
    <m/>
    <m/>
    <m/>
    <m/>
    <m/>
    <m/>
    <m/>
    <m/>
    <m/>
    <m/>
    <m/>
    <m/>
    <m/>
    <m/>
    <m/>
    <m/>
    <m/>
    <m/>
    <m/>
    <m/>
    <m/>
    <m/>
    <m/>
    <m/>
    <m/>
    <m/>
    <m/>
    <m/>
    <m/>
    <m/>
    <m/>
    <m/>
    <m/>
    <m/>
    <m/>
    <m/>
    <m/>
    <m/>
    <m/>
    <m/>
    <m/>
    <m/>
    <m/>
    <m/>
    <m/>
    <m/>
    <m/>
    <m/>
    <m/>
    <m/>
    <m/>
    <m/>
    <m/>
    <m/>
    <m/>
    <m/>
    <m/>
    <m/>
    <m/>
    <m/>
    <m/>
    <m/>
    <m/>
    <m/>
    <m/>
    <s v="Pricing &gt; Value for Money &gt;, Trade In &gt; Quote Price &gt;, Trade In &gt; Timeliness of Payment &gt;, Trade In &gt; Timeliness of Quote &gt;, Used &gt; Pricing &gt;"/>
    <s v="Trade In &gt; Quote Price &gt;, Trade In &gt; Timeliness of Payment &gt;"/>
    <m/>
    <m/>
    <s v="Pricing &gt; Value for Money &gt; (Positive), Trade In &gt; Quote Price &gt; (Positive), Trade In &gt; Timeliness of Payment &gt; (Positive), Trade In &gt; Timeliness of Quote &gt; (Positive), Used &gt; Pricing &gt; (Positive)"/>
    <s v="Trade In &gt; Quote Price &gt; (Positive), Trade In &gt; Timeliness of Payment &gt; (Positive)"/>
    <s v="Yes"/>
    <s v="No"/>
    <m/>
    <x v="10"/>
    <x v="12"/>
    <x v="0"/>
    <m/>
    <x v="0"/>
    <x v="0"/>
  </r>
  <r>
    <s v="Kathy Morstadt - Used Trade-In Product"/>
    <n v="10"/>
    <n v="5"/>
    <d v="2026-02-26T10:11:03"/>
    <n v="5241840"/>
    <s v="Used Trade-In Product"/>
    <m/>
    <s v="Kathy Morstadt"/>
    <m/>
    <s v="kmorstadt@gmail.com"/>
    <m/>
    <s v="Ronkonkoma;New York;11779"/>
    <m/>
    <m/>
    <s v="No"/>
    <m/>
    <m/>
    <s v="kmorstadt@gmail.com"/>
    <m/>
    <m/>
    <m/>
    <m/>
    <m/>
    <m/>
    <m/>
    <m/>
    <m/>
    <d v="2026-02-26T14:05:02"/>
    <d v="2026-02-26T12:52:34"/>
    <m/>
    <s v="1144116"/>
    <m/>
    <m/>
    <m/>
    <m/>
    <m/>
    <m/>
    <m/>
    <m/>
    <m/>
    <m/>
    <m/>
    <m/>
    <m/>
    <m/>
    <m/>
    <m/>
    <m/>
    <m/>
    <m/>
    <m/>
    <m/>
    <m/>
    <s v="https://bnh.lightning.force.com/001WP00000uNmDXYA0"/>
    <m/>
    <m/>
    <m/>
    <m/>
    <m/>
    <m/>
    <m/>
    <m/>
    <m/>
    <m/>
    <m/>
    <m/>
    <m/>
    <m/>
    <m/>
    <m/>
    <m/>
    <m/>
    <m/>
    <m/>
    <m/>
    <m/>
    <m/>
    <m/>
    <m/>
    <m/>
    <m/>
    <m/>
    <m/>
    <m/>
    <m/>
    <m/>
    <m/>
    <m/>
    <m/>
    <m/>
    <m/>
    <m/>
    <s v="CAD"/>
    <m/>
    <s v="No"/>
    <s v="Emily Schreier"/>
    <s v="Emily Schreier"/>
    <d v="2026-02-26T10:11:53"/>
    <s v="Promoter"/>
    <s v="Closed"/>
    <m/>
    <m/>
    <s v="Yes"/>
    <m/>
    <m/>
    <m/>
    <m/>
    <m/>
    <m/>
    <m/>
    <m/>
    <m/>
    <m/>
    <m/>
    <m/>
    <m/>
    <m/>
    <m/>
    <m/>
    <s v="So easy and professional"/>
    <m/>
    <m/>
    <m/>
    <m/>
    <s v="not a thing"/>
    <m/>
    <m/>
    <m/>
    <m/>
    <m/>
    <m/>
    <m/>
    <m/>
    <m/>
    <m/>
    <m/>
    <m/>
    <m/>
    <m/>
    <m/>
    <m/>
    <m/>
    <m/>
    <m/>
    <m/>
    <m/>
    <m/>
    <m/>
    <m/>
    <m/>
    <m/>
    <m/>
    <m/>
    <m/>
    <m/>
    <m/>
    <m/>
    <m/>
    <m/>
    <m/>
    <m/>
    <m/>
    <m/>
    <m/>
    <m/>
    <m/>
    <m/>
    <m/>
    <m/>
    <m/>
    <m/>
    <m/>
    <m/>
    <m/>
    <m/>
    <m/>
    <m/>
    <m/>
    <m/>
    <m/>
    <m/>
    <m/>
    <m/>
    <m/>
    <m/>
    <m/>
    <m/>
    <m/>
    <m/>
    <m/>
    <m/>
    <m/>
    <m/>
    <m/>
    <m/>
    <m/>
    <m/>
    <m/>
    <m/>
    <m/>
    <m/>
    <m/>
    <m/>
    <m/>
    <m/>
    <m/>
    <m/>
    <s v="So easy and professional"/>
    <s v="not a 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13"/>
    <x v="0"/>
    <m/>
    <x v="0"/>
    <x v="0"/>
  </r>
  <r>
    <s v="Alan Walser - Used Trade-In Product"/>
    <n v="10"/>
    <n v="5"/>
    <d v="2026-02-26T05:20:52"/>
    <n v="5241117"/>
    <s v="Used Trade-In Product"/>
    <m/>
    <s v="Alan Walser"/>
    <m/>
    <s v="dalanw@me.com"/>
    <m/>
    <s v="Roswell;Georgia;30075"/>
    <m/>
    <m/>
    <s v="No"/>
    <m/>
    <m/>
    <s v="dalanw@me.com"/>
    <m/>
    <m/>
    <m/>
    <m/>
    <m/>
    <m/>
    <m/>
    <m/>
    <m/>
    <d v="2026-02-26T09:54:42"/>
    <d v="2026-02-25T13:22:15"/>
    <m/>
    <s v="1143206"/>
    <m/>
    <m/>
    <m/>
    <m/>
    <m/>
    <m/>
    <m/>
    <m/>
    <m/>
    <m/>
    <m/>
    <m/>
    <m/>
    <m/>
    <m/>
    <m/>
    <m/>
    <m/>
    <m/>
    <m/>
    <m/>
    <m/>
    <s v="https://bnh.lightning.force.com/001WP00000to11XYAQ"/>
    <m/>
    <m/>
    <m/>
    <m/>
    <m/>
    <m/>
    <m/>
    <m/>
    <m/>
    <m/>
    <m/>
    <m/>
    <m/>
    <m/>
    <m/>
    <m/>
    <m/>
    <m/>
    <m/>
    <m/>
    <m/>
    <m/>
    <m/>
    <m/>
    <m/>
    <m/>
    <m/>
    <m/>
    <m/>
    <m/>
    <m/>
    <m/>
    <m/>
    <m/>
    <m/>
    <m/>
    <m/>
    <m/>
    <s v="CAD"/>
    <m/>
    <s v="No"/>
    <s v="Freddy Gomez"/>
    <s v="Freddy Gomez"/>
    <d v="2026-02-26T05:19:47"/>
    <s v="Promoter"/>
    <s v="Closed"/>
    <m/>
    <m/>
    <s v="Yes"/>
    <m/>
    <m/>
    <m/>
    <m/>
    <m/>
    <m/>
    <m/>
    <m/>
    <m/>
    <m/>
    <m/>
    <m/>
    <m/>
    <m/>
    <m/>
    <m/>
    <s v="Extremely easy process"/>
    <m/>
    <m/>
    <m/>
    <m/>
    <s v="None"/>
    <m/>
    <m/>
    <m/>
    <m/>
    <m/>
    <m/>
    <m/>
    <m/>
    <m/>
    <m/>
    <m/>
    <m/>
    <m/>
    <m/>
    <m/>
    <m/>
    <m/>
    <m/>
    <m/>
    <m/>
    <m/>
    <m/>
    <m/>
    <m/>
    <m/>
    <m/>
    <m/>
    <m/>
    <m/>
    <m/>
    <m/>
    <m/>
    <m/>
    <m/>
    <m/>
    <m/>
    <m/>
    <m/>
    <m/>
    <m/>
    <m/>
    <m/>
    <m/>
    <m/>
    <m/>
    <m/>
    <m/>
    <m/>
    <m/>
    <m/>
    <m/>
    <m/>
    <m/>
    <m/>
    <m/>
    <m/>
    <m/>
    <m/>
    <m/>
    <m/>
    <m/>
    <m/>
    <m/>
    <m/>
    <m/>
    <m/>
    <m/>
    <m/>
    <m/>
    <m/>
    <m/>
    <m/>
    <m/>
    <m/>
    <m/>
    <m/>
    <m/>
    <m/>
    <m/>
    <m/>
    <m/>
    <m/>
    <s v="Extremely easy process"/>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Richard Knudson - Used Trade-In Product"/>
    <n v="10"/>
    <n v="5"/>
    <d v="2026-02-25T22:32:44"/>
    <n v="5240812"/>
    <s v="Used Trade-In Product"/>
    <m/>
    <s v="Richard Knudson"/>
    <m/>
    <s v="rtknu@comcast.net"/>
    <m/>
    <s v="Federal Way;Washington;98023"/>
    <s v="Federal Way;Washington;98023"/>
    <s v="19 years 1 months"/>
    <s v="No"/>
    <m/>
    <m/>
    <s v="rtknu@comcast.net"/>
    <s v="229"/>
    <m/>
    <m/>
    <m/>
    <m/>
    <m/>
    <m/>
    <m/>
    <m/>
    <d v="2026-02-26T09:22:34"/>
    <d v="2026-02-25T13:23:04"/>
    <m/>
    <s v="1143107"/>
    <m/>
    <m/>
    <m/>
    <m/>
    <m/>
    <m/>
    <m/>
    <m/>
    <m/>
    <m/>
    <m/>
    <m/>
    <m/>
    <m/>
    <m/>
    <m/>
    <m/>
    <m/>
    <m/>
    <m/>
    <m/>
    <m/>
    <s v="https://bnh.lightning.force.com/0011a00000LQDwgAAH"/>
    <m/>
    <m/>
    <m/>
    <m/>
    <m/>
    <m/>
    <m/>
    <m/>
    <m/>
    <m/>
    <m/>
    <m/>
    <m/>
    <m/>
    <m/>
    <m/>
    <m/>
    <m/>
    <m/>
    <m/>
    <m/>
    <m/>
    <m/>
    <m/>
    <m/>
    <m/>
    <m/>
    <m/>
    <m/>
    <m/>
    <m/>
    <m/>
    <m/>
    <m/>
    <m/>
    <m/>
    <m/>
    <m/>
    <s v="CAD"/>
    <m/>
    <s v="No"/>
    <s v="Freddy Gomez"/>
    <s v="Freddy Gomez"/>
    <d v="2026-02-25T22:33:41"/>
    <s v="Promoter"/>
    <s v="Closed"/>
    <m/>
    <m/>
    <s v="Yes"/>
    <m/>
    <m/>
    <m/>
    <m/>
    <m/>
    <m/>
    <m/>
    <m/>
    <m/>
    <m/>
    <m/>
    <m/>
    <m/>
    <m/>
    <m/>
    <m/>
    <s v="My guy"/>
    <m/>
    <m/>
    <m/>
    <m/>
    <m/>
    <m/>
    <m/>
    <m/>
    <m/>
    <m/>
    <m/>
    <m/>
    <m/>
    <m/>
    <m/>
    <m/>
    <m/>
    <m/>
    <m/>
    <m/>
    <m/>
    <m/>
    <m/>
    <m/>
    <m/>
    <m/>
    <m/>
    <m/>
    <m/>
    <m/>
    <m/>
    <m/>
    <m/>
    <m/>
    <m/>
    <m/>
    <m/>
    <m/>
    <m/>
    <m/>
    <m/>
    <m/>
    <m/>
    <m/>
    <m/>
    <m/>
    <m/>
    <m/>
    <m/>
    <m/>
    <m/>
    <m/>
    <m/>
    <m/>
    <m/>
    <m/>
    <m/>
    <m/>
    <m/>
    <m/>
    <m/>
    <m/>
    <m/>
    <m/>
    <m/>
    <m/>
    <m/>
    <m/>
    <m/>
    <m/>
    <m/>
    <m/>
    <m/>
    <m/>
    <m/>
    <m/>
    <m/>
    <m/>
    <m/>
    <m/>
    <m/>
    <m/>
    <m/>
    <m/>
    <m/>
    <m/>
    <m/>
    <s v="My gu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m/>
    <m/>
    <m/>
    <m/>
    <m/>
    <s v="No"/>
    <s v="No"/>
    <m/>
    <x v="7"/>
    <x v="0"/>
    <x v="0"/>
    <m/>
    <x v="0"/>
    <x v="0"/>
  </r>
  <r>
    <s v="Lior Levi - Used Trade-In Product"/>
    <n v="10"/>
    <n v="5"/>
    <d v="2026-02-25T21:42:35"/>
    <n v="5240736"/>
    <s v="Used Trade-In Product"/>
    <m/>
    <s v="Lior Levi"/>
    <m/>
    <s v="liormx@gmail.com"/>
    <m/>
    <s v="Bonita;California;91902"/>
    <m/>
    <m/>
    <s v="No"/>
    <m/>
    <m/>
    <s v="liormx@gmail.com"/>
    <m/>
    <m/>
    <m/>
    <m/>
    <m/>
    <m/>
    <m/>
    <m/>
    <m/>
    <d v="2026-02-26T09:20:41"/>
    <d v="2026-02-25T13:24:04"/>
    <m/>
    <s v="1143900"/>
    <m/>
    <m/>
    <m/>
    <m/>
    <m/>
    <m/>
    <m/>
    <m/>
    <m/>
    <m/>
    <m/>
    <m/>
    <m/>
    <m/>
    <m/>
    <m/>
    <m/>
    <m/>
    <m/>
    <m/>
    <m/>
    <m/>
    <s v="https://bnh.lightning.force.com/001WP00000uDrWcYAK"/>
    <m/>
    <m/>
    <m/>
    <m/>
    <m/>
    <m/>
    <m/>
    <m/>
    <m/>
    <m/>
    <m/>
    <m/>
    <m/>
    <m/>
    <m/>
    <m/>
    <m/>
    <m/>
    <m/>
    <m/>
    <m/>
    <m/>
    <m/>
    <m/>
    <m/>
    <m/>
    <m/>
    <m/>
    <m/>
    <m/>
    <m/>
    <m/>
    <m/>
    <m/>
    <m/>
    <m/>
    <m/>
    <m/>
    <s v="CAD"/>
    <m/>
    <s v="No"/>
    <s v="Freddy Gomez"/>
    <s v="Freddy Gomez"/>
    <d v="2026-02-25T21:38:02"/>
    <s v="Promoter"/>
    <s v="Closed"/>
    <m/>
    <m/>
    <s v="Yes"/>
    <m/>
    <m/>
    <m/>
    <m/>
    <m/>
    <m/>
    <m/>
    <m/>
    <m/>
    <m/>
    <m/>
    <m/>
    <m/>
    <m/>
    <m/>
    <m/>
    <s v="Flowless."/>
    <m/>
    <m/>
    <m/>
    <m/>
    <m/>
    <m/>
    <m/>
    <m/>
    <m/>
    <m/>
    <m/>
    <m/>
    <m/>
    <m/>
    <m/>
    <m/>
    <m/>
    <m/>
    <m/>
    <m/>
    <m/>
    <m/>
    <m/>
    <m/>
    <m/>
    <m/>
    <m/>
    <m/>
    <m/>
    <m/>
    <m/>
    <m/>
    <m/>
    <m/>
    <m/>
    <m/>
    <m/>
    <m/>
    <m/>
    <m/>
    <m/>
    <m/>
    <m/>
    <m/>
    <m/>
    <m/>
    <m/>
    <m/>
    <m/>
    <m/>
    <m/>
    <m/>
    <m/>
    <m/>
    <m/>
    <m/>
    <m/>
    <m/>
    <m/>
    <m/>
    <m/>
    <m/>
    <m/>
    <m/>
    <m/>
    <m/>
    <m/>
    <m/>
    <m/>
    <m/>
    <m/>
    <m/>
    <m/>
    <m/>
    <m/>
    <m/>
    <m/>
    <m/>
    <m/>
    <m/>
    <m/>
    <m/>
    <m/>
    <m/>
    <m/>
    <m/>
    <m/>
    <s v="Flowl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m/>
    <m/>
    <m/>
    <m/>
    <m/>
    <m/>
    <s v="No"/>
    <s v="No"/>
    <m/>
    <x v="14"/>
    <x v="0"/>
    <x v="0"/>
    <m/>
    <x v="0"/>
    <x v="0"/>
  </r>
  <r>
    <s v="Erin Moeur - Used Trade-In Product"/>
    <n v="10"/>
    <n v="5"/>
    <d v="2026-02-25T21:04:48"/>
    <n v="5240679"/>
    <s v="Used Trade-In Product"/>
    <m/>
    <s v="Erin Moeur"/>
    <m/>
    <s v="erinmoeur@gmail.com"/>
    <m/>
    <s v="Tacoma;Washington;98406"/>
    <s v="Tacoma;Washington;98406"/>
    <s v="9 years 11 months"/>
    <s v="No"/>
    <m/>
    <m/>
    <s v="erinmoeur@gmail.com"/>
    <s v="119"/>
    <m/>
    <m/>
    <m/>
    <m/>
    <m/>
    <m/>
    <m/>
    <m/>
    <d v="2026-02-26T14:40:06"/>
    <d v="2026-02-25T13:21:12"/>
    <m/>
    <s v="1142330"/>
    <m/>
    <m/>
    <m/>
    <m/>
    <m/>
    <m/>
    <m/>
    <m/>
    <m/>
    <m/>
    <m/>
    <m/>
    <m/>
    <m/>
    <m/>
    <m/>
    <m/>
    <m/>
    <m/>
    <m/>
    <m/>
    <m/>
    <s v="https://bnh.lightning.force.com/0018X00003BU1mzQAD"/>
    <m/>
    <m/>
    <m/>
    <m/>
    <m/>
    <m/>
    <m/>
    <m/>
    <m/>
    <m/>
    <m/>
    <m/>
    <m/>
    <m/>
    <m/>
    <m/>
    <m/>
    <m/>
    <m/>
    <m/>
    <m/>
    <m/>
    <m/>
    <m/>
    <m/>
    <m/>
    <m/>
    <m/>
    <m/>
    <m/>
    <m/>
    <m/>
    <m/>
    <m/>
    <m/>
    <m/>
    <m/>
    <m/>
    <s v="CAD"/>
    <m/>
    <s v="No"/>
    <s v="Andrea Garcia,Freddy Gomez"/>
    <s v="Freddy Gomez"/>
    <d v="2026-02-25T21:04:56"/>
    <s v="Promoter"/>
    <s v="Closed"/>
    <m/>
    <m/>
    <s v="Yes"/>
    <m/>
    <m/>
    <m/>
    <m/>
    <m/>
    <m/>
    <m/>
    <m/>
    <m/>
    <m/>
    <m/>
    <m/>
    <m/>
    <m/>
    <m/>
    <m/>
    <s v="I appreciate that it feels like you pay a fair price for used goods!"/>
    <m/>
    <m/>
    <m/>
    <m/>
    <s v="N/A"/>
    <m/>
    <m/>
    <m/>
    <m/>
    <m/>
    <m/>
    <m/>
    <m/>
    <m/>
    <m/>
    <m/>
    <m/>
    <m/>
    <m/>
    <m/>
    <m/>
    <m/>
    <m/>
    <m/>
    <m/>
    <m/>
    <m/>
    <m/>
    <m/>
    <m/>
    <m/>
    <m/>
    <m/>
    <m/>
    <m/>
    <m/>
    <m/>
    <m/>
    <m/>
    <m/>
    <m/>
    <m/>
    <m/>
    <m/>
    <m/>
    <m/>
    <m/>
    <m/>
    <m/>
    <m/>
    <m/>
    <m/>
    <m/>
    <m/>
    <m/>
    <m/>
    <m/>
    <m/>
    <m/>
    <m/>
    <m/>
    <m/>
    <m/>
    <m/>
    <m/>
    <m/>
    <m/>
    <m/>
    <m/>
    <m/>
    <m/>
    <m/>
    <m/>
    <m/>
    <m/>
    <m/>
    <m/>
    <m/>
    <m/>
    <m/>
    <m/>
    <m/>
    <m/>
    <m/>
    <m/>
    <m/>
    <m/>
    <s v="I appreciate that it feels like you pay a fair price for used goods!"/>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Used &gt; Pricing &gt;"/>
    <m/>
    <m/>
    <s v="Pricing &gt; Value for Money &gt; (Positive), Trade In &gt; Quote Price &gt; (Positive), Used &gt; Pricing &gt; (Positive)"/>
    <s v="Used &gt; Pricing &gt; (Positive)"/>
    <s v="Yes"/>
    <s v="No"/>
    <m/>
    <x v="3"/>
    <x v="0"/>
    <x v="0"/>
    <m/>
    <x v="0"/>
    <x v="0"/>
  </r>
  <r>
    <s v="Elissa Eva - Used Trade-In Product"/>
    <n v="10"/>
    <n v="5"/>
    <d v="2026-02-25T20:10:39"/>
    <n v="5240551"/>
    <s v="Used Trade-In Product"/>
    <m/>
    <s v="Elissa Eva"/>
    <m/>
    <s v="elissaeva@gmail.com"/>
    <m/>
    <s v="Ketchum;Idaho;83340"/>
    <m/>
    <m/>
    <s v="No"/>
    <m/>
    <m/>
    <s v="elissaeva@gmail.com"/>
    <m/>
    <m/>
    <m/>
    <m/>
    <m/>
    <m/>
    <m/>
    <m/>
    <m/>
    <d v="2026-02-26T08:01:36"/>
    <d v="2026-02-25T13:22:13"/>
    <m/>
    <s v="1142938"/>
    <m/>
    <m/>
    <m/>
    <m/>
    <m/>
    <m/>
    <m/>
    <m/>
    <m/>
    <m/>
    <m/>
    <m/>
    <m/>
    <m/>
    <m/>
    <m/>
    <m/>
    <m/>
    <m/>
    <m/>
    <m/>
    <m/>
    <s v="https://bnh.lightning.force.com/001WP00000tdSDAYA2"/>
    <m/>
    <m/>
    <m/>
    <m/>
    <m/>
    <m/>
    <m/>
    <m/>
    <m/>
    <m/>
    <m/>
    <m/>
    <m/>
    <m/>
    <m/>
    <m/>
    <m/>
    <m/>
    <m/>
    <m/>
    <m/>
    <m/>
    <m/>
    <m/>
    <m/>
    <m/>
    <m/>
    <m/>
    <m/>
    <m/>
    <m/>
    <m/>
    <m/>
    <m/>
    <m/>
    <m/>
    <m/>
    <m/>
    <s v="CAD"/>
    <m/>
    <s v="No"/>
    <s v="Zane Bohnert"/>
    <s v="Zane Bohnert"/>
    <d v="2026-02-25T20:12:01"/>
    <s v="Promoter"/>
    <s v="Closed"/>
    <m/>
    <m/>
    <s v="Yes"/>
    <m/>
    <m/>
    <m/>
    <m/>
    <m/>
    <m/>
    <m/>
    <m/>
    <m/>
    <m/>
    <m/>
    <m/>
    <m/>
    <m/>
    <m/>
    <m/>
    <s v="Great company"/>
    <m/>
    <m/>
    <m/>
    <m/>
    <s v="Nothing"/>
    <m/>
    <m/>
    <m/>
    <m/>
    <m/>
    <m/>
    <m/>
    <m/>
    <m/>
    <m/>
    <m/>
    <m/>
    <m/>
    <m/>
    <m/>
    <m/>
    <m/>
    <m/>
    <m/>
    <m/>
    <m/>
    <m/>
    <m/>
    <m/>
    <m/>
    <m/>
    <m/>
    <m/>
    <m/>
    <m/>
    <m/>
    <m/>
    <m/>
    <m/>
    <m/>
    <m/>
    <m/>
    <m/>
    <m/>
    <m/>
    <m/>
    <m/>
    <m/>
    <m/>
    <m/>
    <m/>
    <m/>
    <m/>
    <m/>
    <m/>
    <m/>
    <m/>
    <m/>
    <m/>
    <m/>
    <m/>
    <m/>
    <m/>
    <m/>
    <m/>
    <m/>
    <m/>
    <m/>
    <m/>
    <m/>
    <m/>
    <m/>
    <m/>
    <m/>
    <m/>
    <m/>
    <m/>
    <m/>
    <m/>
    <m/>
    <m/>
    <m/>
    <m/>
    <m/>
    <m/>
    <m/>
    <m/>
    <s v="Great company"/>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Satisfaction &gt;"/>
    <m/>
    <s v="POSITIVE"/>
    <s v="B&amp;H &gt; Satisfaction &gt; (Positive)"/>
    <s v="B&amp;H &gt; Satisfaction &gt; (Positive)"/>
    <s v="No"/>
    <s v="No"/>
    <m/>
    <x v="15"/>
    <x v="0"/>
    <x v="0"/>
    <m/>
    <x v="0"/>
    <x v="0"/>
  </r>
  <r>
    <s v="Talia Burkett - Used Trade-In Product"/>
    <n v="10"/>
    <n v="5"/>
    <d v="2026-02-25T17:38:03"/>
    <n v="5240153"/>
    <s v="Used Trade-In Product"/>
    <m/>
    <s v="Talia Burkett"/>
    <m/>
    <s v="tali@sisterbstudios.com"/>
    <m/>
    <s v="Buellton;California;93427"/>
    <s v="Buellton;California;93427"/>
    <s v="3 years 1 months"/>
    <s v="No"/>
    <m/>
    <m/>
    <s v="tali@sisterbstudios.com"/>
    <s v="37"/>
    <m/>
    <m/>
    <m/>
    <m/>
    <m/>
    <m/>
    <m/>
    <m/>
    <d v="2026-02-26T07:51:36"/>
    <d v="2026-02-25T20:23:11"/>
    <m/>
    <s v="1142801"/>
    <m/>
    <m/>
    <m/>
    <m/>
    <m/>
    <m/>
    <m/>
    <m/>
    <m/>
    <m/>
    <m/>
    <m/>
    <m/>
    <m/>
    <m/>
    <m/>
    <m/>
    <m/>
    <m/>
    <m/>
    <m/>
    <m/>
    <s v="https://bnh.lightning.force.com/0018X00003AUpcDQAT"/>
    <m/>
    <m/>
    <m/>
    <m/>
    <m/>
    <m/>
    <m/>
    <m/>
    <m/>
    <m/>
    <m/>
    <m/>
    <m/>
    <m/>
    <m/>
    <m/>
    <m/>
    <m/>
    <m/>
    <m/>
    <m/>
    <m/>
    <m/>
    <m/>
    <m/>
    <m/>
    <m/>
    <m/>
    <m/>
    <m/>
    <m/>
    <m/>
    <m/>
    <m/>
    <m/>
    <m/>
    <m/>
    <m/>
    <s v="CAD"/>
    <m/>
    <s v="No"/>
    <s v="Aine Hoye"/>
    <s v="Aine Hoye"/>
    <d v="2026-02-25T17:38:25"/>
    <s v="Promoter"/>
    <s v="Closed"/>
    <m/>
    <m/>
    <s v="Yes"/>
    <m/>
    <m/>
    <m/>
    <m/>
    <m/>
    <m/>
    <m/>
    <m/>
    <m/>
    <m/>
    <m/>
    <m/>
    <m/>
    <m/>
    <m/>
    <m/>
    <s v="How easy a streamlined it was"/>
    <m/>
    <m/>
    <m/>
    <m/>
    <s v="That you didn’t buy back my camera body, but it’s all good because I understand how used it was."/>
    <m/>
    <m/>
    <m/>
    <m/>
    <m/>
    <m/>
    <m/>
    <m/>
    <m/>
    <m/>
    <m/>
    <m/>
    <m/>
    <m/>
    <m/>
    <m/>
    <m/>
    <m/>
    <m/>
    <m/>
    <m/>
    <m/>
    <m/>
    <m/>
    <m/>
    <m/>
    <m/>
    <m/>
    <m/>
    <m/>
    <m/>
    <m/>
    <m/>
    <m/>
    <m/>
    <m/>
    <m/>
    <m/>
    <m/>
    <m/>
    <m/>
    <m/>
    <m/>
    <m/>
    <m/>
    <m/>
    <m/>
    <m/>
    <m/>
    <m/>
    <m/>
    <m/>
    <m/>
    <m/>
    <m/>
    <m/>
    <m/>
    <m/>
    <m/>
    <m/>
    <m/>
    <m/>
    <m/>
    <m/>
    <m/>
    <m/>
    <m/>
    <m/>
    <m/>
    <m/>
    <m/>
    <m/>
    <m/>
    <m/>
    <m/>
    <m/>
    <m/>
    <m/>
    <m/>
    <m/>
    <m/>
    <m/>
    <s v="How easy a streamlined it was"/>
    <s v="That you didn’t buy back my camera body, but it’s all good because I understand how used it wa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egative), Trade In &gt; Overall Process &gt; (Positive)"/>
    <s v="Yes"/>
    <s v="Yes"/>
    <m/>
    <x v="0"/>
    <x v="14"/>
    <x v="0"/>
    <m/>
    <x v="0"/>
    <x v="0"/>
  </r>
  <r>
    <s v="Miya Pinckney - Used Trade-In Product"/>
    <n v="10"/>
    <n v="5"/>
    <d v="2026-02-25T16:21:24"/>
    <n v="5240002"/>
    <s v="Used Trade-In Product"/>
    <m/>
    <s v="Miya Pinckney"/>
    <m/>
    <s v="amiyahpinckney@icloud.com"/>
    <m/>
    <s v="North Charleston;South Carolina;29406"/>
    <m/>
    <m/>
    <s v="No"/>
    <m/>
    <m/>
    <s v="amiyahpinckney@icloud.com"/>
    <m/>
    <m/>
    <m/>
    <m/>
    <m/>
    <m/>
    <m/>
    <m/>
    <m/>
    <d v="2026-02-26T09:03:27"/>
    <d v="2026-02-25T13:20:52"/>
    <m/>
    <s v="1141740"/>
    <m/>
    <m/>
    <m/>
    <m/>
    <m/>
    <m/>
    <m/>
    <m/>
    <m/>
    <m/>
    <m/>
    <m/>
    <m/>
    <m/>
    <m/>
    <m/>
    <m/>
    <m/>
    <m/>
    <m/>
    <m/>
    <m/>
    <s v="https://bnh.lightning.force.com/001WP00000t0tugYAA"/>
    <m/>
    <m/>
    <m/>
    <m/>
    <m/>
    <m/>
    <m/>
    <m/>
    <m/>
    <m/>
    <m/>
    <m/>
    <m/>
    <m/>
    <m/>
    <m/>
    <m/>
    <m/>
    <m/>
    <m/>
    <m/>
    <m/>
    <m/>
    <m/>
    <m/>
    <m/>
    <m/>
    <m/>
    <m/>
    <m/>
    <m/>
    <m/>
    <m/>
    <m/>
    <m/>
    <m/>
    <m/>
    <m/>
    <s v="CAD"/>
    <m/>
    <s v="No"/>
    <s v="Emily Schreier"/>
    <s v="Emily Schreier"/>
    <d v="2026-02-25T16:23:24"/>
    <s v="Promoter"/>
    <s v="Closed"/>
    <m/>
    <m/>
    <s v="Yes"/>
    <m/>
    <m/>
    <m/>
    <m/>
    <m/>
    <m/>
    <m/>
    <m/>
    <m/>
    <m/>
    <m/>
    <m/>
    <m/>
    <m/>
    <m/>
    <m/>
    <s v="kind service"/>
    <m/>
    <m/>
    <m/>
    <m/>
    <s v="N/A"/>
    <m/>
    <m/>
    <m/>
    <m/>
    <m/>
    <m/>
    <m/>
    <m/>
    <m/>
    <m/>
    <m/>
    <m/>
    <m/>
    <m/>
    <m/>
    <m/>
    <m/>
    <m/>
    <m/>
    <m/>
    <m/>
    <m/>
    <m/>
    <m/>
    <m/>
    <m/>
    <m/>
    <m/>
    <m/>
    <m/>
    <m/>
    <m/>
    <m/>
    <m/>
    <m/>
    <m/>
    <m/>
    <m/>
    <m/>
    <m/>
    <m/>
    <m/>
    <m/>
    <m/>
    <m/>
    <m/>
    <m/>
    <m/>
    <m/>
    <m/>
    <m/>
    <m/>
    <m/>
    <m/>
    <m/>
    <m/>
    <m/>
    <m/>
    <m/>
    <m/>
    <m/>
    <m/>
    <m/>
    <m/>
    <m/>
    <m/>
    <m/>
    <m/>
    <m/>
    <m/>
    <m/>
    <m/>
    <m/>
    <m/>
    <m/>
    <m/>
    <m/>
    <m/>
    <m/>
    <m/>
    <m/>
    <m/>
    <s v="kind servic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eople &gt; Courtesy / Professional &gt;"/>
    <s v="People &gt; Courtesy / Professional &gt;"/>
    <m/>
    <m/>
    <s v="People &gt; Courtesy / Professional &gt; (Positive)"/>
    <s v="People &gt; Courtesy / Professional &gt; (Positive)"/>
    <s v="No"/>
    <s v="No"/>
    <m/>
    <x v="7"/>
    <x v="0"/>
    <x v="0"/>
    <m/>
    <x v="0"/>
    <x v="0"/>
  </r>
  <r>
    <s v="Holly Drake - Used Trade-In Product"/>
    <n v="10"/>
    <n v="5"/>
    <d v="2026-02-25T12:50:38"/>
    <n v="5239490"/>
    <s v="Used Trade-In Product"/>
    <m/>
    <s v="Holly Drake"/>
    <m/>
    <s v="hollykdrake@gmail.com"/>
    <m/>
    <s v="Darien;Connecticut;06820"/>
    <m/>
    <m/>
    <s v="No"/>
    <m/>
    <m/>
    <s v="hollykdrake@gmail.com"/>
    <m/>
    <m/>
    <m/>
    <m/>
    <m/>
    <m/>
    <m/>
    <m/>
    <m/>
    <d v="2026-02-25T14:58:27"/>
    <d v="2026-02-25T13:21:25"/>
    <m/>
    <s v="1143987"/>
    <m/>
    <m/>
    <m/>
    <m/>
    <m/>
    <m/>
    <m/>
    <m/>
    <m/>
    <m/>
    <m/>
    <m/>
    <m/>
    <m/>
    <m/>
    <m/>
    <m/>
    <m/>
    <m/>
    <m/>
    <m/>
    <m/>
    <s v="https://bnh.lightning.force.com/001WP00000uFlbSYAS"/>
    <m/>
    <m/>
    <m/>
    <m/>
    <m/>
    <m/>
    <m/>
    <m/>
    <m/>
    <m/>
    <m/>
    <m/>
    <m/>
    <m/>
    <m/>
    <m/>
    <m/>
    <m/>
    <m/>
    <m/>
    <m/>
    <m/>
    <m/>
    <m/>
    <m/>
    <m/>
    <m/>
    <m/>
    <m/>
    <m/>
    <m/>
    <m/>
    <m/>
    <m/>
    <m/>
    <m/>
    <m/>
    <m/>
    <s v="CAD"/>
    <m/>
    <s v="No"/>
    <s v="Freddy Gomez"/>
    <s v="Freddy Gomez"/>
    <d v="2026-02-25T12:50:55"/>
    <s v="Promoter"/>
    <s v="Closed"/>
    <m/>
    <m/>
    <s v="Yes"/>
    <m/>
    <m/>
    <m/>
    <m/>
    <m/>
    <m/>
    <m/>
    <m/>
    <m/>
    <m/>
    <m/>
    <m/>
    <m/>
    <m/>
    <m/>
    <m/>
    <s v="It was a very easy experience. B&amp;H replied quickly with a quote and a mailing label postage paid. And then in no time, they reviewed my used camera lens, emailed me and sent a check in the mail. Very responsive, quick &amp; easy!"/>
    <m/>
    <m/>
    <m/>
    <m/>
    <s v="Nothing!"/>
    <m/>
    <m/>
    <m/>
    <m/>
    <m/>
    <m/>
    <m/>
    <m/>
    <m/>
    <m/>
    <m/>
    <m/>
    <m/>
    <m/>
    <m/>
    <m/>
    <m/>
    <m/>
    <m/>
    <m/>
    <m/>
    <m/>
    <m/>
    <m/>
    <m/>
    <m/>
    <m/>
    <m/>
    <m/>
    <m/>
    <m/>
    <m/>
    <m/>
    <m/>
    <m/>
    <m/>
    <m/>
    <m/>
    <m/>
    <m/>
    <m/>
    <m/>
    <m/>
    <m/>
    <m/>
    <m/>
    <m/>
    <m/>
    <m/>
    <m/>
    <m/>
    <m/>
    <m/>
    <m/>
    <m/>
    <m/>
    <m/>
    <m/>
    <m/>
    <m/>
    <m/>
    <m/>
    <m/>
    <m/>
    <m/>
    <m/>
    <m/>
    <m/>
    <m/>
    <m/>
    <m/>
    <m/>
    <m/>
    <m/>
    <m/>
    <m/>
    <m/>
    <m/>
    <m/>
    <m/>
    <m/>
    <m/>
    <s v="It was a very easy experience. B&amp;H replied quickly with a quote and a mailing label postage paid. And then in no time, they reviewed my used camera lens, emailed me and sent a check in the mail. Very responsive, quick &amp; easy!"/>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Returns &gt; Shipping Fees &gt;, Trade In &gt; Overall Process &gt;, Trade In &gt; Timeliness of Quote &gt;"/>
    <s v="People &gt; Follow Up &gt;, Trade In &gt; Overall Process &gt;, Trade In &gt; Timeliness of Payment &gt;, Trade In &gt; Timeliness of Quote &gt;"/>
    <m/>
    <m/>
    <s v="Returns &gt; Shipping Fees &gt; (Positive), Trade In &gt; Overall Process &gt; (Positive), Trade In &gt; Timeliness of Quote &gt; (Positive)"/>
    <s v="People &gt; Follow Up &gt; (Positive), Trade In &gt; Overall Process &gt; (Positive), Trade In &gt; Timeliness of Payment &gt; (Positive), Trade In &gt; Timeliness of Quote &gt; (Positive)"/>
    <s v="Yes"/>
    <s v="Yes"/>
    <m/>
    <x v="0"/>
    <x v="10"/>
    <x v="0"/>
    <m/>
    <x v="0"/>
    <x v="0"/>
  </r>
  <r>
    <s v="Aaron Smith - Used Trade-In Product"/>
    <n v="10"/>
    <n v="5"/>
    <d v="2026-02-25T11:41:33"/>
    <n v="5239274"/>
    <s v="Used Trade-In Product"/>
    <m/>
    <s v="Aaron Smith"/>
    <m/>
    <s v="aaronmsmith30@gmail.com"/>
    <m/>
    <s v="Glen Spey;New York;12737"/>
    <s v="Glen Spey;New York;12737"/>
    <s v="17 years 8 months"/>
    <s v="Yes"/>
    <m/>
    <m/>
    <s v="aaronmsmith30@gmail.com"/>
    <s v="212"/>
    <m/>
    <m/>
    <m/>
    <m/>
    <m/>
    <m/>
    <m/>
    <m/>
    <d v="2026-02-25T13:59:51"/>
    <d v="2026-02-25T13:23:17"/>
    <m/>
    <s v="1143729"/>
    <m/>
    <m/>
    <m/>
    <m/>
    <m/>
    <m/>
    <m/>
    <m/>
    <m/>
    <m/>
    <m/>
    <m/>
    <m/>
    <m/>
    <m/>
    <m/>
    <m/>
    <m/>
    <m/>
    <m/>
    <m/>
    <m/>
    <s v="https://bnh.lightning.force.com/0012L00000xNuXtQAK"/>
    <m/>
    <m/>
    <m/>
    <m/>
    <m/>
    <m/>
    <m/>
    <m/>
    <m/>
    <m/>
    <m/>
    <m/>
    <m/>
    <m/>
    <m/>
    <m/>
    <m/>
    <m/>
    <m/>
    <m/>
    <m/>
    <m/>
    <m/>
    <m/>
    <m/>
    <m/>
    <m/>
    <m/>
    <m/>
    <m/>
    <m/>
    <m/>
    <m/>
    <m/>
    <m/>
    <m/>
    <m/>
    <m/>
    <s v="CAD"/>
    <m/>
    <s v="No"/>
    <s v="Aine Hoye"/>
    <s v="Aine Hoye"/>
    <d v="2026-02-25T11:42:16"/>
    <s v="Promoter"/>
    <s v="Closed"/>
    <m/>
    <m/>
    <s v="Yes"/>
    <m/>
    <m/>
    <m/>
    <m/>
    <m/>
    <m/>
    <m/>
    <m/>
    <m/>
    <m/>
    <m/>
    <m/>
    <m/>
    <m/>
    <m/>
    <m/>
    <s v="It was easy and fast to get payment."/>
    <m/>
    <m/>
    <m/>
    <m/>
    <s v="One lens was declined due to issues, but that is understandable."/>
    <m/>
    <m/>
    <m/>
    <m/>
    <m/>
    <m/>
    <m/>
    <m/>
    <m/>
    <m/>
    <m/>
    <m/>
    <m/>
    <m/>
    <m/>
    <m/>
    <m/>
    <m/>
    <m/>
    <m/>
    <m/>
    <m/>
    <m/>
    <m/>
    <m/>
    <m/>
    <m/>
    <m/>
    <m/>
    <m/>
    <m/>
    <m/>
    <m/>
    <m/>
    <m/>
    <m/>
    <m/>
    <m/>
    <m/>
    <m/>
    <m/>
    <m/>
    <m/>
    <m/>
    <m/>
    <m/>
    <m/>
    <m/>
    <m/>
    <m/>
    <m/>
    <m/>
    <m/>
    <m/>
    <m/>
    <m/>
    <m/>
    <m/>
    <m/>
    <m/>
    <m/>
    <m/>
    <m/>
    <m/>
    <m/>
    <m/>
    <m/>
    <m/>
    <m/>
    <m/>
    <m/>
    <m/>
    <m/>
    <m/>
    <m/>
    <m/>
    <m/>
    <m/>
    <m/>
    <m/>
    <m/>
    <m/>
    <s v="It was easy and fast to get payment."/>
    <s v="One lens was declined due to issues, but that is understand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ayment &gt; Ease Of Use &gt;, Trade In &gt; Timeliness of Payment &gt;"/>
    <s v="Trade In &gt; Overall Process &gt;, Trade In &gt; Timeliness of Payment &gt;"/>
    <m/>
    <m/>
    <s v="Payment &gt; Ease Of Use &gt; (Positive), Trade In &gt; Timeliness of Payment &gt; (Positive)"/>
    <s v="Trade In &gt; Overall Process &gt; (Negative), Trade In &gt; Overall Process &gt; (Positive), Trade In &gt; Timeliness of Payment &gt; (Positive)"/>
    <s v="Yes"/>
    <s v="No"/>
    <m/>
    <x v="0"/>
    <x v="14"/>
    <x v="0"/>
    <m/>
    <x v="0"/>
    <x v="0"/>
  </r>
  <r>
    <s v="Rachelle Porsenna - Used Trade-In Product"/>
    <n v="10"/>
    <n v="5"/>
    <d v="2026-02-25T11:22:43"/>
    <n v="5239210"/>
    <s v="Used Trade-In Product"/>
    <m/>
    <s v="Rachelle Porsenna"/>
    <m/>
    <s v="racheal504@gmail.com"/>
    <m/>
    <s v="Fort Lauderdale;Florida;33324"/>
    <s v="Fort Lauderdale;Florida;33324"/>
    <s v="9 years 7 months"/>
    <s v="No"/>
    <m/>
    <m/>
    <s v="racheal504@gmail.com"/>
    <s v="115"/>
    <m/>
    <m/>
    <m/>
    <m/>
    <m/>
    <m/>
    <m/>
    <m/>
    <d v="2026-02-25T14:10:59"/>
    <d v="2026-02-25T13:22:11"/>
    <m/>
    <s v="1142940"/>
    <m/>
    <m/>
    <m/>
    <m/>
    <m/>
    <m/>
    <m/>
    <m/>
    <m/>
    <m/>
    <m/>
    <m/>
    <m/>
    <m/>
    <m/>
    <m/>
    <m/>
    <m/>
    <m/>
    <m/>
    <m/>
    <m/>
    <s v="https://bnh.lightning.force.com/001WP00000tdtmrYAA"/>
    <m/>
    <m/>
    <m/>
    <m/>
    <m/>
    <m/>
    <m/>
    <m/>
    <m/>
    <m/>
    <m/>
    <m/>
    <m/>
    <m/>
    <m/>
    <m/>
    <m/>
    <m/>
    <m/>
    <m/>
    <m/>
    <m/>
    <m/>
    <m/>
    <m/>
    <m/>
    <m/>
    <m/>
    <m/>
    <m/>
    <m/>
    <m/>
    <m/>
    <m/>
    <m/>
    <m/>
    <m/>
    <m/>
    <s v="CAD"/>
    <m/>
    <s v="No"/>
    <s v="Andrea Garcia"/>
    <s v="Andrea Garcia"/>
    <d v="2026-02-25T11:23:41"/>
    <s v="Promoter"/>
    <s v="Closed"/>
    <m/>
    <m/>
    <s v="Yes"/>
    <m/>
    <m/>
    <m/>
    <m/>
    <m/>
    <m/>
    <m/>
    <m/>
    <m/>
    <m/>
    <m/>
    <m/>
    <m/>
    <m/>
    <m/>
    <m/>
    <s v="They made the transaction super easy"/>
    <m/>
    <m/>
    <m/>
    <m/>
    <s v="The quote was a bit low"/>
    <m/>
    <m/>
    <m/>
    <m/>
    <m/>
    <m/>
    <m/>
    <m/>
    <m/>
    <m/>
    <m/>
    <m/>
    <m/>
    <m/>
    <m/>
    <m/>
    <m/>
    <m/>
    <m/>
    <m/>
    <m/>
    <m/>
    <m/>
    <m/>
    <m/>
    <m/>
    <m/>
    <m/>
    <m/>
    <m/>
    <m/>
    <m/>
    <m/>
    <m/>
    <m/>
    <m/>
    <m/>
    <m/>
    <m/>
    <m/>
    <m/>
    <m/>
    <m/>
    <m/>
    <m/>
    <m/>
    <m/>
    <m/>
    <m/>
    <m/>
    <m/>
    <m/>
    <m/>
    <m/>
    <m/>
    <m/>
    <m/>
    <m/>
    <m/>
    <m/>
    <m/>
    <m/>
    <m/>
    <m/>
    <m/>
    <m/>
    <m/>
    <m/>
    <m/>
    <m/>
    <m/>
    <m/>
    <m/>
    <m/>
    <m/>
    <m/>
    <m/>
    <m/>
    <m/>
    <m/>
    <m/>
    <m/>
    <s v="They made the transaction super easy"/>
    <s v="The quote was a bit lo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Quote Price &gt;"/>
    <s v="Trade In &gt; Overall Process &gt;, Trade In &gt; Quote Price &gt;"/>
    <m/>
    <m/>
    <s v="Trade In &gt; Overall Process &gt; (Negative), Trade In &gt; Overall Process &gt; (Positive), Trade In &gt; Quote Price &gt; (Negative)"/>
    <s v="Trade In &gt; Overall Process &gt; (Positive), Trade In &gt; Quote Price &gt; (Negative)"/>
    <s v="Yes"/>
    <s v="No"/>
    <m/>
    <x v="0"/>
    <x v="8"/>
    <x v="0"/>
    <m/>
    <x v="0"/>
    <x v="0"/>
  </r>
  <r>
    <s v="David Gryder - Used Trade-In Product"/>
    <n v="10"/>
    <n v="5"/>
    <d v="2026-02-25T10:39:48"/>
    <n v="5239048"/>
    <s v="Used Trade-In Product"/>
    <m/>
    <s v="David Gryder"/>
    <m/>
    <s v="cdavid.gryder@gmail.com"/>
    <m/>
    <s v="High Point;North Carolina;27265"/>
    <m/>
    <m/>
    <s v="No"/>
    <m/>
    <m/>
    <s v="cdavid.gryder@gmail.com"/>
    <m/>
    <m/>
    <m/>
    <m/>
    <m/>
    <m/>
    <m/>
    <m/>
    <m/>
    <d v="2026-02-25T14:06:19"/>
    <d v="2026-02-25T13:22:44"/>
    <m/>
    <s v="1140641"/>
    <m/>
    <m/>
    <m/>
    <m/>
    <m/>
    <m/>
    <m/>
    <m/>
    <m/>
    <m/>
    <m/>
    <m/>
    <m/>
    <m/>
    <m/>
    <m/>
    <m/>
    <m/>
    <m/>
    <m/>
    <m/>
    <m/>
    <s v="https://bnh.lightning.force.com/0018X00003USDuUQAX"/>
    <m/>
    <m/>
    <m/>
    <m/>
    <m/>
    <m/>
    <m/>
    <m/>
    <m/>
    <m/>
    <m/>
    <m/>
    <m/>
    <m/>
    <m/>
    <m/>
    <m/>
    <m/>
    <m/>
    <m/>
    <m/>
    <m/>
    <m/>
    <m/>
    <m/>
    <m/>
    <m/>
    <m/>
    <m/>
    <m/>
    <m/>
    <m/>
    <m/>
    <m/>
    <m/>
    <m/>
    <m/>
    <m/>
    <s v="CAD"/>
    <m/>
    <s v="No"/>
    <s v="Andrea Garcia"/>
    <s v="Andrea Garcia"/>
    <d v="2026-02-25T10:40:09"/>
    <s v="Promoter"/>
    <s v="Closed"/>
    <m/>
    <m/>
    <s v="Yes"/>
    <m/>
    <m/>
    <m/>
    <m/>
    <m/>
    <m/>
    <m/>
    <m/>
    <m/>
    <m/>
    <m/>
    <m/>
    <m/>
    <m/>
    <m/>
    <m/>
    <s v="Easy and FAIR!  Best retail experience I’ve had!"/>
    <m/>
    <m/>
    <m/>
    <m/>
    <s v="Nothing!"/>
    <m/>
    <m/>
    <m/>
    <m/>
    <m/>
    <m/>
    <m/>
    <m/>
    <m/>
    <m/>
    <m/>
    <m/>
    <m/>
    <m/>
    <m/>
    <m/>
    <m/>
    <m/>
    <m/>
    <m/>
    <m/>
    <m/>
    <m/>
    <m/>
    <m/>
    <m/>
    <m/>
    <m/>
    <m/>
    <m/>
    <m/>
    <m/>
    <m/>
    <m/>
    <m/>
    <m/>
    <m/>
    <m/>
    <m/>
    <m/>
    <m/>
    <m/>
    <m/>
    <m/>
    <m/>
    <m/>
    <m/>
    <m/>
    <m/>
    <m/>
    <m/>
    <m/>
    <m/>
    <m/>
    <m/>
    <m/>
    <m/>
    <m/>
    <m/>
    <m/>
    <m/>
    <m/>
    <m/>
    <m/>
    <m/>
    <m/>
    <m/>
    <m/>
    <m/>
    <m/>
    <m/>
    <m/>
    <m/>
    <m/>
    <m/>
    <m/>
    <m/>
    <m/>
    <m/>
    <m/>
    <m/>
    <m/>
    <s v="Easy and FAIR!  Best retail experience I’ve had!"/>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Satisfaction &gt;, Trade In &gt; Overall Process &gt;"/>
    <m/>
    <m/>
    <s v="B&amp;H &gt; Satisfaction &gt; (Positive)"/>
    <s v="B&amp;H &gt; Satisfaction &gt; (Positive), Trade In &gt; Overall Process &gt; (Positive)"/>
    <s v="Yes"/>
    <s v="No"/>
    <m/>
    <x v="0"/>
    <x v="15"/>
    <x v="0"/>
    <m/>
    <x v="0"/>
    <x v="0"/>
  </r>
  <r>
    <s v="Laura Mcmahon - Used Trade-In Product"/>
    <n v="10"/>
    <n v="5"/>
    <d v="2026-02-25T10:36:23"/>
    <n v="5239037"/>
    <s v="Used Trade-In Product"/>
    <m/>
    <s v="Laura Mcmahon"/>
    <m/>
    <s v="laura.mcmahon09@gmail.com"/>
    <m/>
    <s v="Bend;Oregon;97703"/>
    <m/>
    <m/>
    <s v="No"/>
    <m/>
    <m/>
    <s v="laura.mcmahon09@gmail.com"/>
    <m/>
    <m/>
    <m/>
    <m/>
    <m/>
    <m/>
    <m/>
    <m/>
    <m/>
    <d v="2026-02-25T14:04:57"/>
    <d v="2026-02-25T13:21:49"/>
    <m/>
    <s v="1140225"/>
    <m/>
    <m/>
    <m/>
    <m/>
    <m/>
    <m/>
    <m/>
    <m/>
    <m/>
    <m/>
    <m/>
    <m/>
    <m/>
    <m/>
    <m/>
    <m/>
    <m/>
    <m/>
    <m/>
    <m/>
    <m/>
    <m/>
    <s v="https://bnh.lightning.force.com/001WP00000ryOUCYA2"/>
    <m/>
    <m/>
    <m/>
    <m/>
    <m/>
    <m/>
    <m/>
    <m/>
    <m/>
    <m/>
    <m/>
    <m/>
    <m/>
    <m/>
    <m/>
    <m/>
    <m/>
    <m/>
    <m/>
    <m/>
    <m/>
    <m/>
    <m/>
    <m/>
    <m/>
    <m/>
    <m/>
    <m/>
    <m/>
    <m/>
    <m/>
    <m/>
    <m/>
    <m/>
    <m/>
    <m/>
    <m/>
    <m/>
    <s v="CAD"/>
    <m/>
    <s v="No"/>
    <s v="Andrea Garcia"/>
    <s v="Andrea Garcia"/>
    <d v="2026-02-25T10:37:28"/>
    <s v="Promoter"/>
    <s v="Closed"/>
    <m/>
    <m/>
    <s v="Yes"/>
    <m/>
    <m/>
    <m/>
    <m/>
    <m/>
    <m/>
    <m/>
    <m/>
    <m/>
    <m/>
    <m/>
    <m/>
    <m/>
    <m/>
    <m/>
    <m/>
    <s v="Quote process"/>
    <m/>
    <m/>
    <m/>
    <m/>
    <s v="Wish there was a direct deposit"/>
    <m/>
    <m/>
    <m/>
    <m/>
    <m/>
    <m/>
    <m/>
    <m/>
    <m/>
    <m/>
    <m/>
    <m/>
    <m/>
    <m/>
    <m/>
    <m/>
    <m/>
    <m/>
    <m/>
    <m/>
    <m/>
    <m/>
    <m/>
    <m/>
    <m/>
    <m/>
    <m/>
    <m/>
    <m/>
    <m/>
    <m/>
    <m/>
    <m/>
    <m/>
    <m/>
    <m/>
    <m/>
    <m/>
    <m/>
    <m/>
    <m/>
    <m/>
    <m/>
    <m/>
    <m/>
    <m/>
    <m/>
    <m/>
    <m/>
    <m/>
    <m/>
    <m/>
    <m/>
    <m/>
    <m/>
    <m/>
    <m/>
    <m/>
    <m/>
    <m/>
    <m/>
    <m/>
    <m/>
    <m/>
    <m/>
    <m/>
    <m/>
    <m/>
    <m/>
    <m/>
    <m/>
    <m/>
    <m/>
    <m/>
    <m/>
    <m/>
    <m/>
    <m/>
    <m/>
    <m/>
    <m/>
    <m/>
    <s v="Quote process"/>
    <s v="Wish there was a direct deposi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s v="N/A"/>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No opinion)"/>
    <s v="Trade In &gt; Overall Process &gt; (Negative), Trade In &gt; Overall Process &gt; (Positive)"/>
    <s v="Yes"/>
    <s v="Yes"/>
    <m/>
    <x v="13"/>
    <x v="16"/>
    <x v="0"/>
    <m/>
    <x v="0"/>
    <x v="0"/>
  </r>
  <r>
    <s v="Janet Reasoner - Used Trade-In Product"/>
    <n v="10"/>
    <n v="5"/>
    <d v="2026-02-24T19:27:05"/>
    <n v="5237746"/>
    <s v="Used Trade-In Product"/>
    <m/>
    <s v="Janet Reasoner"/>
    <m/>
    <s v="janetreasoner@comcast.net"/>
    <m/>
    <s v="Sun City;Arizona;85373"/>
    <s v="Sun City;Arizona;85373"/>
    <s v="7 years 7 months"/>
    <s v="No"/>
    <m/>
    <m/>
    <s v="janetreasoner@comcast.net"/>
    <s v="91"/>
    <m/>
    <m/>
    <m/>
    <m/>
    <m/>
    <m/>
    <m/>
    <m/>
    <d v="2026-02-25T09:34:08"/>
    <d v="2026-02-24T22:16:14"/>
    <m/>
    <s v="1144294"/>
    <m/>
    <m/>
    <m/>
    <m/>
    <m/>
    <m/>
    <m/>
    <m/>
    <m/>
    <m/>
    <m/>
    <m/>
    <m/>
    <m/>
    <m/>
    <m/>
    <m/>
    <m/>
    <m/>
    <m/>
    <m/>
    <m/>
    <s v="https://bnh.lightning.force.com/0011a00000ry3sWAAQ"/>
    <m/>
    <m/>
    <m/>
    <m/>
    <m/>
    <m/>
    <m/>
    <m/>
    <m/>
    <m/>
    <m/>
    <m/>
    <m/>
    <m/>
    <m/>
    <m/>
    <m/>
    <m/>
    <m/>
    <m/>
    <m/>
    <m/>
    <m/>
    <m/>
    <m/>
    <m/>
    <m/>
    <m/>
    <m/>
    <m/>
    <m/>
    <m/>
    <m/>
    <m/>
    <m/>
    <m/>
    <m/>
    <m/>
    <s v="CAD"/>
    <m/>
    <s v="No"/>
    <s v="Andrea Garcia"/>
    <s v="Andrea Garcia"/>
    <d v="2026-02-24T19:20:54"/>
    <s v="Promoter"/>
    <s v="Closed"/>
    <m/>
    <m/>
    <s v="Yes"/>
    <m/>
    <m/>
    <m/>
    <m/>
    <m/>
    <m/>
    <m/>
    <m/>
    <m/>
    <m/>
    <m/>
    <m/>
    <m/>
    <m/>
    <m/>
    <m/>
    <s v="This was my first time selling my equipment since I started photography 32 years ago. Since my husband's death, I realized I needed to get my equipment organized and B&amp;H came to mind. They made the entire process very user friendly and when I did talk to a representative, he was easy to understand and explained the issue very well.  It was a very positive experience for me and I will be a repeat customer. Thank you B&amp;H!"/>
    <m/>
    <m/>
    <m/>
    <m/>
    <s v="NA"/>
    <m/>
    <m/>
    <m/>
    <m/>
    <m/>
    <m/>
    <m/>
    <m/>
    <m/>
    <m/>
    <m/>
    <m/>
    <m/>
    <m/>
    <m/>
    <m/>
    <m/>
    <m/>
    <m/>
    <m/>
    <m/>
    <m/>
    <m/>
    <m/>
    <m/>
    <m/>
    <m/>
    <m/>
    <m/>
    <m/>
    <m/>
    <m/>
    <m/>
    <m/>
    <m/>
    <m/>
    <m/>
    <m/>
    <m/>
    <m/>
    <m/>
    <m/>
    <m/>
    <m/>
    <m/>
    <m/>
    <m/>
    <m/>
    <m/>
    <m/>
    <m/>
    <m/>
    <m/>
    <m/>
    <m/>
    <m/>
    <m/>
    <m/>
    <m/>
    <m/>
    <m/>
    <m/>
    <m/>
    <m/>
    <m/>
    <m/>
    <m/>
    <m/>
    <m/>
    <m/>
    <m/>
    <m/>
    <m/>
    <m/>
    <m/>
    <m/>
    <m/>
    <m/>
    <m/>
    <m/>
    <m/>
    <m/>
    <s v="This was my first time selling my equipment since I started photography 32 years ago. Since my husband's death, I realized I needed to get my equipment organized and B&amp;H came to mind. They made the entire process very user friendly and when I did talk to a representative, he was easy to understand and explained the issue very well.  It was a very positive experience for me and I will be a repeat customer. Thank you B&amp;H!"/>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People &gt; Communication Listening &gt;, People &gt; Courtesy / Professional &gt;, Trade In &gt; Overall Process &gt;"/>
    <s v="People &gt; Communication Skills &gt;, People &gt; Helpful / Efficient &gt;, Trade In &gt; Overall Process &gt;"/>
    <m/>
    <s v="NEUTRAL"/>
    <s v="B&amp;H &gt; Satisfaction &gt; (Positive), People &gt; Communication Listening &gt; (Positive), People &gt; Courtesy / Professional &gt; (Positive), Trade In &gt; Overall Process &gt; (Positive)"/>
    <s v="People &gt; Communication Skills &gt; (Positive), People &gt; Helpful / Efficient &gt; (Positive), Trade In &gt; Overall Process &gt; (Positive)"/>
    <s v="Yes"/>
    <s v="No"/>
    <m/>
    <x v="0"/>
    <x v="2"/>
    <x v="0"/>
    <m/>
    <x v="0"/>
    <x v="0"/>
  </r>
  <r>
    <s v="Ashish Shah - Used Trade-In Product"/>
    <n v="9"/>
    <n v="5"/>
    <d v="2026-02-24T19:20:36"/>
    <n v="5237747"/>
    <s v="Used Trade-In Product"/>
    <m/>
    <s v="Ashish Shah"/>
    <m/>
    <s v="ashishshah108@hotmail.com"/>
    <m/>
    <s v="Parsippany;New Jersey;07054"/>
    <s v="Parsippany;New Jersey;07054"/>
    <s v="14 years 0 months"/>
    <s v="Yes"/>
    <m/>
    <m/>
    <s v="ashishshah108@hotmail.com"/>
    <s v="168"/>
    <m/>
    <m/>
    <m/>
    <m/>
    <m/>
    <m/>
    <m/>
    <m/>
    <d v="2026-02-25T09:37:49"/>
    <d v="2026-02-24T22:16:18"/>
    <m/>
    <s v="1143983"/>
    <m/>
    <m/>
    <m/>
    <m/>
    <m/>
    <m/>
    <m/>
    <m/>
    <m/>
    <m/>
    <m/>
    <m/>
    <m/>
    <m/>
    <m/>
    <m/>
    <m/>
    <m/>
    <m/>
    <m/>
    <m/>
    <m/>
    <s v="https://bnh.lightning.force.com/001Hs00005n0vk4IAA"/>
    <m/>
    <m/>
    <m/>
    <m/>
    <m/>
    <m/>
    <m/>
    <m/>
    <m/>
    <m/>
    <m/>
    <m/>
    <m/>
    <m/>
    <m/>
    <m/>
    <m/>
    <m/>
    <m/>
    <m/>
    <m/>
    <m/>
    <m/>
    <m/>
    <m/>
    <m/>
    <m/>
    <m/>
    <m/>
    <m/>
    <m/>
    <m/>
    <m/>
    <m/>
    <m/>
    <m/>
    <m/>
    <m/>
    <s v="CAD"/>
    <m/>
    <s v="No"/>
    <s v="Freddy Gomez"/>
    <s v="Freddy Gomez"/>
    <d v="2026-02-24T19:20:54"/>
    <s v="Promoter"/>
    <s v="Closed"/>
    <m/>
    <m/>
    <s v="Yes"/>
    <m/>
    <m/>
    <m/>
    <m/>
    <m/>
    <m/>
    <m/>
    <m/>
    <m/>
    <m/>
    <m/>
    <m/>
    <m/>
    <m/>
    <m/>
    <m/>
    <s v="Trust and reputation of B&amp;H."/>
    <m/>
    <m/>
    <m/>
    <m/>
    <s v="A little slow turn around time to get to the final stage of gift card."/>
    <m/>
    <m/>
    <m/>
    <m/>
    <m/>
    <m/>
    <m/>
    <m/>
    <m/>
    <m/>
    <m/>
    <m/>
    <m/>
    <m/>
    <m/>
    <m/>
    <m/>
    <m/>
    <m/>
    <m/>
    <m/>
    <m/>
    <m/>
    <m/>
    <m/>
    <m/>
    <m/>
    <m/>
    <m/>
    <m/>
    <m/>
    <m/>
    <m/>
    <m/>
    <m/>
    <m/>
    <m/>
    <m/>
    <m/>
    <m/>
    <m/>
    <m/>
    <m/>
    <m/>
    <m/>
    <m/>
    <m/>
    <m/>
    <m/>
    <m/>
    <m/>
    <m/>
    <m/>
    <m/>
    <m/>
    <m/>
    <m/>
    <m/>
    <m/>
    <m/>
    <m/>
    <m/>
    <m/>
    <m/>
    <m/>
    <m/>
    <m/>
    <m/>
    <m/>
    <m/>
    <m/>
    <m/>
    <m/>
    <m/>
    <m/>
    <m/>
    <m/>
    <m/>
    <m/>
    <m/>
    <m/>
    <m/>
    <s v="Trust and reputation of B&amp;H."/>
    <s v="A little slow turn around time to get to the final stage of gift car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4"/>
    <m/>
    <m/>
    <m/>
    <m/>
    <m/>
    <m/>
    <n v="4"/>
    <n v="3"/>
    <n v="3"/>
    <n v="3"/>
    <m/>
    <m/>
    <m/>
    <m/>
    <m/>
    <m/>
    <m/>
    <m/>
    <m/>
    <m/>
    <m/>
    <m/>
    <m/>
    <m/>
    <m/>
    <m/>
    <m/>
    <m/>
    <m/>
    <m/>
    <m/>
    <m/>
    <m/>
    <m/>
    <m/>
    <m/>
    <m/>
    <m/>
    <m/>
    <m/>
    <m/>
    <m/>
    <m/>
    <m/>
    <m/>
    <m/>
    <m/>
    <m/>
    <m/>
    <m/>
    <m/>
    <m/>
    <m/>
    <m/>
    <m/>
    <m/>
    <m/>
    <m/>
    <m/>
    <m/>
    <m/>
    <m/>
    <m/>
    <m/>
    <m/>
    <m/>
    <m/>
    <m/>
    <m/>
    <m/>
    <m/>
    <m/>
    <m/>
    <m/>
    <m/>
    <m/>
    <m/>
    <m/>
    <m/>
    <m/>
    <m/>
    <m/>
    <m/>
    <m/>
    <m/>
    <m/>
    <m/>
    <m/>
    <m/>
    <m/>
    <m/>
    <m/>
    <m/>
    <m/>
    <m/>
    <m/>
    <m/>
    <m/>
    <m/>
    <m/>
    <m/>
    <m/>
    <m/>
    <m/>
    <m/>
    <m/>
    <m/>
    <m/>
    <m/>
    <m/>
    <m/>
    <s v="B&amp;H &gt; Reliable / Trustworthy &gt;"/>
    <s v="B&amp;H &gt; Reliable / Trustworthy &gt;, Trade In &gt; Timeliness of Payment &gt;"/>
    <m/>
    <m/>
    <s v="B&amp;H &gt; Reliable / Trustworthy &gt; (Positive)"/>
    <s v="B&amp;H &gt; Reliable / Trustworthy &gt; (Positive), Trade In &gt; Timeliness of Payment &gt; (Negative)"/>
    <s v="Yes"/>
    <s v="No"/>
    <m/>
    <x v="16"/>
    <x v="11"/>
    <x v="0"/>
    <m/>
    <x v="0"/>
    <x v="0"/>
  </r>
  <r>
    <s v="Elizabeth Kunkle - Used Trade-In Product"/>
    <n v="10"/>
    <n v="5"/>
    <d v="2026-02-24T15:17:35"/>
    <n v="5237374"/>
    <s v="Used Trade-In Product"/>
    <m/>
    <s v="Elizabeth Kunkle"/>
    <m/>
    <s v="ntkw2k52t8@privaterelay.appleid.com"/>
    <m/>
    <s v="Corinth;Texas;76208"/>
    <m/>
    <m/>
    <s v="No"/>
    <m/>
    <m/>
    <s v="ntkw2k52t8@privaterelay.appleid.com"/>
    <m/>
    <m/>
    <m/>
    <m/>
    <m/>
    <m/>
    <m/>
    <m/>
    <m/>
    <d v="2026-02-25T09:17:18"/>
    <d v="2026-02-23T12:48:41"/>
    <m/>
    <s v="1141400"/>
    <m/>
    <m/>
    <m/>
    <m/>
    <m/>
    <m/>
    <m/>
    <m/>
    <m/>
    <m/>
    <m/>
    <m/>
    <m/>
    <m/>
    <m/>
    <m/>
    <m/>
    <m/>
    <m/>
    <m/>
    <m/>
    <m/>
    <s v="https://bnh.lightning.force.com/0018X00003UVBpdQAH"/>
    <m/>
    <m/>
    <m/>
    <m/>
    <m/>
    <m/>
    <m/>
    <m/>
    <m/>
    <m/>
    <m/>
    <m/>
    <m/>
    <m/>
    <m/>
    <m/>
    <m/>
    <m/>
    <m/>
    <m/>
    <m/>
    <m/>
    <m/>
    <m/>
    <m/>
    <m/>
    <m/>
    <m/>
    <m/>
    <m/>
    <m/>
    <m/>
    <m/>
    <m/>
    <m/>
    <m/>
    <m/>
    <m/>
    <s v="CAD"/>
    <m/>
    <s v="No"/>
    <s v="Emily Schreier"/>
    <s v="Emily Schreier"/>
    <d v="2026-02-24T15:17:39"/>
    <s v="Promoter"/>
    <s v="Closed"/>
    <m/>
    <m/>
    <s v="Yes"/>
    <m/>
    <m/>
    <m/>
    <m/>
    <m/>
    <m/>
    <m/>
    <m/>
    <m/>
    <m/>
    <m/>
    <m/>
    <m/>
    <m/>
    <m/>
    <m/>
    <s v="Simplicity, very clear and concise what will happen and how to get the service you want."/>
    <m/>
    <m/>
    <m/>
    <m/>
    <s v="Nothing, great company for me and my photography. Already recommended to friends selling their cameras!"/>
    <m/>
    <m/>
    <m/>
    <m/>
    <m/>
    <m/>
    <m/>
    <m/>
    <m/>
    <m/>
    <m/>
    <m/>
    <m/>
    <m/>
    <m/>
    <m/>
    <m/>
    <m/>
    <m/>
    <m/>
    <m/>
    <m/>
    <m/>
    <m/>
    <m/>
    <m/>
    <m/>
    <m/>
    <m/>
    <m/>
    <m/>
    <m/>
    <m/>
    <m/>
    <m/>
    <m/>
    <m/>
    <m/>
    <m/>
    <m/>
    <m/>
    <m/>
    <m/>
    <m/>
    <m/>
    <m/>
    <m/>
    <m/>
    <m/>
    <m/>
    <m/>
    <m/>
    <m/>
    <m/>
    <m/>
    <m/>
    <m/>
    <m/>
    <m/>
    <m/>
    <m/>
    <m/>
    <m/>
    <m/>
    <m/>
    <m/>
    <m/>
    <m/>
    <m/>
    <m/>
    <m/>
    <m/>
    <m/>
    <m/>
    <m/>
    <m/>
    <m/>
    <m/>
    <m/>
    <m/>
    <m/>
    <m/>
    <s v="Simplicity, very clear and concise what will happen and how to get the service you want."/>
    <s v="Nothing, great company for me and my photography. Already recommended to friends selling their camera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B&amp;H &gt; Recommended &gt;, B&amp;H &gt; Satisfaction &gt;"/>
    <s v="B&amp;H &gt; Recommended &gt;, B&amp;H &gt; Satisfaction &gt;, Trade In &gt; Overall Process &gt;"/>
    <m/>
    <m/>
    <s v="B&amp;H &gt; Recommended &gt; (Positive), B&amp;H &gt; Satisfaction &gt; (Positive)"/>
    <s v="B&amp;H &gt; Recommended &gt; (Positive), B&amp;H &gt; Satisfaction &gt; (Positive), Trade In &gt; Overall Process &gt; (Positive)"/>
    <s v="Yes"/>
    <s v="No"/>
    <m/>
    <x v="5"/>
    <x v="0"/>
    <x v="0"/>
    <m/>
    <x v="0"/>
    <x v="0"/>
  </r>
  <r>
    <s v="Johanna King - Used Trade-In Product"/>
    <n v="10"/>
    <n v="5"/>
    <d v="2026-02-24T13:48:43"/>
    <n v="5237191"/>
    <s v="Used Trade-In Product"/>
    <m/>
    <s v="Johanna King"/>
    <m/>
    <s v="mikeking@olympus.net"/>
    <m/>
    <s v="Portland;Oregon;97239"/>
    <s v="Portland;Oregon;97239"/>
    <s v="20 years 2 months"/>
    <s v="Yes"/>
    <m/>
    <m/>
    <s v="mikeking@olympus.net"/>
    <s v="242"/>
    <m/>
    <m/>
    <m/>
    <m/>
    <m/>
    <m/>
    <m/>
    <m/>
    <d v="2026-02-25T08:41:45"/>
    <d v="2026-02-24T13:15:54"/>
    <m/>
    <s v="1142581"/>
    <m/>
    <m/>
    <m/>
    <m/>
    <m/>
    <m/>
    <m/>
    <m/>
    <m/>
    <m/>
    <m/>
    <m/>
    <m/>
    <m/>
    <m/>
    <m/>
    <m/>
    <m/>
    <m/>
    <m/>
    <m/>
    <m/>
    <s v="https://bnh.lightning.force.com/0018X00003P0JmMQAV"/>
    <m/>
    <m/>
    <m/>
    <m/>
    <m/>
    <m/>
    <m/>
    <m/>
    <m/>
    <m/>
    <m/>
    <m/>
    <m/>
    <m/>
    <m/>
    <m/>
    <m/>
    <m/>
    <m/>
    <m/>
    <m/>
    <m/>
    <m/>
    <m/>
    <m/>
    <m/>
    <m/>
    <m/>
    <m/>
    <m/>
    <m/>
    <m/>
    <m/>
    <m/>
    <m/>
    <m/>
    <m/>
    <m/>
    <s v="CAD"/>
    <m/>
    <s v="No"/>
    <s v="Zane Bohnert"/>
    <s v="Zane Bohnert"/>
    <d v="2026-02-24T13:48:56"/>
    <s v="Promoter"/>
    <s v="Closed"/>
    <m/>
    <m/>
    <s v="Yes"/>
    <m/>
    <m/>
    <m/>
    <m/>
    <m/>
    <m/>
    <m/>
    <m/>
    <m/>
    <m/>
    <m/>
    <m/>
    <m/>
    <m/>
    <m/>
    <m/>
    <s v="Thank you - so easy."/>
    <m/>
    <m/>
    <m/>
    <m/>
    <m/>
    <m/>
    <m/>
    <m/>
    <m/>
    <m/>
    <m/>
    <m/>
    <m/>
    <m/>
    <m/>
    <m/>
    <m/>
    <m/>
    <m/>
    <m/>
    <m/>
    <m/>
    <m/>
    <m/>
    <m/>
    <m/>
    <m/>
    <m/>
    <m/>
    <m/>
    <m/>
    <m/>
    <m/>
    <m/>
    <m/>
    <m/>
    <m/>
    <m/>
    <m/>
    <m/>
    <m/>
    <m/>
    <m/>
    <m/>
    <m/>
    <m/>
    <m/>
    <m/>
    <m/>
    <m/>
    <m/>
    <m/>
    <m/>
    <m/>
    <m/>
    <m/>
    <m/>
    <m/>
    <m/>
    <m/>
    <m/>
    <m/>
    <m/>
    <m/>
    <m/>
    <m/>
    <m/>
    <m/>
    <m/>
    <m/>
    <m/>
    <m/>
    <m/>
    <m/>
    <m/>
    <m/>
    <m/>
    <m/>
    <m/>
    <m/>
    <m/>
    <m/>
    <m/>
    <m/>
    <m/>
    <m/>
    <m/>
    <s v="Thank you - so eas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Randy Bernardi - Used Trade-In Product"/>
    <n v="10"/>
    <n v="5"/>
    <d v="2026-02-24T12:10:46"/>
    <n v="5236936"/>
    <s v="Used Trade-In Product"/>
    <m/>
    <s v="Randy Bernardi"/>
    <m/>
    <s v="randybernardi56@gmail.com"/>
    <m/>
    <s v="Palm Springs;California;92262"/>
    <m/>
    <s v="23 years 1 months"/>
    <s v="No"/>
    <m/>
    <m/>
    <s v="randybernardi56@gmail.com"/>
    <s v="277"/>
    <m/>
    <m/>
    <m/>
    <m/>
    <m/>
    <m/>
    <m/>
    <m/>
    <d v="2026-02-24T14:01:03"/>
    <d v="2026-02-24T13:13:16"/>
    <m/>
    <s v="1141922"/>
    <m/>
    <m/>
    <m/>
    <m/>
    <m/>
    <m/>
    <m/>
    <m/>
    <m/>
    <m/>
    <m/>
    <m/>
    <m/>
    <m/>
    <m/>
    <m/>
    <m/>
    <m/>
    <m/>
    <m/>
    <m/>
    <m/>
    <s v="https://bnh.lightning.force.com/001WP00000t30lSYAQ"/>
    <m/>
    <m/>
    <m/>
    <m/>
    <m/>
    <m/>
    <m/>
    <m/>
    <m/>
    <m/>
    <m/>
    <m/>
    <m/>
    <m/>
    <m/>
    <m/>
    <m/>
    <m/>
    <m/>
    <m/>
    <m/>
    <m/>
    <m/>
    <m/>
    <m/>
    <m/>
    <m/>
    <m/>
    <m/>
    <m/>
    <m/>
    <m/>
    <m/>
    <m/>
    <m/>
    <m/>
    <m/>
    <m/>
    <s v="CAD"/>
    <m/>
    <s v="No"/>
    <s v="Sergio Jonusas"/>
    <s v="Sergio Jonusas"/>
    <d v="2026-02-24T12:09:57"/>
    <s v="Promoter"/>
    <s v="Closed"/>
    <m/>
    <m/>
    <s v="Yes"/>
    <m/>
    <m/>
    <m/>
    <m/>
    <m/>
    <m/>
    <m/>
    <m/>
    <m/>
    <m/>
    <m/>
    <m/>
    <m/>
    <m/>
    <m/>
    <m/>
    <s v="Friendly, fast, and personal service"/>
    <m/>
    <m/>
    <m/>
    <m/>
    <s v="I have nothing to dislike about this transaction"/>
    <m/>
    <m/>
    <m/>
    <m/>
    <m/>
    <m/>
    <m/>
    <m/>
    <m/>
    <m/>
    <m/>
    <m/>
    <m/>
    <m/>
    <m/>
    <m/>
    <m/>
    <m/>
    <m/>
    <m/>
    <m/>
    <m/>
    <m/>
    <m/>
    <m/>
    <m/>
    <m/>
    <m/>
    <m/>
    <m/>
    <m/>
    <m/>
    <m/>
    <m/>
    <m/>
    <m/>
    <m/>
    <m/>
    <m/>
    <m/>
    <m/>
    <m/>
    <m/>
    <m/>
    <m/>
    <m/>
    <m/>
    <m/>
    <m/>
    <m/>
    <m/>
    <m/>
    <m/>
    <m/>
    <m/>
    <m/>
    <m/>
    <m/>
    <m/>
    <m/>
    <m/>
    <m/>
    <m/>
    <m/>
    <m/>
    <m/>
    <m/>
    <m/>
    <m/>
    <m/>
    <m/>
    <m/>
    <m/>
    <m/>
    <m/>
    <m/>
    <m/>
    <m/>
    <m/>
    <m/>
    <m/>
    <m/>
    <s v="Friendly, fast, and personal service"/>
    <s v="I have nothing to dislike about this transac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s v="People &gt; Courtesy / Professional &gt;"/>
    <s v="People &gt; Courtesy / Professional &gt;, Trade In &gt; Overall Process &gt;"/>
    <m/>
    <m/>
    <s v="People &gt; Courtesy / Professional &gt; (Positive)"/>
    <s v="People &gt; Courtesy / Professional &gt; (Positive), Trade In &gt; Overall Process &gt; (Positive)"/>
    <s v="Yes"/>
    <s v="No"/>
    <m/>
    <x v="5"/>
    <x v="2"/>
    <x v="0"/>
    <m/>
    <x v="0"/>
    <x v="0"/>
  </r>
  <r>
    <s v="Kenneth Thacker - Used Trade-In Product"/>
    <n v="10"/>
    <n v="4"/>
    <d v="2026-02-24T11:32:37"/>
    <n v="5236823"/>
    <s v="Used Trade-In Product"/>
    <m/>
    <s v="Kenneth Thacker"/>
    <m/>
    <s v="kennythacker@gmail.com"/>
    <m/>
    <s v="Kansas City;Missouri;64131"/>
    <s v="Kansas City;Missouri;64131"/>
    <s v="19 years 5 months"/>
    <s v="No"/>
    <m/>
    <m/>
    <s v="kennythacker@gmail.com"/>
    <s v="233"/>
    <m/>
    <m/>
    <m/>
    <m/>
    <m/>
    <m/>
    <m/>
    <m/>
    <d v="2026-02-24T14:05:25"/>
    <d v="2026-02-24T13:14:21"/>
    <m/>
    <s v="1142296"/>
    <m/>
    <m/>
    <m/>
    <m/>
    <m/>
    <m/>
    <m/>
    <m/>
    <m/>
    <m/>
    <m/>
    <m/>
    <m/>
    <m/>
    <m/>
    <m/>
    <m/>
    <m/>
    <m/>
    <m/>
    <m/>
    <m/>
    <s v="https://bnh.lightning.force.com/0018X00003VRyBAQA1"/>
    <m/>
    <m/>
    <m/>
    <m/>
    <m/>
    <m/>
    <m/>
    <m/>
    <m/>
    <m/>
    <m/>
    <m/>
    <m/>
    <m/>
    <m/>
    <m/>
    <m/>
    <m/>
    <m/>
    <m/>
    <m/>
    <m/>
    <m/>
    <m/>
    <m/>
    <m/>
    <m/>
    <m/>
    <m/>
    <m/>
    <m/>
    <m/>
    <m/>
    <m/>
    <m/>
    <m/>
    <m/>
    <m/>
    <s v="CAD"/>
    <m/>
    <s v="No"/>
    <s v="Sergio Jonusas"/>
    <s v="Sergio Jonusas"/>
    <d v="2026-02-24T11:32:50"/>
    <s v="Promoter"/>
    <s v="Closed"/>
    <m/>
    <m/>
    <s v="Yes"/>
    <m/>
    <m/>
    <m/>
    <m/>
    <m/>
    <m/>
    <m/>
    <m/>
    <m/>
    <m/>
    <m/>
    <m/>
    <m/>
    <m/>
    <m/>
    <m/>
    <s v="How easy the online tool was."/>
    <m/>
    <m/>
    <m/>
    <m/>
    <s v="That I wasn’t told there would be a 10 day delay on processing my item until it was received. I wish the online tool had told me."/>
    <m/>
    <m/>
    <m/>
    <m/>
    <m/>
    <m/>
    <m/>
    <m/>
    <m/>
    <m/>
    <m/>
    <m/>
    <m/>
    <m/>
    <m/>
    <m/>
    <m/>
    <m/>
    <m/>
    <m/>
    <m/>
    <m/>
    <m/>
    <m/>
    <m/>
    <m/>
    <m/>
    <m/>
    <m/>
    <m/>
    <m/>
    <m/>
    <m/>
    <m/>
    <m/>
    <m/>
    <m/>
    <m/>
    <m/>
    <m/>
    <m/>
    <m/>
    <m/>
    <m/>
    <m/>
    <m/>
    <m/>
    <m/>
    <m/>
    <m/>
    <m/>
    <m/>
    <m/>
    <m/>
    <m/>
    <m/>
    <m/>
    <m/>
    <m/>
    <m/>
    <m/>
    <m/>
    <m/>
    <m/>
    <m/>
    <m/>
    <m/>
    <m/>
    <m/>
    <m/>
    <m/>
    <m/>
    <m/>
    <m/>
    <m/>
    <m/>
    <m/>
    <m/>
    <m/>
    <m/>
    <m/>
    <m/>
    <s v="How easy the online tool was."/>
    <s v="That I wasn’t told there would be a 10 day delay on processing my item until it was received. I wish the online tool had told 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3"/>
    <n v="3"/>
    <n v="4"/>
    <n v="2"/>
    <m/>
    <m/>
    <m/>
    <m/>
    <m/>
    <m/>
    <m/>
    <m/>
    <m/>
    <m/>
    <m/>
    <m/>
    <m/>
    <m/>
    <m/>
    <m/>
    <m/>
    <m/>
    <m/>
    <m/>
    <m/>
    <m/>
    <m/>
    <m/>
    <m/>
    <m/>
    <m/>
    <m/>
    <m/>
    <m/>
    <m/>
    <m/>
    <m/>
    <m/>
    <m/>
    <m/>
    <m/>
    <m/>
    <m/>
    <m/>
    <m/>
    <m/>
    <m/>
    <m/>
    <m/>
    <m/>
    <m/>
    <m/>
    <m/>
    <m/>
    <m/>
    <m/>
    <m/>
    <m/>
    <m/>
    <m/>
    <m/>
    <m/>
    <m/>
    <m/>
    <m/>
    <m/>
    <m/>
    <m/>
    <m/>
    <m/>
    <m/>
    <m/>
    <m/>
    <m/>
    <m/>
    <m/>
    <m/>
    <m/>
    <m/>
    <m/>
    <m/>
    <m/>
    <m/>
    <m/>
    <m/>
    <m/>
    <m/>
    <m/>
    <m/>
    <m/>
    <m/>
    <m/>
    <m/>
    <m/>
    <m/>
    <m/>
    <m/>
    <m/>
    <m/>
    <m/>
    <m/>
    <m/>
    <m/>
    <m/>
    <m/>
    <s v="Trade In &gt; Overall Process &gt;"/>
    <s v="Trade In &gt; Overall Process &gt;, Website &gt; Overall Satisfaction &gt;"/>
    <m/>
    <m/>
    <s v="Trade In &gt; Overall Process &gt; (Negative)"/>
    <s v="Trade In &gt; Overall Process &gt; (Negative), Website &gt; Overall Satisfaction &gt; (Positive)"/>
    <s v="Yes"/>
    <s v="No"/>
    <m/>
    <x v="0"/>
    <x v="17"/>
    <x v="0"/>
    <m/>
    <x v="0"/>
    <x v="0"/>
  </r>
  <r>
    <s v="Peter Fitzpatrick - Used Trade-In Product"/>
    <n v="10"/>
    <n v="5"/>
    <d v="2026-02-24T10:50:34"/>
    <n v="5236657"/>
    <s v="Used Trade-In Product"/>
    <m/>
    <s v="Peter Fitzpatrick"/>
    <m/>
    <s v="peter_fitzpatrick@comcast.net"/>
    <m/>
    <s v="Lexington Park;Maryland;20653"/>
    <s v="Lexington Park;Maryland;20653"/>
    <s v="15 years 6 months"/>
    <s v="Yes"/>
    <m/>
    <m/>
    <s v="peter_fitzpatrick@comcast.net"/>
    <s v="186"/>
    <m/>
    <m/>
    <m/>
    <m/>
    <m/>
    <m/>
    <m/>
    <m/>
    <d v="2026-02-24T15:44:23"/>
    <d v="2026-02-24T13:13:37"/>
    <m/>
    <s v="1141638"/>
    <m/>
    <m/>
    <m/>
    <m/>
    <m/>
    <m/>
    <m/>
    <m/>
    <m/>
    <m/>
    <m/>
    <m/>
    <m/>
    <m/>
    <m/>
    <m/>
    <m/>
    <m/>
    <m/>
    <m/>
    <m/>
    <m/>
    <s v="https://bnh.lightning.force.com/0018X00003PEHyuQAH"/>
    <m/>
    <m/>
    <m/>
    <m/>
    <m/>
    <m/>
    <m/>
    <m/>
    <m/>
    <m/>
    <m/>
    <m/>
    <m/>
    <m/>
    <m/>
    <m/>
    <m/>
    <m/>
    <m/>
    <m/>
    <m/>
    <m/>
    <m/>
    <m/>
    <m/>
    <m/>
    <m/>
    <m/>
    <m/>
    <m/>
    <m/>
    <m/>
    <m/>
    <m/>
    <m/>
    <m/>
    <m/>
    <m/>
    <s v="CAD"/>
    <m/>
    <s v="No"/>
    <s v="Sergio Jonusas"/>
    <s v="Sergio Jonusas"/>
    <d v="2026-02-24T10:50:46"/>
    <s v="Promoter"/>
    <s v="Closed"/>
    <m/>
    <m/>
    <s v="Yes"/>
    <m/>
    <m/>
    <m/>
    <m/>
    <m/>
    <m/>
    <m/>
    <m/>
    <m/>
    <m/>
    <m/>
    <m/>
    <m/>
    <m/>
    <m/>
    <m/>
    <s v="quality products, great price, excellent customer service"/>
    <m/>
    <m/>
    <m/>
    <m/>
    <s v="n/a"/>
    <m/>
    <m/>
    <m/>
    <m/>
    <m/>
    <m/>
    <m/>
    <m/>
    <m/>
    <m/>
    <m/>
    <m/>
    <m/>
    <m/>
    <m/>
    <m/>
    <m/>
    <m/>
    <m/>
    <m/>
    <m/>
    <m/>
    <m/>
    <m/>
    <m/>
    <m/>
    <m/>
    <m/>
    <m/>
    <m/>
    <m/>
    <m/>
    <m/>
    <m/>
    <m/>
    <m/>
    <m/>
    <m/>
    <m/>
    <m/>
    <m/>
    <m/>
    <m/>
    <m/>
    <m/>
    <m/>
    <m/>
    <m/>
    <m/>
    <m/>
    <m/>
    <m/>
    <m/>
    <m/>
    <m/>
    <m/>
    <m/>
    <m/>
    <m/>
    <m/>
    <m/>
    <m/>
    <m/>
    <m/>
    <m/>
    <m/>
    <m/>
    <m/>
    <m/>
    <m/>
    <m/>
    <m/>
    <m/>
    <m/>
    <m/>
    <m/>
    <m/>
    <m/>
    <m/>
    <m/>
    <m/>
    <m/>
    <s v="quality products, great price, excellent customer servic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Overall Satisfaction &gt;, Pricing &gt; Value for Money &gt;, Product &gt; Quality &gt;, Used &gt; Pricing &gt;, Used &gt; Product Quality &gt;"/>
    <s v="People &gt; Overall Satisfaction &gt;, Used &gt; Pricing &gt;, Used &gt; Product Quality &gt;"/>
    <m/>
    <m/>
    <s v="People &gt; Overall Satisfaction &gt; (Positive), Pricing &gt; Value for Money &gt; (Positive), Product &gt; Quality &gt; (Positive), Used &gt; Pricing &gt; (Positive), Used &gt; Product Quality &gt; (Positive)"/>
    <s v="People &gt; Overall Satisfaction &gt; (Positive), Used &gt; Pricing &gt; (Positive), Used &gt; Product Quality &gt; (Positive)"/>
    <s v="Yes"/>
    <s v="No"/>
    <m/>
    <x v="7"/>
    <x v="18"/>
    <x v="0"/>
    <m/>
    <x v="0"/>
    <x v="0"/>
  </r>
  <r>
    <s v="Darryl Wingo - Used Trade-In Product"/>
    <n v="10"/>
    <n v="5"/>
    <d v="2026-02-24T10:46:38"/>
    <n v="5236642"/>
    <s v="Used Trade-In Product"/>
    <m/>
    <s v="Darryl Wingo"/>
    <m/>
    <s v="digitalimagehouse@icloud.com"/>
    <m/>
    <s v="Richmond;Virginia;23223"/>
    <s v="Richmond;Virginia;23230"/>
    <s v="20 years 5 months"/>
    <s v="No"/>
    <m/>
    <m/>
    <s v="digitalimagehouse@icloud.com"/>
    <s v="245"/>
    <m/>
    <m/>
    <m/>
    <m/>
    <m/>
    <m/>
    <m/>
    <m/>
    <d v="2026-02-24T15:46:44"/>
    <d v="2026-02-24T13:15:27"/>
    <m/>
    <s v="1141639"/>
    <m/>
    <m/>
    <m/>
    <m/>
    <m/>
    <m/>
    <m/>
    <m/>
    <m/>
    <m/>
    <m/>
    <m/>
    <m/>
    <m/>
    <m/>
    <m/>
    <m/>
    <m/>
    <m/>
    <m/>
    <m/>
    <m/>
    <s v="https://bnh.lightning.force.com/0011a00000G446TAAR"/>
    <m/>
    <m/>
    <m/>
    <m/>
    <m/>
    <m/>
    <m/>
    <m/>
    <m/>
    <m/>
    <m/>
    <m/>
    <m/>
    <m/>
    <m/>
    <m/>
    <m/>
    <m/>
    <m/>
    <m/>
    <m/>
    <m/>
    <m/>
    <m/>
    <m/>
    <m/>
    <m/>
    <m/>
    <m/>
    <m/>
    <m/>
    <m/>
    <m/>
    <m/>
    <m/>
    <m/>
    <m/>
    <m/>
    <s v="CAD"/>
    <m/>
    <s v="No"/>
    <s v="Sergio Jonusas"/>
    <s v="Sergio Jonusas"/>
    <d v="2026-02-24T10:47:19"/>
    <s v="Promoter"/>
    <s v="Closed"/>
    <m/>
    <m/>
    <s v="Yes"/>
    <m/>
    <m/>
    <m/>
    <m/>
    <m/>
    <m/>
    <m/>
    <m/>
    <m/>
    <m/>
    <m/>
    <m/>
    <m/>
    <m/>
    <m/>
    <m/>
    <s v="easy"/>
    <m/>
    <m/>
    <m/>
    <m/>
    <s v="n/a"/>
    <m/>
    <m/>
    <m/>
    <m/>
    <m/>
    <m/>
    <m/>
    <m/>
    <m/>
    <m/>
    <m/>
    <m/>
    <m/>
    <m/>
    <m/>
    <m/>
    <m/>
    <m/>
    <m/>
    <m/>
    <m/>
    <m/>
    <m/>
    <m/>
    <m/>
    <m/>
    <m/>
    <m/>
    <m/>
    <m/>
    <m/>
    <m/>
    <m/>
    <m/>
    <m/>
    <m/>
    <m/>
    <m/>
    <m/>
    <m/>
    <m/>
    <m/>
    <m/>
    <m/>
    <m/>
    <m/>
    <m/>
    <m/>
    <m/>
    <m/>
    <m/>
    <m/>
    <m/>
    <m/>
    <m/>
    <m/>
    <m/>
    <m/>
    <m/>
    <m/>
    <m/>
    <m/>
    <m/>
    <m/>
    <m/>
    <m/>
    <m/>
    <m/>
    <m/>
    <m/>
    <m/>
    <m/>
    <m/>
    <m/>
    <m/>
    <m/>
    <m/>
    <m/>
    <m/>
    <m/>
    <m/>
    <m/>
    <s v="easy"/>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Terry Willis - Used Trade-In Product"/>
    <n v="10"/>
    <n v="5"/>
    <d v="2026-02-24T10:34:03"/>
    <n v="5236587"/>
    <s v="Used Trade-In Product"/>
    <m/>
    <s v="Terry Willis"/>
    <m/>
    <s v="terrywillis54@gmail.com"/>
    <m/>
    <s v="Chestertown;Maryland;21620"/>
    <s v="Chestertown;Maryland;21620"/>
    <s v="20 years 3 months"/>
    <s v="No"/>
    <m/>
    <m/>
    <s v="terrywillis54@gmail.com"/>
    <s v="243"/>
    <m/>
    <m/>
    <m/>
    <m/>
    <m/>
    <m/>
    <m/>
    <m/>
    <d v="2026-02-24T15:48:07"/>
    <d v="2026-02-24T13:16:10"/>
    <m/>
    <s v="1143025"/>
    <m/>
    <m/>
    <m/>
    <m/>
    <m/>
    <m/>
    <m/>
    <m/>
    <m/>
    <m/>
    <m/>
    <m/>
    <m/>
    <m/>
    <m/>
    <m/>
    <m/>
    <m/>
    <m/>
    <m/>
    <m/>
    <m/>
    <s v="https://bnh.lightning.force.com/0011a00000WczZnAAJ"/>
    <m/>
    <m/>
    <m/>
    <m/>
    <m/>
    <m/>
    <m/>
    <m/>
    <m/>
    <m/>
    <m/>
    <m/>
    <m/>
    <m/>
    <m/>
    <m/>
    <m/>
    <m/>
    <m/>
    <m/>
    <m/>
    <m/>
    <m/>
    <m/>
    <m/>
    <m/>
    <m/>
    <m/>
    <m/>
    <m/>
    <m/>
    <m/>
    <m/>
    <m/>
    <m/>
    <m/>
    <m/>
    <m/>
    <s v="CAD"/>
    <m/>
    <s v="No"/>
    <s v="Sergio Jonusas"/>
    <s v="Sergio Jonusas"/>
    <d v="2026-02-24T10:35:37"/>
    <s v="Promoter"/>
    <s v="Closed"/>
    <m/>
    <m/>
    <s v="Yes"/>
    <m/>
    <m/>
    <m/>
    <m/>
    <m/>
    <m/>
    <m/>
    <m/>
    <m/>
    <m/>
    <m/>
    <m/>
    <m/>
    <m/>
    <m/>
    <m/>
    <s v="Was quick and could be trusted."/>
    <m/>
    <m/>
    <m/>
    <m/>
    <m/>
    <m/>
    <m/>
    <m/>
    <m/>
    <m/>
    <m/>
    <m/>
    <m/>
    <m/>
    <m/>
    <m/>
    <m/>
    <m/>
    <m/>
    <m/>
    <m/>
    <m/>
    <m/>
    <m/>
    <m/>
    <m/>
    <m/>
    <m/>
    <m/>
    <m/>
    <m/>
    <m/>
    <m/>
    <m/>
    <m/>
    <m/>
    <m/>
    <m/>
    <m/>
    <m/>
    <m/>
    <m/>
    <m/>
    <m/>
    <m/>
    <m/>
    <m/>
    <m/>
    <m/>
    <m/>
    <m/>
    <m/>
    <m/>
    <m/>
    <m/>
    <m/>
    <m/>
    <m/>
    <m/>
    <m/>
    <m/>
    <m/>
    <m/>
    <m/>
    <m/>
    <m/>
    <m/>
    <m/>
    <m/>
    <m/>
    <m/>
    <m/>
    <m/>
    <m/>
    <m/>
    <m/>
    <m/>
    <m/>
    <m/>
    <m/>
    <m/>
    <m/>
    <m/>
    <m/>
    <m/>
    <m/>
    <m/>
    <s v="Was quick and could be trus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Reliable / Trustworthy &gt;, Trade In &gt; Overall Process &gt;"/>
    <m/>
    <m/>
    <m/>
    <s v="B&amp;H &gt; Reliable / Trustworthy &gt; (Positive), Trade In &gt; Overall Process &gt; (Positive)"/>
    <s v="Yes"/>
    <s v="No"/>
    <m/>
    <x v="14"/>
    <x v="0"/>
    <x v="0"/>
    <m/>
    <x v="0"/>
    <x v="0"/>
  </r>
  <r>
    <s v="William Miller - Used Trade-In Product"/>
    <n v="10"/>
    <n v="5"/>
    <d v="2026-02-24T10:26:55"/>
    <n v="5236553"/>
    <s v="Used Trade-In Product"/>
    <m/>
    <s v="William Miller"/>
    <m/>
    <s v="pressingon98@comcast.net"/>
    <m/>
    <s v="Bel Air;Maryland;21015"/>
    <s v="Bel Air;Maryland;21015"/>
    <s v="17 years 11 months"/>
    <s v="Yes"/>
    <m/>
    <m/>
    <s v="pressingon98@comcast.net"/>
    <s v="215"/>
    <m/>
    <m/>
    <m/>
    <m/>
    <m/>
    <m/>
    <m/>
    <m/>
    <d v="2026-02-24T15:48:15"/>
    <d v="2026-02-24T13:13:43"/>
    <m/>
    <s v="1143183"/>
    <m/>
    <m/>
    <m/>
    <m/>
    <m/>
    <m/>
    <m/>
    <m/>
    <m/>
    <m/>
    <m/>
    <m/>
    <m/>
    <m/>
    <m/>
    <m/>
    <m/>
    <m/>
    <m/>
    <m/>
    <m/>
    <m/>
    <s v="https://bnh.lightning.force.com/0012L00001BQKmzQAH"/>
    <m/>
    <m/>
    <m/>
    <m/>
    <m/>
    <m/>
    <m/>
    <m/>
    <m/>
    <m/>
    <m/>
    <m/>
    <m/>
    <m/>
    <m/>
    <m/>
    <m/>
    <m/>
    <m/>
    <m/>
    <m/>
    <m/>
    <m/>
    <m/>
    <m/>
    <m/>
    <m/>
    <m/>
    <m/>
    <m/>
    <m/>
    <m/>
    <m/>
    <m/>
    <m/>
    <m/>
    <m/>
    <m/>
    <s v="CAD"/>
    <m/>
    <s v="No"/>
    <s v="Sergio Jonusas"/>
    <s v="Sergio Jonusas"/>
    <d v="2026-02-24T10:27:34"/>
    <s v="Promoter"/>
    <s v="Closed"/>
    <m/>
    <m/>
    <s v="Yes"/>
    <m/>
    <m/>
    <m/>
    <m/>
    <m/>
    <m/>
    <m/>
    <m/>
    <m/>
    <m/>
    <m/>
    <m/>
    <m/>
    <m/>
    <m/>
    <m/>
    <s v="Trust"/>
    <m/>
    <m/>
    <m/>
    <m/>
    <s v="?"/>
    <m/>
    <m/>
    <m/>
    <m/>
    <m/>
    <m/>
    <m/>
    <m/>
    <m/>
    <m/>
    <m/>
    <m/>
    <m/>
    <m/>
    <m/>
    <m/>
    <m/>
    <m/>
    <m/>
    <m/>
    <m/>
    <m/>
    <m/>
    <m/>
    <m/>
    <m/>
    <m/>
    <m/>
    <m/>
    <m/>
    <m/>
    <m/>
    <m/>
    <m/>
    <m/>
    <m/>
    <m/>
    <m/>
    <m/>
    <m/>
    <m/>
    <m/>
    <m/>
    <m/>
    <m/>
    <m/>
    <m/>
    <m/>
    <m/>
    <m/>
    <m/>
    <m/>
    <m/>
    <m/>
    <m/>
    <m/>
    <m/>
    <m/>
    <m/>
    <m/>
    <m/>
    <m/>
    <m/>
    <m/>
    <m/>
    <m/>
    <m/>
    <m/>
    <m/>
    <m/>
    <m/>
    <m/>
    <m/>
    <m/>
    <m/>
    <m/>
    <m/>
    <m/>
    <m/>
    <m/>
    <m/>
    <m/>
    <s v="Trust"/>
    <s v="?"/>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3"/>
    <m/>
    <m/>
    <m/>
    <m/>
    <m/>
    <m/>
    <m/>
    <m/>
    <m/>
    <m/>
    <m/>
    <m/>
    <m/>
    <m/>
    <m/>
    <m/>
    <m/>
    <m/>
    <m/>
    <m/>
    <m/>
    <m/>
    <m/>
    <m/>
    <m/>
    <m/>
    <m/>
    <m/>
    <m/>
    <m/>
    <m/>
    <m/>
    <m/>
    <m/>
    <m/>
    <m/>
    <m/>
    <m/>
    <m/>
    <m/>
    <m/>
    <m/>
    <m/>
    <m/>
    <m/>
    <m/>
    <m/>
    <m/>
    <m/>
    <m/>
    <m/>
    <m/>
    <m/>
    <m/>
    <m/>
    <m/>
    <m/>
    <m/>
    <m/>
    <m/>
    <m/>
    <m/>
    <m/>
    <m/>
    <m/>
    <m/>
    <m/>
    <m/>
    <m/>
    <m/>
    <m/>
    <m/>
    <m/>
    <m/>
    <m/>
    <m/>
    <m/>
    <m/>
    <m/>
    <m/>
    <m/>
    <m/>
    <m/>
    <m/>
    <m/>
    <m/>
    <m/>
    <m/>
    <m/>
    <m/>
    <m/>
    <m/>
    <m/>
    <m/>
    <m/>
    <m/>
    <m/>
    <m/>
    <m/>
    <m/>
    <m/>
    <s v="B&amp;H &gt; Reliable / Trustworthy &gt;"/>
    <s v="B&amp;H &gt; Reliable / Trustworthy &gt;"/>
    <m/>
    <m/>
    <s v="B&amp;H &gt; Reliable / Trustworthy &gt; (Positive)"/>
    <s v="B&amp;H &gt; Reliable / Trustworthy &gt; (Positive)"/>
    <s v="No"/>
    <s v="No"/>
    <m/>
    <x v="17"/>
    <x v="0"/>
    <x v="0"/>
    <m/>
    <x v="0"/>
    <x v="0"/>
  </r>
  <r>
    <s v="Paul Matthew Glavin - Used Trade-In Product"/>
    <n v="7"/>
    <n v="4"/>
    <d v="2026-02-24T10:17:55"/>
    <n v="5236494"/>
    <s v="Used Trade-In Product"/>
    <m/>
    <s v="Paul Matthew Glavin"/>
    <m/>
    <s v="pmglavin@gmail.com"/>
    <m/>
    <s v="Evanston;Illinois;60202"/>
    <s v="Evanston;Illinois;60202"/>
    <s v="14 years 1 months"/>
    <s v="No"/>
    <m/>
    <m/>
    <s v="pmglavin@gmail.com"/>
    <s v="169"/>
    <m/>
    <m/>
    <m/>
    <m/>
    <m/>
    <m/>
    <m/>
    <m/>
    <d v="2026-03-02T12:31:41"/>
    <d v="2026-02-24T13:13:07"/>
    <m/>
    <s v="1142490"/>
    <m/>
    <m/>
    <m/>
    <m/>
    <m/>
    <m/>
    <m/>
    <m/>
    <m/>
    <m/>
    <m/>
    <m/>
    <m/>
    <m/>
    <m/>
    <m/>
    <m/>
    <m/>
    <m/>
    <m/>
    <m/>
    <m/>
    <s v="https://bnh.lightning.force.com/0011a00000G4kQMAAZ"/>
    <m/>
    <m/>
    <m/>
    <m/>
    <m/>
    <m/>
    <m/>
    <m/>
    <m/>
    <m/>
    <m/>
    <m/>
    <m/>
    <m/>
    <m/>
    <m/>
    <m/>
    <m/>
    <m/>
    <m/>
    <m/>
    <m/>
    <m/>
    <m/>
    <m/>
    <m/>
    <m/>
    <m/>
    <m/>
    <m/>
    <m/>
    <m/>
    <m/>
    <m/>
    <m/>
    <m/>
    <m/>
    <m/>
    <s v="CAD"/>
    <m/>
    <s v="No"/>
    <s v="Sergio Jonusas,Avraham Schwartz,Reina Caba"/>
    <s v="Reina Caba"/>
    <d v="2026-02-24T10:16:59"/>
    <s v="Passive"/>
    <s v="Closed"/>
    <d v="2026-03-02T12:31:37"/>
    <s v="Reina Caba (reinac@bhphoto.com)"/>
    <s v="Yes"/>
    <m/>
    <m/>
    <m/>
    <m/>
    <m/>
    <m/>
    <m/>
    <m/>
    <m/>
    <m/>
    <m/>
    <m/>
    <m/>
    <m/>
    <m/>
    <m/>
    <m/>
    <m/>
    <m/>
    <m/>
    <m/>
    <s v="I received a quote for the video camera. I sent the camera with a custom case and an extra battery, hoping I would get more money than the quote. I never heard anything from B&amp;H and, even though it paid me a little more than the original quote, I was not given the option to accept the adjusted quote or ask for the other items to be returned."/>
    <m/>
    <m/>
    <m/>
    <m/>
    <m/>
    <m/>
    <m/>
    <m/>
    <m/>
    <m/>
    <m/>
    <m/>
    <m/>
    <m/>
    <m/>
    <m/>
    <m/>
    <m/>
    <m/>
    <m/>
    <m/>
    <m/>
    <m/>
    <m/>
    <m/>
    <m/>
    <m/>
    <m/>
    <m/>
    <m/>
    <m/>
    <m/>
    <m/>
    <m/>
    <m/>
    <m/>
    <m/>
    <m/>
    <m/>
    <m/>
    <m/>
    <m/>
    <m/>
    <m/>
    <m/>
    <m/>
    <m/>
    <m/>
    <m/>
    <m/>
    <m/>
    <m/>
    <m/>
    <m/>
    <m/>
    <m/>
    <m/>
    <m/>
    <m/>
    <m/>
    <m/>
    <m/>
    <m/>
    <m/>
    <m/>
    <m/>
    <m/>
    <m/>
    <m/>
    <m/>
    <m/>
    <m/>
    <m/>
    <m/>
    <m/>
    <m/>
    <m/>
    <m/>
    <m/>
    <m/>
    <m/>
    <m/>
    <m/>
    <s v="I received a quote for the video camera. I sent the camera with a custom case and an extra battery, hoping I would get more money than the quote. I never heard anything from B&amp;H and, even though it paid me a little more than the original quote, I was not given the option to accept the adjusted quote or ask for the other items to be return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1"/>
    <n v="4"/>
    <n v="5"/>
    <m/>
    <m/>
    <m/>
    <m/>
    <m/>
    <m/>
    <m/>
    <m/>
    <m/>
    <m/>
    <m/>
    <m/>
    <m/>
    <m/>
    <m/>
    <m/>
    <m/>
    <m/>
    <m/>
    <m/>
    <m/>
    <m/>
    <m/>
    <m/>
    <m/>
    <m/>
    <m/>
    <m/>
    <m/>
    <m/>
    <m/>
    <m/>
    <m/>
    <m/>
    <m/>
    <m/>
    <m/>
    <m/>
    <m/>
    <m/>
    <m/>
    <m/>
    <m/>
    <m/>
    <m/>
    <m/>
    <m/>
    <m/>
    <m/>
    <m/>
    <m/>
    <m/>
    <m/>
    <m/>
    <m/>
    <m/>
    <m/>
    <m/>
    <m/>
    <m/>
    <m/>
    <m/>
    <m/>
    <m/>
    <m/>
    <m/>
    <m/>
    <m/>
    <m/>
    <m/>
    <m/>
    <m/>
    <m/>
    <m/>
    <m/>
    <m/>
    <m/>
    <m/>
    <m/>
    <m/>
    <m/>
    <m/>
    <m/>
    <m/>
    <m/>
    <m/>
    <m/>
    <m/>
    <m/>
    <m/>
    <m/>
    <m/>
    <m/>
    <m/>
    <m/>
    <m/>
    <m/>
    <m/>
    <m/>
    <m/>
    <m/>
    <s v="Trade In &gt; Overall Process &gt;, Trade In &gt; Quote Price &gt;"/>
    <s v="Trade In &gt; Overall Process &gt;, Trade In &gt; Quote Price &gt;"/>
    <m/>
    <m/>
    <s v="Trade In &gt; Overall Process &gt; (Negative), Trade In &gt; Overall Process &gt; (No opinion), Trade In &gt; Quote Price &gt; (Negative)"/>
    <s v="Trade In &gt; Overall Process &gt; (Negative), Trade In &gt; Overall Process &gt; (No opinion), Trade In &gt; Quote Price &gt; (Negative)"/>
    <s v="No"/>
    <s v="No"/>
    <m/>
    <x v="18"/>
    <x v="0"/>
    <x v="0"/>
    <m/>
    <x v="0"/>
    <x v="0"/>
  </r>
  <r>
    <s v="Tim Sierra - Used Trade-In Product"/>
    <n v="10"/>
    <n v="5"/>
    <d v="2026-02-24T00:40:44"/>
    <n v="5235820"/>
    <s v="Used Trade-In Product"/>
    <m/>
    <s v="Tim Sierra"/>
    <m/>
    <s v="virtualcompost@gmail.com"/>
    <m/>
    <s v="Silver City;New Mexico;88061"/>
    <s v="Silver City;New Mexico;88061"/>
    <s v="15 years 11 months"/>
    <s v="Yes"/>
    <m/>
    <m/>
    <s v="virtualcompost@gmail.com"/>
    <s v="191"/>
    <m/>
    <m/>
    <m/>
    <m/>
    <m/>
    <m/>
    <m/>
    <m/>
    <d v="2026-02-24T09:10:31"/>
    <d v="2026-02-23T12:49:53"/>
    <m/>
    <s v="1142308"/>
    <m/>
    <m/>
    <m/>
    <m/>
    <m/>
    <m/>
    <m/>
    <m/>
    <m/>
    <m/>
    <m/>
    <m/>
    <m/>
    <m/>
    <m/>
    <m/>
    <m/>
    <m/>
    <m/>
    <m/>
    <m/>
    <m/>
    <s v="https://bnh.lightning.force.com/001WP00000rIO3pYAG"/>
    <m/>
    <m/>
    <m/>
    <m/>
    <m/>
    <m/>
    <m/>
    <m/>
    <m/>
    <m/>
    <m/>
    <m/>
    <m/>
    <m/>
    <m/>
    <m/>
    <m/>
    <m/>
    <m/>
    <m/>
    <m/>
    <m/>
    <m/>
    <m/>
    <m/>
    <m/>
    <m/>
    <m/>
    <m/>
    <m/>
    <m/>
    <m/>
    <m/>
    <m/>
    <m/>
    <m/>
    <m/>
    <m/>
    <s v="CAD"/>
    <m/>
    <s v="No"/>
    <s v="Andrea Garcia"/>
    <s v="Andrea Garcia"/>
    <d v="2026-02-24T00:35:12"/>
    <s v="Promoter"/>
    <s v="Closed"/>
    <m/>
    <m/>
    <s v="Yes"/>
    <m/>
    <m/>
    <m/>
    <m/>
    <m/>
    <m/>
    <m/>
    <m/>
    <m/>
    <m/>
    <m/>
    <m/>
    <m/>
    <m/>
    <m/>
    <m/>
    <s v="Really, everything, no problem."/>
    <m/>
    <m/>
    <m/>
    <m/>
    <s v="I can see why everything is done as it is done, again, no problem.  _x000a__x000a_I would like to have been notified that the quote was approved before the check was sent.  I would have given a different (better) address for that purpose.  It would be really nice if there was a way to have B&amp;H send the funds directly to my bank.  _x000a__x000a_Again, from B&amp;H's perspective I can see problems with both of these ideas and an totally pleased with pretty much everything about how B&amp;H does business."/>
    <m/>
    <m/>
    <m/>
    <m/>
    <m/>
    <m/>
    <m/>
    <m/>
    <m/>
    <m/>
    <m/>
    <m/>
    <m/>
    <m/>
    <m/>
    <m/>
    <m/>
    <m/>
    <m/>
    <m/>
    <m/>
    <m/>
    <m/>
    <m/>
    <m/>
    <m/>
    <m/>
    <m/>
    <m/>
    <m/>
    <m/>
    <m/>
    <m/>
    <m/>
    <m/>
    <m/>
    <m/>
    <m/>
    <m/>
    <m/>
    <m/>
    <m/>
    <m/>
    <m/>
    <m/>
    <m/>
    <m/>
    <m/>
    <m/>
    <m/>
    <m/>
    <m/>
    <m/>
    <m/>
    <m/>
    <m/>
    <m/>
    <m/>
    <m/>
    <m/>
    <m/>
    <m/>
    <m/>
    <m/>
    <m/>
    <m/>
    <m/>
    <m/>
    <m/>
    <m/>
    <m/>
    <m/>
    <m/>
    <m/>
    <m/>
    <m/>
    <m/>
    <m/>
    <m/>
    <m/>
    <m/>
    <m/>
    <s v="Really, everything, no problem."/>
    <s v="I can see why everything is done as it is done, again, no problem.  _x000a__x000a_I would like to have been notified that the quote was approved before the check was sent.  I would have given a different (better) address for that purpose.  It would be really nice if there was a way to have B&amp;H send the funds directly to my bank.  _x000a__x000a_Again, from B&amp;H's perspective I can see problems with both of these ideas and an totally pleased with pretty much everything about how B&amp;H does busin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s v="N/A"/>
    <n v="5"/>
    <m/>
    <m/>
    <m/>
    <m/>
    <m/>
    <m/>
    <n v="4"/>
    <n v="4"/>
    <n v="5"/>
    <n v="4"/>
    <m/>
    <m/>
    <m/>
    <m/>
    <m/>
    <m/>
    <m/>
    <m/>
    <m/>
    <m/>
    <m/>
    <m/>
    <m/>
    <m/>
    <m/>
    <m/>
    <m/>
    <m/>
    <m/>
    <m/>
    <m/>
    <m/>
    <m/>
    <m/>
    <m/>
    <m/>
    <m/>
    <m/>
    <m/>
    <m/>
    <m/>
    <m/>
    <m/>
    <m/>
    <m/>
    <m/>
    <m/>
    <m/>
    <m/>
    <m/>
    <m/>
    <m/>
    <m/>
    <m/>
    <m/>
    <m/>
    <m/>
    <m/>
    <m/>
    <m/>
    <m/>
    <m/>
    <m/>
    <m/>
    <m/>
    <m/>
    <m/>
    <m/>
    <m/>
    <m/>
    <m/>
    <m/>
    <m/>
    <m/>
    <m/>
    <m/>
    <m/>
    <m/>
    <m/>
    <m/>
    <m/>
    <m/>
    <m/>
    <m/>
    <m/>
    <m/>
    <m/>
    <m/>
    <m/>
    <m/>
    <m/>
    <m/>
    <m/>
    <m/>
    <m/>
    <m/>
    <m/>
    <m/>
    <m/>
    <m/>
    <m/>
    <m/>
    <m/>
    <m/>
    <m/>
    <m/>
    <m/>
    <m/>
    <m/>
    <m/>
    <m/>
    <s v="Trade In &gt; Overall Process &gt;"/>
    <s v="B&amp;H &gt; Satisfaction &gt;, Trade In &gt; Overall Process &gt;"/>
    <m/>
    <m/>
    <s v="Trade In &gt; Overall Process &gt; (Negative)"/>
    <s v="B&amp;H &gt; Satisfaction &gt; (Positive), Trade In &gt; Overall Process &gt; (Negative), Trade In &gt; Overall Process &gt; (Positive)"/>
    <s v="Yes"/>
    <s v="No"/>
    <m/>
    <x v="19"/>
    <x v="19"/>
    <x v="0"/>
    <m/>
    <x v="0"/>
    <x v="0"/>
  </r>
  <r>
    <s v="Chuck Field - Used Trade-In Product"/>
    <n v="10"/>
    <n v="5"/>
    <d v="2026-02-23T16:03:26"/>
    <n v="5235114"/>
    <s v="Used Trade-In Product"/>
    <m/>
    <s v="Chuck Field"/>
    <m/>
    <s v="cmf@ntinet.com"/>
    <m/>
    <s v="Santee;South Carolina;29142"/>
    <s v="Santee;South Carolina;29142"/>
    <s v="20 years 0 months"/>
    <s v="No"/>
    <m/>
    <m/>
    <s v="cmf@ntinet.com"/>
    <s v="240"/>
    <m/>
    <m/>
    <m/>
    <m/>
    <m/>
    <m/>
    <m/>
    <m/>
    <d v="2026-02-24T07:59:03"/>
    <d v="2026-02-20T14:18:44"/>
    <m/>
    <s v="1143844"/>
    <m/>
    <m/>
    <m/>
    <m/>
    <m/>
    <m/>
    <m/>
    <m/>
    <m/>
    <m/>
    <m/>
    <m/>
    <m/>
    <m/>
    <m/>
    <m/>
    <m/>
    <m/>
    <m/>
    <m/>
    <m/>
    <m/>
    <s v="https://bnh.lightning.force.com/0011a00000jqj1PAAQ"/>
    <m/>
    <m/>
    <m/>
    <m/>
    <m/>
    <m/>
    <m/>
    <m/>
    <m/>
    <m/>
    <m/>
    <m/>
    <m/>
    <m/>
    <m/>
    <m/>
    <m/>
    <m/>
    <m/>
    <m/>
    <m/>
    <m/>
    <m/>
    <m/>
    <m/>
    <m/>
    <m/>
    <m/>
    <m/>
    <m/>
    <m/>
    <m/>
    <m/>
    <m/>
    <m/>
    <m/>
    <m/>
    <m/>
    <s v="CAD"/>
    <m/>
    <s v="No"/>
    <s v="Zane Bohnert"/>
    <s v="Zane Bohnert"/>
    <d v="2026-02-23T15:54:05"/>
    <s v="Promoter"/>
    <s v="Closed"/>
    <m/>
    <m/>
    <s v="Yes"/>
    <m/>
    <m/>
    <m/>
    <m/>
    <m/>
    <m/>
    <m/>
    <m/>
    <m/>
    <m/>
    <m/>
    <m/>
    <m/>
    <m/>
    <m/>
    <m/>
    <s v="B &amp; H is the most reputable photo company in the business.  I trust them."/>
    <m/>
    <m/>
    <m/>
    <m/>
    <s v="I would have preferred to use the trade in value toward future purchases or as cash_x000a_returned to us."/>
    <m/>
    <m/>
    <m/>
    <m/>
    <m/>
    <m/>
    <m/>
    <m/>
    <m/>
    <m/>
    <m/>
    <m/>
    <m/>
    <m/>
    <m/>
    <m/>
    <m/>
    <m/>
    <m/>
    <m/>
    <m/>
    <m/>
    <m/>
    <m/>
    <m/>
    <m/>
    <m/>
    <m/>
    <m/>
    <m/>
    <m/>
    <m/>
    <m/>
    <m/>
    <m/>
    <m/>
    <m/>
    <m/>
    <m/>
    <m/>
    <m/>
    <m/>
    <m/>
    <m/>
    <m/>
    <m/>
    <m/>
    <m/>
    <m/>
    <m/>
    <m/>
    <m/>
    <m/>
    <m/>
    <m/>
    <m/>
    <m/>
    <m/>
    <m/>
    <m/>
    <m/>
    <m/>
    <m/>
    <m/>
    <m/>
    <m/>
    <m/>
    <m/>
    <m/>
    <m/>
    <m/>
    <m/>
    <m/>
    <m/>
    <m/>
    <m/>
    <m/>
    <m/>
    <m/>
    <m/>
    <m/>
    <m/>
    <s v="B &amp; H is the most reputable photo company in the business.  I trust them."/>
    <s v="I would have preferred to use the trade in value toward future purchases or as cash_x000a_returned to u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4"/>
    <n v="4"/>
    <n v="4"/>
    <n v="4"/>
    <m/>
    <m/>
    <m/>
    <m/>
    <m/>
    <m/>
    <m/>
    <m/>
    <m/>
    <m/>
    <m/>
    <m/>
    <m/>
    <m/>
    <m/>
    <m/>
    <m/>
    <m/>
    <m/>
    <m/>
    <m/>
    <m/>
    <m/>
    <m/>
    <m/>
    <m/>
    <m/>
    <m/>
    <m/>
    <m/>
    <m/>
    <m/>
    <m/>
    <m/>
    <m/>
    <m/>
    <m/>
    <m/>
    <m/>
    <m/>
    <m/>
    <m/>
    <m/>
    <m/>
    <m/>
    <m/>
    <m/>
    <m/>
    <m/>
    <m/>
    <m/>
    <m/>
    <m/>
    <m/>
    <m/>
    <m/>
    <m/>
    <m/>
    <m/>
    <m/>
    <m/>
    <m/>
    <m/>
    <m/>
    <m/>
    <m/>
    <m/>
    <m/>
    <m/>
    <m/>
    <m/>
    <m/>
    <m/>
    <m/>
    <m/>
    <m/>
    <m/>
    <m/>
    <m/>
    <m/>
    <m/>
    <m/>
    <m/>
    <m/>
    <m/>
    <m/>
    <m/>
    <m/>
    <m/>
    <m/>
    <m/>
    <m/>
    <m/>
    <m/>
    <m/>
    <m/>
    <m/>
    <m/>
    <m/>
    <m/>
    <m/>
    <s v="B&amp;H &gt; Reliable / Trustworthy &gt;, Used &gt; Description &gt;"/>
    <s v="B&amp;H &gt; Reliable / Trustworthy &gt;, Trade In &gt; Overall Process &gt;"/>
    <m/>
    <m/>
    <s v="B&amp;H &gt; Reliable / Trustworthy &gt; (Positive), Used &gt; Description &gt; (Negative)"/>
    <s v="B&amp;H &gt; Reliable / Trustworthy &gt; (Positive), Trade In &gt; Overall Process &gt; (Negative)"/>
    <s v="Yes"/>
    <s v="Yes"/>
    <m/>
    <x v="16"/>
    <x v="20"/>
    <x v="0"/>
    <m/>
    <x v="0"/>
    <x v="0"/>
  </r>
  <r>
    <s v="Alan Lekan - Used Trade-In Product"/>
    <n v="10"/>
    <n v="5"/>
    <d v="2026-02-23T10:56:34"/>
    <n v="5234434"/>
    <s v="Used Trade-In Product"/>
    <m/>
    <s v="Alan Lekan"/>
    <m/>
    <s v="prius101@icloud.com"/>
    <m/>
    <s v="Boulder;Colorado;80305"/>
    <s v="Boulder;Colorado;80305"/>
    <s v="1 years 1 months"/>
    <s v="No"/>
    <m/>
    <m/>
    <s v="prius101@icloud.com"/>
    <s v="13"/>
    <m/>
    <m/>
    <m/>
    <m/>
    <m/>
    <m/>
    <m/>
    <m/>
    <d v="2026-02-23T11:41:29"/>
    <d v="2026-02-23T12:50:01"/>
    <m/>
    <s v="1142459"/>
    <m/>
    <m/>
    <m/>
    <m/>
    <m/>
    <m/>
    <m/>
    <m/>
    <m/>
    <m/>
    <m/>
    <m/>
    <m/>
    <m/>
    <m/>
    <m/>
    <m/>
    <m/>
    <m/>
    <m/>
    <m/>
    <m/>
    <s v="https://bnh.lightning.force.com/0018X00003VPkEdQAL"/>
    <m/>
    <m/>
    <m/>
    <m/>
    <m/>
    <m/>
    <m/>
    <m/>
    <m/>
    <m/>
    <m/>
    <m/>
    <m/>
    <m/>
    <m/>
    <m/>
    <m/>
    <m/>
    <m/>
    <m/>
    <m/>
    <m/>
    <m/>
    <m/>
    <m/>
    <m/>
    <m/>
    <m/>
    <m/>
    <m/>
    <m/>
    <m/>
    <m/>
    <m/>
    <m/>
    <m/>
    <m/>
    <m/>
    <s v="CAD"/>
    <m/>
    <s v="No"/>
    <s v="Sergio Jonusas"/>
    <s v="Sergio Jonusas"/>
    <d v="2026-02-23T10:55:05"/>
    <s v="Promoter"/>
    <s v="Closed"/>
    <m/>
    <m/>
    <s v="Yes"/>
    <m/>
    <m/>
    <m/>
    <m/>
    <m/>
    <m/>
    <m/>
    <m/>
    <m/>
    <m/>
    <m/>
    <m/>
    <m/>
    <m/>
    <m/>
    <m/>
    <s v="The used selling experience was simple, straightfoward - even with a personal contact in Used Dept."/>
    <m/>
    <m/>
    <m/>
    <m/>
    <s v="Nothing really, just an uneasiness of receiving payment by CHECK (as mail-box theft is not uncommon in most places, thankfully very low in my neighborhood)."/>
    <m/>
    <m/>
    <m/>
    <m/>
    <m/>
    <m/>
    <m/>
    <m/>
    <m/>
    <m/>
    <m/>
    <m/>
    <m/>
    <m/>
    <m/>
    <m/>
    <m/>
    <m/>
    <m/>
    <m/>
    <m/>
    <m/>
    <m/>
    <m/>
    <m/>
    <m/>
    <m/>
    <m/>
    <m/>
    <m/>
    <m/>
    <m/>
    <m/>
    <m/>
    <m/>
    <m/>
    <m/>
    <m/>
    <m/>
    <m/>
    <m/>
    <m/>
    <m/>
    <m/>
    <m/>
    <m/>
    <m/>
    <m/>
    <m/>
    <m/>
    <m/>
    <m/>
    <m/>
    <m/>
    <m/>
    <m/>
    <m/>
    <m/>
    <m/>
    <m/>
    <m/>
    <m/>
    <m/>
    <m/>
    <m/>
    <m/>
    <m/>
    <m/>
    <m/>
    <m/>
    <m/>
    <m/>
    <m/>
    <m/>
    <m/>
    <m/>
    <m/>
    <m/>
    <m/>
    <m/>
    <m/>
    <m/>
    <s v="The used selling experience was simple, straightfoward - even with a personal contact in Used Dept."/>
    <s v="Nothing really, just an uneasiness of receiving payment by CHECK (as mail-box theft is not uncommon in most places, thankfully very low in my neighborhoo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s v="N/A"/>
    <n v="5"/>
    <m/>
    <m/>
    <m/>
    <m/>
    <m/>
    <m/>
    <n v="4"/>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egative), Trade In &gt; Overall Process &gt; (Positive)"/>
    <s v="Yes"/>
    <s v="No"/>
    <m/>
    <x v="5"/>
    <x v="2"/>
    <x v="0"/>
    <m/>
    <x v="0"/>
    <x v="0"/>
  </r>
  <r>
    <s v="Francois Aspesberro - Used Trade-In Product"/>
    <n v="10"/>
    <n v="5"/>
    <d v="2026-02-21T19:45:55"/>
    <n v="5231963"/>
    <s v="Used Trade-In Product"/>
    <m/>
    <s v="Francois Aspesberro"/>
    <m/>
    <s v="faspes@gmail.com"/>
    <m/>
    <s v="Culver City;California;90232"/>
    <m/>
    <s v="17 years 3 months"/>
    <s v="No"/>
    <m/>
    <m/>
    <s v="faspes@gmail.com"/>
    <s v="207"/>
    <m/>
    <m/>
    <m/>
    <m/>
    <m/>
    <m/>
    <m/>
    <m/>
    <d v="2026-02-23T09:21:14"/>
    <d v="2026-02-16T20:21:48"/>
    <m/>
    <s v="1142089"/>
    <m/>
    <m/>
    <m/>
    <m/>
    <m/>
    <m/>
    <m/>
    <m/>
    <m/>
    <m/>
    <m/>
    <m/>
    <m/>
    <m/>
    <m/>
    <m/>
    <m/>
    <m/>
    <m/>
    <m/>
    <m/>
    <m/>
    <s v="https://bnh.lightning.force.com/0012L000012KzGHQA0"/>
    <m/>
    <m/>
    <m/>
    <m/>
    <m/>
    <m/>
    <m/>
    <m/>
    <m/>
    <m/>
    <m/>
    <m/>
    <m/>
    <m/>
    <m/>
    <m/>
    <m/>
    <m/>
    <m/>
    <m/>
    <m/>
    <m/>
    <m/>
    <m/>
    <m/>
    <m/>
    <m/>
    <m/>
    <m/>
    <m/>
    <m/>
    <m/>
    <m/>
    <m/>
    <m/>
    <m/>
    <m/>
    <m/>
    <s v="CAD"/>
    <m/>
    <s v="No"/>
    <s v="Gershon Orenstein"/>
    <s v="Gershon Orenstein"/>
    <d v="2026-02-21T19:45:41"/>
    <s v="Promoter"/>
    <s v="Closed"/>
    <m/>
    <m/>
    <s v="Yes"/>
    <m/>
    <m/>
    <m/>
    <m/>
    <m/>
    <m/>
    <m/>
    <m/>
    <m/>
    <m/>
    <m/>
    <m/>
    <m/>
    <m/>
    <m/>
    <m/>
    <s v="the ease of selling my used gear to B&amp;H was a breeze"/>
    <m/>
    <m/>
    <m/>
    <m/>
    <m/>
    <m/>
    <m/>
    <m/>
    <m/>
    <m/>
    <m/>
    <m/>
    <m/>
    <m/>
    <m/>
    <m/>
    <m/>
    <m/>
    <m/>
    <m/>
    <m/>
    <m/>
    <m/>
    <m/>
    <m/>
    <m/>
    <m/>
    <m/>
    <m/>
    <m/>
    <m/>
    <m/>
    <m/>
    <m/>
    <m/>
    <m/>
    <m/>
    <m/>
    <m/>
    <m/>
    <m/>
    <m/>
    <m/>
    <m/>
    <m/>
    <m/>
    <m/>
    <m/>
    <m/>
    <m/>
    <m/>
    <m/>
    <m/>
    <m/>
    <m/>
    <m/>
    <m/>
    <m/>
    <m/>
    <m/>
    <m/>
    <m/>
    <m/>
    <m/>
    <m/>
    <m/>
    <m/>
    <m/>
    <m/>
    <m/>
    <m/>
    <m/>
    <m/>
    <m/>
    <m/>
    <m/>
    <m/>
    <m/>
    <m/>
    <m/>
    <m/>
    <m/>
    <m/>
    <m/>
    <m/>
    <m/>
    <m/>
    <s v="the ease of selling my used gear to B&amp;H was a breez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14"/>
    <x v="0"/>
    <x v="0"/>
    <m/>
    <x v="0"/>
    <x v="0"/>
  </r>
  <r>
    <s v="Patty Glover - Used Trade-In Product"/>
    <n v="10"/>
    <n v="2"/>
    <d v="2026-02-21T19:11:25"/>
    <n v="5231934"/>
    <s v="Used Trade-In Product"/>
    <m/>
    <s v="Patty Glover"/>
    <m/>
    <s v="pcbeachmemories@gmail.com"/>
    <m/>
    <s v="Southport;Florida;32409"/>
    <m/>
    <s v="17 years 11 months"/>
    <s v="No"/>
    <m/>
    <m/>
    <s v="pcbeachmemories@gmail.com"/>
    <s v="215"/>
    <m/>
    <m/>
    <m/>
    <m/>
    <m/>
    <m/>
    <m/>
    <m/>
    <d v="2026-02-23T16:20:15"/>
    <d v="2026-02-19T12:50:12"/>
    <m/>
    <s v="1138174"/>
    <m/>
    <m/>
    <m/>
    <m/>
    <m/>
    <m/>
    <m/>
    <m/>
    <m/>
    <m/>
    <m/>
    <m/>
    <m/>
    <m/>
    <m/>
    <m/>
    <m/>
    <m/>
    <m/>
    <m/>
    <m/>
    <m/>
    <s v="https://bnh.lightning.force.com/0012L0000172sOCQAY"/>
    <m/>
    <m/>
    <m/>
    <m/>
    <m/>
    <m/>
    <m/>
    <m/>
    <m/>
    <m/>
    <m/>
    <m/>
    <m/>
    <m/>
    <m/>
    <m/>
    <m/>
    <m/>
    <m/>
    <m/>
    <m/>
    <m/>
    <m/>
    <m/>
    <m/>
    <m/>
    <m/>
    <m/>
    <m/>
    <m/>
    <m/>
    <m/>
    <m/>
    <m/>
    <m/>
    <m/>
    <m/>
    <m/>
    <s v="CAD"/>
    <m/>
    <s v="No"/>
    <s v="Gershon Orenstein,Avraham Schwartz,Reina Caba"/>
    <s v="Reina Caba"/>
    <d v="2026-02-21T19:06:06"/>
    <s v="Promoter"/>
    <s v="Closed"/>
    <d v="2026-02-23T16:20:00"/>
    <s v="Reina Caba (reinac@bhphoto.com)"/>
    <s v="Yes"/>
    <m/>
    <m/>
    <m/>
    <m/>
    <m/>
    <m/>
    <m/>
    <m/>
    <m/>
    <m/>
    <m/>
    <m/>
    <m/>
    <m/>
    <m/>
    <m/>
    <s v="Took about three weeks. Finally got a call said they wouldn’t purchase"/>
    <m/>
    <m/>
    <m/>
    <m/>
    <s v="Time"/>
    <m/>
    <m/>
    <m/>
    <m/>
    <m/>
    <m/>
    <m/>
    <m/>
    <m/>
    <m/>
    <m/>
    <m/>
    <m/>
    <m/>
    <m/>
    <m/>
    <m/>
    <m/>
    <m/>
    <m/>
    <m/>
    <m/>
    <m/>
    <m/>
    <m/>
    <m/>
    <m/>
    <m/>
    <m/>
    <m/>
    <m/>
    <m/>
    <m/>
    <m/>
    <m/>
    <m/>
    <m/>
    <m/>
    <m/>
    <m/>
    <m/>
    <m/>
    <m/>
    <m/>
    <m/>
    <m/>
    <m/>
    <m/>
    <m/>
    <m/>
    <m/>
    <m/>
    <m/>
    <m/>
    <m/>
    <m/>
    <m/>
    <m/>
    <m/>
    <m/>
    <m/>
    <m/>
    <m/>
    <m/>
    <m/>
    <m/>
    <m/>
    <m/>
    <m/>
    <m/>
    <m/>
    <m/>
    <m/>
    <m/>
    <m/>
    <m/>
    <m/>
    <m/>
    <m/>
    <m/>
    <m/>
    <m/>
    <s v="Took about three weeks. Finally got a call said they wouldn’t purchase"/>
    <s v="Ti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1"/>
    <m/>
    <m/>
    <m/>
    <m/>
    <n v="2"/>
    <n v="4"/>
    <m/>
    <m/>
    <m/>
    <m/>
    <m/>
    <m/>
    <n v="2"/>
    <n v="2"/>
    <n v="2"/>
    <s v="N/A"/>
    <m/>
    <m/>
    <m/>
    <m/>
    <m/>
    <m/>
    <m/>
    <m/>
    <m/>
    <m/>
    <m/>
    <m/>
    <m/>
    <m/>
    <m/>
    <m/>
    <m/>
    <m/>
    <m/>
    <m/>
    <m/>
    <m/>
    <m/>
    <m/>
    <m/>
    <m/>
    <m/>
    <m/>
    <m/>
    <m/>
    <m/>
    <m/>
    <m/>
    <m/>
    <m/>
    <m/>
    <m/>
    <m/>
    <m/>
    <m/>
    <m/>
    <m/>
    <m/>
    <m/>
    <m/>
    <m/>
    <m/>
    <m/>
    <m/>
    <m/>
    <m/>
    <m/>
    <m/>
    <m/>
    <m/>
    <m/>
    <m/>
    <m/>
    <m/>
    <m/>
    <m/>
    <m/>
    <m/>
    <m/>
    <m/>
    <m/>
    <m/>
    <m/>
    <m/>
    <m/>
    <m/>
    <m/>
    <m/>
    <m/>
    <m/>
    <m/>
    <m/>
    <m/>
    <m/>
    <m/>
    <m/>
    <m/>
    <m/>
    <m/>
    <m/>
    <m/>
    <m/>
    <m/>
    <m/>
    <m/>
    <m/>
    <m/>
    <m/>
    <m/>
    <m/>
    <m/>
    <m/>
    <m/>
    <m/>
    <m/>
    <m/>
    <m/>
    <s v="Trade In &gt; Overall Process &gt;, Trade In &gt; Timeliness of Quote &gt;"/>
    <m/>
    <m/>
    <m/>
    <s v="Trade In &gt; Overall Process &gt; (Negative), Trade In &gt; Timeliness of Quote &gt; (Negative)"/>
    <s v="Yes"/>
    <s v="Yes"/>
    <m/>
    <x v="20"/>
    <x v="0"/>
    <x v="0"/>
    <m/>
    <x v="0"/>
    <x v="0"/>
  </r>
  <r>
    <s v="David Weaver - Used Trade-In Product"/>
    <n v="10"/>
    <n v="4"/>
    <d v="2026-02-20T21:51:43"/>
    <n v="5231316"/>
    <s v="Used Trade-In Product"/>
    <m/>
    <s v="David Weaver"/>
    <m/>
    <s v="dave@dweaver.com"/>
    <m/>
    <s v="Emerald Hills;California;94062"/>
    <s v="Emerald Hills;California;94062"/>
    <s v="20 years 11 months"/>
    <s v="No"/>
    <m/>
    <m/>
    <s v="dave@dweaver.com"/>
    <s v="251"/>
    <m/>
    <m/>
    <m/>
    <m/>
    <m/>
    <m/>
    <m/>
    <m/>
    <d v="2026-02-23T08:51:11"/>
    <d v="2026-02-18T21:24:31"/>
    <m/>
    <s v="1142283"/>
    <m/>
    <m/>
    <m/>
    <m/>
    <m/>
    <m/>
    <m/>
    <m/>
    <m/>
    <m/>
    <m/>
    <m/>
    <m/>
    <m/>
    <m/>
    <m/>
    <m/>
    <m/>
    <m/>
    <m/>
    <m/>
    <m/>
    <s v="https://bnh.lightning.force.com/0011a00000FQFmTAAX"/>
    <m/>
    <m/>
    <m/>
    <m/>
    <m/>
    <m/>
    <m/>
    <m/>
    <m/>
    <m/>
    <m/>
    <m/>
    <m/>
    <m/>
    <m/>
    <m/>
    <m/>
    <m/>
    <m/>
    <m/>
    <m/>
    <m/>
    <m/>
    <m/>
    <m/>
    <m/>
    <m/>
    <m/>
    <m/>
    <m/>
    <m/>
    <m/>
    <m/>
    <m/>
    <m/>
    <m/>
    <m/>
    <m/>
    <s v="CAD"/>
    <m/>
    <s v="No"/>
    <s v="Zane Bohnert"/>
    <s v="Zane Bohnert"/>
    <d v="2026-02-20T21:50:30"/>
    <s v="Promoter"/>
    <s v="Closed"/>
    <m/>
    <m/>
    <s v="Yes"/>
    <m/>
    <m/>
    <m/>
    <m/>
    <m/>
    <m/>
    <m/>
    <m/>
    <m/>
    <m/>
    <m/>
    <m/>
    <m/>
    <m/>
    <m/>
    <m/>
    <s v="Ease of selling to B&amp;H (my second time selling equipment)._x000a_Good communication from B&amp;H about the status of the sale."/>
    <m/>
    <m/>
    <m/>
    <m/>
    <s v="Unfortunately, it turned out that the lens I sent in for sale had an issue that I wasn't aware of and wasn't sellable.  However, that wasn't B&amp;H's fault."/>
    <m/>
    <m/>
    <m/>
    <m/>
    <m/>
    <m/>
    <m/>
    <m/>
    <m/>
    <m/>
    <m/>
    <m/>
    <m/>
    <m/>
    <m/>
    <m/>
    <m/>
    <m/>
    <m/>
    <m/>
    <m/>
    <m/>
    <m/>
    <m/>
    <m/>
    <m/>
    <m/>
    <m/>
    <m/>
    <m/>
    <m/>
    <m/>
    <m/>
    <m/>
    <m/>
    <m/>
    <m/>
    <m/>
    <m/>
    <m/>
    <m/>
    <m/>
    <m/>
    <m/>
    <m/>
    <m/>
    <m/>
    <m/>
    <m/>
    <m/>
    <m/>
    <m/>
    <m/>
    <m/>
    <m/>
    <m/>
    <m/>
    <m/>
    <m/>
    <m/>
    <m/>
    <m/>
    <m/>
    <m/>
    <m/>
    <m/>
    <m/>
    <m/>
    <m/>
    <m/>
    <m/>
    <m/>
    <m/>
    <m/>
    <m/>
    <m/>
    <m/>
    <m/>
    <m/>
    <m/>
    <m/>
    <m/>
    <s v="Ease of selling to B&amp;H (my second time selling equipment)._x000a_Good communication from B&amp;H about the status of the sale."/>
    <s v="Unfortunately, it turned out that the lens I sent in for sale had an issue that I wasn't aware of and wasn't sellable.  However, that wasn't B&amp;H's faul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s v="N/A"/>
    <m/>
    <m/>
    <m/>
    <m/>
    <n v="4"/>
    <n v="5"/>
    <m/>
    <m/>
    <m/>
    <m/>
    <m/>
    <m/>
    <n v="4"/>
    <n v="5"/>
    <s v="N/A"/>
    <s v="N/A"/>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egative), Trade In &gt; Overall Process &gt; (Positive)"/>
    <s v="Yes"/>
    <s v="No"/>
    <m/>
    <x v="5"/>
    <x v="21"/>
    <x v="5"/>
    <m/>
    <x v="0"/>
    <x v="0"/>
  </r>
  <r>
    <s v="Sharene Hanlon - Used Trade-In Product"/>
    <n v="10"/>
    <n v="5"/>
    <d v="2026-02-20T17:33:30"/>
    <n v="5231084"/>
    <s v="Used Trade-In Product"/>
    <m/>
    <s v="Sharene Hanlon"/>
    <m/>
    <s v="kshanlon@msn.com"/>
    <m/>
    <s v="Faribault;Minnesota;55021"/>
    <m/>
    <s v="22 years 1 months"/>
    <s v="No"/>
    <m/>
    <m/>
    <s v="kshanlon@msn.com"/>
    <s v="265"/>
    <m/>
    <m/>
    <m/>
    <m/>
    <m/>
    <m/>
    <m/>
    <m/>
    <d v="2026-02-23T09:37:55"/>
    <d v="2026-02-17T12:51:09"/>
    <m/>
    <s v="1140251"/>
    <m/>
    <m/>
    <m/>
    <m/>
    <m/>
    <m/>
    <m/>
    <m/>
    <m/>
    <m/>
    <m/>
    <m/>
    <m/>
    <m/>
    <m/>
    <m/>
    <m/>
    <m/>
    <m/>
    <m/>
    <m/>
    <m/>
    <s v="https://bnh.lightning.force.com/001WP00000lBgyDYAS"/>
    <m/>
    <m/>
    <m/>
    <m/>
    <m/>
    <m/>
    <m/>
    <m/>
    <m/>
    <m/>
    <m/>
    <m/>
    <m/>
    <m/>
    <m/>
    <m/>
    <m/>
    <m/>
    <m/>
    <m/>
    <m/>
    <m/>
    <m/>
    <m/>
    <m/>
    <m/>
    <m/>
    <m/>
    <m/>
    <m/>
    <m/>
    <m/>
    <m/>
    <m/>
    <m/>
    <m/>
    <m/>
    <m/>
    <s v="CAD"/>
    <m/>
    <s v="No"/>
    <s v="Aine Hoye"/>
    <s v="Aine Hoye"/>
    <d v="2026-02-20T17:34:13"/>
    <s v="Promoter"/>
    <s v="Closed"/>
    <m/>
    <m/>
    <s v="Yes"/>
    <m/>
    <m/>
    <m/>
    <m/>
    <m/>
    <m/>
    <m/>
    <m/>
    <m/>
    <m/>
    <m/>
    <m/>
    <m/>
    <m/>
    <m/>
    <m/>
    <s v="I liked everything!"/>
    <m/>
    <m/>
    <m/>
    <m/>
    <m/>
    <m/>
    <m/>
    <m/>
    <m/>
    <m/>
    <m/>
    <m/>
    <m/>
    <m/>
    <m/>
    <m/>
    <m/>
    <m/>
    <m/>
    <m/>
    <m/>
    <m/>
    <m/>
    <m/>
    <m/>
    <m/>
    <m/>
    <m/>
    <m/>
    <m/>
    <m/>
    <m/>
    <m/>
    <m/>
    <m/>
    <m/>
    <m/>
    <m/>
    <m/>
    <m/>
    <m/>
    <m/>
    <m/>
    <m/>
    <m/>
    <m/>
    <m/>
    <m/>
    <m/>
    <m/>
    <m/>
    <m/>
    <m/>
    <m/>
    <m/>
    <m/>
    <m/>
    <m/>
    <m/>
    <m/>
    <m/>
    <m/>
    <m/>
    <m/>
    <m/>
    <m/>
    <m/>
    <m/>
    <m/>
    <m/>
    <m/>
    <m/>
    <m/>
    <m/>
    <m/>
    <m/>
    <m/>
    <m/>
    <m/>
    <m/>
    <m/>
    <m/>
    <m/>
    <m/>
    <m/>
    <m/>
    <m/>
    <s v="I liked every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Trade In &gt; Overall Process &gt;"/>
    <m/>
    <m/>
    <s v="B&amp;H &gt; Satisfaction &gt; (Positive)"/>
    <s v="Trade In &gt; Overall Process &gt; (Positive)"/>
    <s v="Yes"/>
    <s v="No"/>
    <m/>
    <x v="14"/>
    <x v="0"/>
    <x v="0"/>
    <m/>
    <x v="0"/>
    <x v="0"/>
  </r>
  <r>
    <s v="Ken Kearns - Used Trade-In Product"/>
    <n v="10"/>
    <n v="5"/>
    <d v="2026-02-20T17:14:46"/>
    <n v="5231060"/>
    <s v="Used Trade-In Product"/>
    <m/>
    <s v="Ken Kearns"/>
    <m/>
    <s v="kennethkearns@gmail.com"/>
    <m/>
    <s v="Purchase;New York;10577"/>
    <m/>
    <s v="16 years 7 months"/>
    <s v="No"/>
    <m/>
    <m/>
    <s v="kennethkearns@gmail.com"/>
    <s v="199"/>
    <m/>
    <m/>
    <m/>
    <m/>
    <m/>
    <m/>
    <m/>
    <m/>
    <d v="2026-02-23T09:36:35"/>
    <d v="2026-02-20T15:20:40"/>
    <m/>
    <s v="1143548"/>
    <m/>
    <m/>
    <m/>
    <m/>
    <m/>
    <m/>
    <m/>
    <m/>
    <m/>
    <m/>
    <m/>
    <m/>
    <m/>
    <m/>
    <m/>
    <m/>
    <m/>
    <m/>
    <m/>
    <m/>
    <m/>
    <m/>
    <s v="https://bnh.lightning.force.com/001WP00000u7blrYAA"/>
    <m/>
    <m/>
    <m/>
    <m/>
    <m/>
    <m/>
    <m/>
    <m/>
    <m/>
    <m/>
    <m/>
    <m/>
    <m/>
    <m/>
    <m/>
    <m/>
    <m/>
    <m/>
    <m/>
    <m/>
    <m/>
    <m/>
    <m/>
    <m/>
    <m/>
    <m/>
    <m/>
    <m/>
    <m/>
    <m/>
    <m/>
    <m/>
    <m/>
    <m/>
    <m/>
    <m/>
    <m/>
    <m/>
    <s v="CAD"/>
    <m/>
    <s v="No"/>
    <s v="Aine Hoye"/>
    <s v="Aine Hoye"/>
    <d v="2026-02-20T17:15:05"/>
    <s v="Promoter"/>
    <s v="Closed"/>
    <m/>
    <m/>
    <s v="Yes"/>
    <m/>
    <m/>
    <m/>
    <m/>
    <m/>
    <m/>
    <m/>
    <m/>
    <m/>
    <m/>
    <m/>
    <m/>
    <m/>
    <m/>
    <m/>
    <m/>
    <s v="Easy to get and get confirmed"/>
    <m/>
    <m/>
    <m/>
    <m/>
    <s v="Can’t transact the TID online"/>
    <m/>
    <m/>
    <m/>
    <m/>
    <m/>
    <m/>
    <m/>
    <m/>
    <m/>
    <m/>
    <m/>
    <m/>
    <m/>
    <m/>
    <m/>
    <m/>
    <m/>
    <m/>
    <m/>
    <m/>
    <m/>
    <m/>
    <m/>
    <m/>
    <m/>
    <m/>
    <m/>
    <m/>
    <m/>
    <m/>
    <m/>
    <m/>
    <m/>
    <m/>
    <m/>
    <m/>
    <m/>
    <m/>
    <m/>
    <m/>
    <m/>
    <m/>
    <m/>
    <m/>
    <m/>
    <m/>
    <m/>
    <m/>
    <m/>
    <m/>
    <m/>
    <m/>
    <m/>
    <m/>
    <m/>
    <m/>
    <m/>
    <m/>
    <m/>
    <m/>
    <m/>
    <m/>
    <m/>
    <m/>
    <m/>
    <m/>
    <m/>
    <m/>
    <m/>
    <m/>
    <m/>
    <m/>
    <m/>
    <m/>
    <m/>
    <m/>
    <m/>
    <m/>
    <m/>
    <m/>
    <m/>
    <m/>
    <s v="Easy to get and get confirmed"/>
    <s v="Can’t transact the TID onli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egative), Trade In &gt; Overall Process &gt; (Positive)"/>
    <s v="Yes"/>
    <s v="Yes"/>
    <m/>
    <x v="0"/>
    <x v="0"/>
    <x v="0"/>
    <m/>
    <x v="0"/>
    <x v="0"/>
  </r>
  <r>
    <s v="Mary Galligan - Used Trade-In Product"/>
    <n v="10"/>
    <n v="5"/>
    <d v="2026-02-20T16:59:21"/>
    <n v="5231038"/>
    <s v="Used Trade-In Product"/>
    <m/>
    <s v="Mary Galligan"/>
    <m/>
    <s v="2galligans@gmail.com"/>
    <m/>
    <s v="Huntley;Illinois;60142"/>
    <s v="Huntley;Illinois;60142"/>
    <s v="9 years 3 months"/>
    <s v="No"/>
    <m/>
    <m/>
    <s v="2galligans@gmail.com"/>
    <s v="111"/>
    <m/>
    <m/>
    <m/>
    <m/>
    <m/>
    <m/>
    <m/>
    <m/>
    <d v="2026-02-23T09:33:36"/>
    <d v="2026-02-20T12:48:24"/>
    <m/>
    <s v="1142491"/>
    <m/>
    <m/>
    <m/>
    <m/>
    <m/>
    <m/>
    <m/>
    <m/>
    <m/>
    <m/>
    <m/>
    <m/>
    <m/>
    <m/>
    <m/>
    <m/>
    <m/>
    <m/>
    <m/>
    <m/>
    <m/>
    <m/>
    <s v="https://bnh.lightning.force.com/0018X000031eWeTQAU"/>
    <m/>
    <m/>
    <m/>
    <m/>
    <m/>
    <m/>
    <m/>
    <m/>
    <m/>
    <m/>
    <m/>
    <m/>
    <m/>
    <m/>
    <m/>
    <m/>
    <m/>
    <m/>
    <m/>
    <m/>
    <m/>
    <m/>
    <m/>
    <m/>
    <m/>
    <m/>
    <m/>
    <m/>
    <m/>
    <m/>
    <m/>
    <m/>
    <m/>
    <m/>
    <m/>
    <m/>
    <m/>
    <m/>
    <s v="CAD"/>
    <m/>
    <s v="No"/>
    <s v="Aine Hoye"/>
    <s v="Aine Hoye"/>
    <d v="2026-02-20T16:58:28"/>
    <s v="Promoter"/>
    <s v="Closed"/>
    <m/>
    <m/>
    <s v="Yes"/>
    <m/>
    <m/>
    <m/>
    <m/>
    <m/>
    <m/>
    <m/>
    <m/>
    <m/>
    <m/>
    <m/>
    <m/>
    <m/>
    <m/>
    <m/>
    <m/>
    <s v="It is such an easy process."/>
    <m/>
    <m/>
    <m/>
    <m/>
    <s v="Nothing"/>
    <m/>
    <m/>
    <m/>
    <m/>
    <m/>
    <m/>
    <m/>
    <m/>
    <m/>
    <m/>
    <m/>
    <m/>
    <m/>
    <m/>
    <m/>
    <m/>
    <m/>
    <m/>
    <m/>
    <m/>
    <m/>
    <m/>
    <m/>
    <m/>
    <m/>
    <m/>
    <m/>
    <m/>
    <m/>
    <m/>
    <m/>
    <m/>
    <m/>
    <m/>
    <m/>
    <m/>
    <m/>
    <m/>
    <m/>
    <m/>
    <m/>
    <m/>
    <m/>
    <m/>
    <m/>
    <m/>
    <m/>
    <m/>
    <m/>
    <m/>
    <m/>
    <m/>
    <m/>
    <m/>
    <m/>
    <m/>
    <m/>
    <m/>
    <m/>
    <m/>
    <m/>
    <m/>
    <m/>
    <m/>
    <m/>
    <m/>
    <m/>
    <m/>
    <m/>
    <m/>
    <m/>
    <m/>
    <m/>
    <m/>
    <m/>
    <m/>
    <m/>
    <m/>
    <m/>
    <m/>
    <m/>
    <m/>
    <s v="It is such an easy process."/>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Alex Velasquez - Used Trade-In Product"/>
    <n v="10"/>
    <n v="5"/>
    <d v="2026-02-20T16:36:50"/>
    <n v="5231000"/>
    <s v="Used Trade-In Product"/>
    <m/>
    <s v="Alex Velasquez"/>
    <m/>
    <s v="alex@apolloroad.com"/>
    <m/>
    <s v="Windsor;Colorado;80550"/>
    <s v="Albuquerque;New Mexico;87107"/>
    <s v="6 years 5 months"/>
    <s v="No"/>
    <m/>
    <m/>
    <s v="alex@apolloroad.com"/>
    <s v="77"/>
    <m/>
    <m/>
    <m/>
    <m/>
    <m/>
    <m/>
    <m/>
    <m/>
    <d v="2026-02-23T09:33:03"/>
    <d v="2026-02-19T12:50:21"/>
    <m/>
    <s v="1141582"/>
    <m/>
    <m/>
    <m/>
    <m/>
    <m/>
    <m/>
    <m/>
    <m/>
    <m/>
    <m/>
    <m/>
    <m/>
    <m/>
    <m/>
    <m/>
    <m/>
    <m/>
    <m/>
    <m/>
    <m/>
    <m/>
    <m/>
    <s v="https://bnh.lightning.force.com/0018X00003QC7qUQAT"/>
    <m/>
    <m/>
    <m/>
    <m/>
    <m/>
    <m/>
    <m/>
    <m/>
    <m/>
    <m/>
    <m/>
    <m/>
    <m/>
    <m/>
    <m/>
    <m/>
    <m/>
    <m/>
    <m/>
    <m/>
    <m/>
    <m/>
    <m/>
    <m/>
    <m/>
    <m/>
    <m/>
    <m/>
    <m/>
    <m/>
    <m/>
    <m/>
    <m/>
    <m/>
    <m/>
    <m/>
    <m/>
    <m/>
    <s v="CAD"/>
    <m/>
    <s v="No"/>
    <s v="Aine Hoye"/>
    <s v="Aine Hoye"/>
    <d v="2026-02-20T16:38:06"/>
    <s v="Promoter"/>
    <s v="Closed"/>
    <m/>
    <m/>
    <s v="Yes"/>
    <m/>
    <m/>
    <m/>
    <m/>
    <m/>
    <m/>
    <m/>
    <m/>
    <m/>
    <m/>
    <m/>
    <m/>
    <m/>
    <m/>
    <m/>
    <m/>
    <s v="Pre-paid shipping label."/>
    <m/>
    <m/>
    <m/>
    <m/>
    <s v="N/A. Everything was seamless."/>
    <m/>
    <m/>
    <m/>
    <m/>
    <m/>
    <m/>
    <m/>
    <m/>
    <m/>
    <m/>
    <m/>
    <m/>
    <m/>
    <m/>
    <m/>
    <m/>
    <m/>
    <m/>
    <m/>
    <m/>
    <m/>
    <m/>
    <m/>
    <m/>
    <m/>
    <m/>
    <m/>
    <m/>
    <m/>
    <m/>
    <m/>
    <m/>
    <m/>
    <m/>
    <m/>
    <m/>
    <m/>
    <m/>
    <m/>
    <m/>
    <m/>
    <m/>
    <m/>
    <m/>
    <m/>
    <m/>
    <m/>
    <m/>
    <m/>
    <m/>
    <m/>
    <m/>
    <m/>
    <m/>
    <m/>
    <m/>
    <m/>
    <m/>
    <m/>
    <m/>
    <m/>
    <m/>
    <m/>
    <m/>
    <m/>
    <m/>
    <m/>
    <m/>
    <m/>
    <m/>
    <m/>
    <m/>
    <m/>
    <m/>
    <m/>
    <m/>
    <m/>
    <m/>
    <m/>
    <m/>
    <m/>
    <m/>
    <s v="Pre-paid shipping label."/>
    <s v="N/A. Everything was seaml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21"/>
    <x v="0"/>
    <x v="0"/>
    <m/>
    <x v="0"/>
    <x v="0"/>
  </r>
  <r>
    <s v="Rob Edmondson - Used Trade-In Product"/>
    <n v="10"/>
    <n v="5"/>
    <d v="2026-02-20T14:03:40"/>
    <n v="5230645"/>
    <s v="Used Trade-In Product"/>
    <m/>
    <s v="Rob Edmondson"/>
    <m/>
    <s v="wobertm777@gmail.com"/>
    <m/>
    <s v="Wilson;North Carolina;27896"/>
    <m/>
    <m/>
    <s v="No"/>
    <m/>
    <m/>
    <s v="wobertm777@gmail.com"/>
    <m/>
    <m/>
    <m/>
    <m/>
    <m/>
    <m/>
    <m/>
    <m/>
    <m/>
    <d v="2026-02-23T09:17:44"/>
    <d v="2026-02-20T15:20:38"/>
    <m/>
    <s v="1142255"/>
    <m/>
    <m/>
    <m/>
    <m/>
    <m/>
    <m/>
    <m/>
    <m/>
    <m/>
    <m/>
    <m/>
    <m/>
    <m/>
    <m/>
    <m/>
    <m/>
    <m/>
    <m/>
    <m/>
    <m/>
    <m/>
    <m/>
    <s v="https://bnh.lightning.force.com/001WP00000tCvzjYAC"/>
    <m/>
    <m/>
    <m/>
    <m/>
    <m/>
    <m/>
    <m/>
    <m/>
    <m/>
    <m/>
    <m/>
    <m/>
    <m/>
    <m/>
    <m/>
    <m/>
    <m/>
    <m/>
    <m/>
    <m/>
    <m/>
    <m/>
    <m/>
    <m/>
    <m/>
    <m/>
    <m/>
    <m/>
    <m/>
    <m/>
    <m/>
    <m/>
    <m/>
    <m/>
    <m/>
    <m/>
    <m/>
    <m/>
    <s v="CAD"/>
    <m/>
    <s v="No"/>
    <s v="Aine Hoye"/>
    <s v="Aine Hoye"/>
    <d v="2026-02-20T14:03:42"/>
    <s v="Promoter"/>
    <s v="Closed"/>
    <m/>
    <m/>
    <s v="Yes"/>
    <m/>
    <m/>
    <m/>
    <m/>
    <m/>
    <m/>
    <m/>
    <m/>
    <m/>
    <m/>
    <m/>
    <m/>
    <m/>
    <m/>
    <m/>
    <m/>
    <s v="Smooth n direct"/>
    <m/>
    <m/>
    <m/>
    <m/>
    <s v="No issues"/>
    <m/>
    <m/>
    <m/>
    <m/>
    <m/>
    <m/>
    <m/>
    <m/>
    <m/>
    <m/>
    <m/>
    <m/>
    <m/>
    <m/>
    <m/>
    <m/>
    <m/>
    <m/>
    <m/>
    <m/>
    <m/>
    <m/>
    <m/>
    <m/>
    <m/>
    <m/>
    <m/>
    <m/>
    <m/>
    <m/>
    <m/>
    <m/>
    <m/>
    <m/>
    <m/>
    <m/>
    <m/>
    <m/>
    <m/>
    <m/>
    <m/>
    <m/>
    <m/>
    <m/>
    <m/>
    <m/>
    <m/>
    <m/>
    <m/>
    <m/>
    <m/>
    <m/>
    <m/>
    <m/>
    <m/>
    <m/>
    <m/>
    <m/>
    <m/>
    <m/>
    <m/>
    <m/>
    <m/>
    <m/>
    <m/>
    <m/>
    <m/>
    <m/>
    <m/>
    <m/>
    <m/>
    <m/>
    <m/>
    <m/>
    <m/>
    <m/>
    <m/>
    <m/>
    <m/>
    <m/>
    <m/>
    <m/>
    <s v="Smooth n direct"/>
    <s v="No issu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5"/>
    <x v="0"/>
    <x v="0"/>
    <m/>
    <x v="0"/>
    <x v="0"/>
  </r>
  <r>
    <s v="Alexey Amchentsev - Used Trade-In Product"/>
    <n v="8"/>
    <n v="5"/>
    <d v="2026-02-20T13:39:02"/>
    <n v="5230600"/>
    <s v="Used Trade-In Product"/>
    <m/>
    <s v="Alexey Amchentsev"/>
    <m/>
    <s v="amchentsev@msn.com"/>
    <m/>
    <s v="Middletown;New York;10941"/>
    <s v="Middletown;New York;10941"/>
    <s v="9 years 4 months"/>
    <s v="No"/>
    <m/>
    <m/>
    <s v="amchentsev@msn.com"/>
    <s v="112"/>
    <m/>
    <m/>
    <m/>
    <m/>
    <m/>
    <m/>
    <m/>
    <m/>
    <d v="2026-02-23T09:13:20"/>
    <d v="2026-02-20T12:46:54"/>
    <m/>
    <s v="1141941"/>
    <m/>
    <m/>
    <m/>
    <m/>
    <m/>
    <m/>
    <m/>
    <m/>
    <m/>
    <m/>
    <m/>
    <m/>
    <m/>
    <m/>
    <m/>
    <m/>
    <m/>
    <m/>
    <m/>
    <m/>
    <m/>
    <m/>
    <s v="https://bnh.lightning.force.com/001WP00000eq3yxYAA"/>
    <m/>
    <m/>
    <m/>
    <m/>
    <m/>
    <m/>
    <m/>
    <m/>
    <m/>
    <m/>
    <m/>
    <m/>
    <m/>
    <m/>
    <m/>
    <m/>
    <m/>
    <m/>
    <m/>
    <m/>
    <m/>
    <m/>
    <m/>
    <m/>
    <m/>
    <m/>
    <m/>
    <m/>
    <m/>
    <m/>
    <m/>
    <m/>
    <m/>
    <m/>
    <m/>
    <m/>
    <m/>
    <m/>
    <s v="CAD"/>
    <m/>
    <s v="No"/>
    <s v="Aine Hoye"/>
    <s v="Aine Hoye"/>
    <d v="2026-02-20T13:39:01"/>
    <s v="Passive"/>
    <s v="Closed"/>
    <m/>
    <m/>
    <s v="Yes"/>
    <m/>
    <m/>
    <m/>
    <m/>
    <m/>
    <m/>
    <m/>
    <m/>
    <m/>
    <m/>
    <m/>
    <m/>
    <m/>
    <m/>
    <m/>
    <m/>
    <s v="Easy experience"/>
    <m/>
    <m/>
    <m/>
    <m/>
    <s v="Low quote"/>
    <m/>
    <m/>
    <m/>
    <m/>
    <m/>
    <m/>
    <m/>
    <m/>
    <m/>
    <m/>
    <m/>
    <m/>
    <m/>
    <m/>
    <m/>
    <m/>
    <m/>
    <m/>
    <m/>
    <m/>
    <m/>
    <m/>
    <m/>
    <m/>
    <m/>
    <m/>
    <m/>
    <m/>
    <m/>
    <m/>
    <m/>
    <m/>
    <m/>
    <m/>
    <m/>
    <m/>
    <m/>
    <m/>
    <m/>
    <m/>
    <m/>
    <m/>
    <m/>
    <m/>
    <m/>
    <m/>
    <m/>
    <m/>
    <m/>
    <m/>
    <m/>
    <m/>
    <m/>
    <m/>
    <m/>
    <m/>
    <m/>
    <m/>
    <m/>
    <m/>
    <m/>
    <m/>
    <m/>
    <m/>
    <m/>
    <m/>
    <m/>
    <m/>
    <m/>
    <m/>
    <m/>
    <m/>
    <m/>
    <m/>
    <m/>
    <m/>
    <m/>
    <m/>
    <m/>
    <m/>
    <m/>
    <m/>
    <s v="Easy experience"/>
    <s v="Low quo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4"/>
    <n v="3"/>
    <n v="5"/>
    <n v="4"/>
    <m/>
    <m/>
    <m/>
    <m/>
    <m/>
    <m/>
    <m/>
    <m/>
    <m/>
    <m/>
    <m/>
    <m/>
    <m/>
    <m/>
    <m/>
    <m/>
    <m/>
    <m/>
    <m/>
    <m/>
    <m/>
    <m/>
    <m/>
    <m/>
    <m/>
    <m/>
    <m/>
    <m/>
    <m/>
    <m/>
    <m/>
    <m/>
    <m/>
    <m/>
    <m/>
    <m/>
    <m/>
    <m/>
    <m/>
    <m/>
    <m/>
    <m/>
    <m/>
    <m/>
    <m/>
    <m/>
    <m/>
    <m/>
    <m/>
    <m/>
    <m/>
    <m/>
    <m/>
    <m/>
    <m/>
    <m/>
    <m/>
    <m/>
    <m/>
    <m/>
    <m/>
    <m/>
    <m/>
    <m/>
    <m/>
    <m/>
    <m/>
    <m/>
    <m/>
    <m/>
    <m/>
    <m/>
    <m/>
    <m/>
    <m/>
    <m/>
    <m/>
    <m/>
    <m/>
    <m/>
    <m/>
    <m/>
    <m/>
    <m/>
    <m/>
    <m/>
    <m/>
    <m/>
    <m/>
    <m/>
    <m/>
    <m/>
    <m/>
    <m/>
    <m/>
    <m/>
    <m/>
    <m/>
    <m/>
    <m/>
    <m/>
    <s v="Trade In &gt; Overall Process &gt;, Trade In &gt; Quote Price &gt;"/>
    <s v="Trade In &gt; Overall Process &gt;, Trade In &gt; Quote Price &gt;"/>
    <m/>
    <m/>
    <s v="Trade In &gt; Overall Process &gt; (No opinion), Trade In &gt; Quote Price &gt; (No opinion)"/>
    <s v="Trade In &gt; Overall Process &gt; (Positive), Trade In &gt; Quote Price &gt; (Negative)"/>
    <s v="Yes"/>
    <s v="Yes"/>
    <m/>
    <x v="0"/>
    <x v="8"/>
    <x v="0"/>
    <m/>
    <x v="0"/>
    <x v="0"/>
  </r>
  <r>
    <s v="Matt Higby - Used Trade-In Product"/>
    <n v="10"/>
    <n v="5"/>
    <d v="2026-02-20T12:11:18"/>
    <n v="5230382"/>
    <s v="Used Trade-In Product"/>
    <m/>
    <s v="Matt Higby"/>
    <m/>
    <s v="ipodguy93@gmail.com"/>
    <m/>
    <s v="Scottsdale;Arizona;85254"/>
    <m/>
    <m/>
    <s v="No"/>
    <m/>
    <m/>
    <s v="ipodguy93@gmail.com"/>
    <m/>
    <m/>
    <m/>
    <m/>
    <m/>
    <m/>
    <m/>
    <m/>
    <m/>
    <d v="2026-02-23T08:33:49"/>
    <d v="2026-02-20T14:18:37"/>
    <m/>
    <s v="1143452"/>
    <m/>
    <m/>
    <m/>
    <m/>
    <m/>
    <m/>
    <m/>
    <m/>
    <m/>
    <m/>
    <m/>
    <m/>
    <m/>
    <m/>
    <m/>
    <m/>
    <m/>
    <m/>
    <m/>
    <m/>
    <m/>
    <m/>
    <s v="https://bnh.lightning.force.com/001WP00000u5h1NYAQ"/>
    <m/>
    <m/>
    <m/>
    <m/>
    <m/>
    <m/>
    <m/>
    <m/>
    <m/>
    <m/>
    <m/>
    <m/>
    <m/>
    <m/>
    <m/>
    <m/>
    <m/>
    <m/>
    <m/>
    <m/>
    <m/>
    <m/>
    <m/>
    <m/>
    <m/>
    <m/>
    <m/>
    <m/>
    <m/>
    <m/>
    <m/>
    <m/>
    <m/>
    <m/>
    <m/>
    <m/>
    <m/>
    <m/>
    <s v="CAD"/>
    <m/>
    <s v="No"/>
    <s v="Zane Bohnert"/>
    <s v="Zane Bohnert"/>
    <d v="2026-02-20T12:09:49"/>
    <s v="Promoter"/>
    <s v="Closed"/>
    <m/>
    <m/>
    <s v="Yes"/>
    <m/>
    <m/>
    <m/>
    <m/>
    <m/>
    <m/>
    <m/>
    <m/>
    <m/>
    <m/>
    <m/>
    <m/>
    <m/>
    <m/>
    <m/>
    <m/>
    <s v="I’m blown away at how easy this process was and the offer I received. I honestly was not expecting to get as much money for my gear as B&amp;H offered, so I feel like they did a fantastic job evaluating my equipment."/>
    <m/>
    <m/>
    <m/>
    <m/>
    <s v="This is such a minor thing but I thought finding my gear in the drop down menu was just a little unintuitive. But genuinely, it wasn’t that hard to find my exact camera so I’m just grasping at straws to find something to improve. The whole experience was excellent."/>
    <m/>
    <m/>
    <m/>
    <m/>
    <m/>
    <m/>
    <m/>
    <m/>
    <m/>
    <m/>
    <m/>
    <m/>
    <m/>
    <m/>
    <m/>
    <m/>
    <m/>
    <m/>
    <m/>
    <m/>
    <m/>
    <m/>
    <m/>
    <m/>
    <m/>
    <m/>
    <m/>
    <m/>
    <m/>
    <m/>
    <m/>
    <m/>
    <m/>
    <m/>
    <m/>
    <m/>
    <m/>
    <m/>
    <m/>
    <m/>
    <m/>
    <m/>
    <m/>
    <m/>
    <m/>
    <m/>
    <m/>
    <m/>
    <m/>
    <m/>
    <m/>
    <m/>
    <m/>
    <m/>
    <m/>
    <m/>
    <m/>
    <m/>
    <m/>
    <m/>
    <m/>
    <m/>
    <m/>
    <m/>
    <m/>
    <m/>
    <m/>
    <m/>
    <m/>
    <m/>
    <m/>
    <m/>
    <m/>
    <m/>
    <m/>
    <m/>
    <m/>
    <m/>
    <m/>
    <m/>
    <m/>
    <m/>
    <s v="I’m blown away at how easy this process was and the offer I received. I honestly was not expecting to get as much money for my gear as B&amp;H offered, so I feel like they did a fantastic job evaluating my equipment."/>
    <s v="This is such a minor thing but I thought finding my gear in the drop down menu was just a little unintuitive. But genuinely, it wasn’t that hard to find my exact camera so I’m just grasping at straws to find something to improve. The whole experience was excell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Trade In &gt; Overall Process &gt;"/>
    <s v="Trade In &gt; Overall Process &gt;, Trade In &gt; Quote Price &gt;"/>
    <m/>
    <m/>
    <s v="B&amp;H &gt; Satisfaction &gt; (Strongly positive), Trade In &gt; Overall Process &gt; (Positive)"/>
    <s v="Trade In &gt; Overall Process &gt; (Negative), Trade In &gt; Overall Process &gt; (Positive), Trade In &gt; Quote Price &gt; (Positive)"/>
    <s v="Yes"/>
    <s v="Yes"/>
    <m/>
    <x v="0"/>
    <x v="22"/>
    <x v="0"/>
    <m/>
    <x v="0"/>
    <x v="0"/>
  </r>
  <r>
    <s v="Lindsay Ang - Used Trade-In Product"/>
    <n v="0"/>
    <n v="1"/>
    <d v="2026-02-20T12:08:28"/>
    <n v="5230379"/>
    <s v="Used Trade-In Product"/>
    <m/>
    <s v="Lindsay Ang"/>
    <m/>
    <s v="lindsayang@gmail.com"/>
    <m/>
    <s v="Portland;Oregon;97205"/>
    <s v="Portland;Oregon;97205"/>
    <s v="2 years 6 months"/>
    <s v="No"/>
    <m/>
    <m/>
    <s v="lindsayang@gmail.com"/>
    <s v="30"/>
    <m/>
    <m/>
    <m/>
    <m/>
    <m/>
    <m/>
    <m/>
    <m/>
    <d v="2026-02-24T12:11:03"/>
    <d v="2026-02-20T13:19:09"/>
    <m/>
    <s v="1143176"/>
    <m/>
    <m/>
    <m/>
    <m/>
    <m/>
    <m/>
    <m/>
    <m/>
    <m/>
    <m/>
    <m/>
    <m/>
    <m/>
    <m/>
    <m/>
    <m/>
    <m/>
    <m/>
    <m/>
    <m/>
    <m/>
    <m/>
    <s v="https://bnh.lightning.force.com/001Hs00005n1LsgIAE"/>
    <m/>
    <m/>
    <m/>
    <m/>
    <m/>
    <m/>
    <m/>
    <m/>
    <m/>
    <m/>
    <m/>
    <m/>
    <m/>
    <m/>
    <m/>
    <m/>
    <m/>
    <m/>
    <m/>
    <m/>
    <m/>
    <m/>
    <m/>
    <m/>
    <m/>
    <m/>
    <m/>
    <m/>
    <m/>
    <m/>
    <m/>
    <m/>
    <m/>
    <m/>
    <m/>
    <m/>
    <m/>
    <m/>
    <s v="CAD"/>
    <m/>
    <s v="No"/>
    <s v="Zane Bohnert,Avraham Schwartz,Reina Caba"/>
    <s v="Reina Caba"/>
    <d v="2026-02-20T12:08:15"/>
    <s v="Detractor "/>
    <s v="Closed"/>
    <d v="2026-02-24T12:10:58"/>
    <s v="Reina Caba (reinac@bhphoto.com)"/>
    <s v="Yes"/>
    <m/>
    <m/>
    <m/>
    <m/>
    <m/>
    <m/>
    <m/>
    <m/>
    <m/>
    <m/>
    <m/>
    <m/>
    <m/>
    <m/>
    <m/>
    <m/>
    <s v="I used to like B&amp;H experience as I often send in used equipments for trades. However, this time leaves me with a lot of questions that are unanswered"/>
    <m/>
    <m/>
    <m/>
    <m/>
    <s v="For my current quote, I was told all 6 of my lenses have fungus and then a reduced amoun for my other lens. I took photos of the condition, serial numbers and my detailed packaging before sending it in. So, imagine my surprise when 2 weeks there are fungus in all my lenses and on top of it I haven't heard back from the rep on next steps. Also, a few of my lenses are brand new from Fuji direct"/>
    <m/>
    <m/>
    <m/>
    <m/>
    <m/>
    <m/>
    <m/>
    <m/>
    <m/>
    <m/>
    <m/>
    <m/>
    <m/>
    <m/>
    <m/>
    <m/>
    <m/>
    <m/>
    <m/>
    <m/>
    <m/>
    <m/>
    <m/>
    <m/>
    <m/>
    <m/>
    <m/>
    <m/>
    <m/>
    <m/>
    <m/>
    <m/>
    <m/>
    <m/>
    <m/>
    <m/>
    <m/>
    <m/>
    <m/>
    <m/>
    <m/>
    <m/>
    <m/>
    <m/>
    <m/>
    <m/>
    <m/>
    <m/>
    <m/>
    <m/>
    <m/>
    <m/>
    <m/>
    <m/>
    <m/>
    <m/>
    <m/>
    <m/>
    <m/>
    <m/>
    <m/>
    <m/>
    <m/>
    <m/>
    <m/>
    <m/>
    <m/>
    <m/>
    <m/>
    <m/>
    <m/>
    <m/>
    <m/>
    <m/>
    <m/>
    <m/>
    <m/>
    <m/>
    <m/>
    <m/>
    <m/>
    <m/>
    <s v="I used to like B&amp;H experience as I often send in used equipments for trades. However, this time leaves me with a lot of questions that are unanswered"/>
    <s v="For my current quote, I was told all 6 of my lenses have fungus and then a reduced amoun for my other lens. I took photos of the condition, serial numbers and my detailed packaging before sending it in. So, imagine my surprise when 2 weeks there are fungus in all my lenses and on top of it I haven't heard back from the rep on next steps. Also, a few of my lenses are brand new from Fuji direc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4"/>
    <m/>
    <m/>
    <m/>
    <m/>
    <m/>
    <m/>
    <n v="1"/>
    <n v="1"/>
    <n v="2"/>
    <s v="N/A"/>
    <m/>
    <m/>
    <m/>
    <m/>
    <m/>
    <m/>
    <m/>
    <m/>
    <m/>
    <m/>
    <m/>
    <m/>
    <m/>
    <m/>
    <m/>
    <m/>
    <m/>
    <m/>
    <m/>
    <m/>
    <m/>
    <m/>
    <m/>
    <m/>
    <m/>
    <m/>
    <m/>
    <m/>
    <m/>
    <m/>
    <m/>
    <m/>
    <m/>
    <m/>
    <m/>
    <m/>
    <m/>
    <m/>
    <m/>
    <m/>
    <m/>
    <m/>
    <m/>
    <m/>
    <m/>
    <m/>
    <m/>
    <m/>
    <m/>
    <m/>
    <m/>
    <m/>
    <m/>
    <m/>
    <m/>
    <m/>
    <m/>
    <m/>
    <m/>
    <m/>
    <m/>
    <m/>
    <m/>
    <m/>
    <m/>
    <m/>
    <m/>
    <m/>
    <m/>
    <m/>
    <m/>
    <m/>
    <m/>
    <m/>
    <m/>
    <m/>
    <m/>
    <m/>
    <m/>
    <m/>
    <m/>
    <m/>
    <m/>
    <m/>
    <m/>
    <m/>
    <m/>
    <m/>
    <m/>
    <m/>
    <m/>
    <m/>
    <m/>
    <m/>
    <m/>
    <m/>
    <m/>
    <m/>
    <m/>
    <m/>
    <m/>
    <s v="B&amp;H &gt; Satisfaction &gt;, Trade In &gt; Overall Process &gt;"/>
    <s v="Trade In &gt; Overall Process &gt;"/>
    <m/>
    <m/>
    <s v="B&amp;H &gt; Satisfaction &gt; (No opinion), Trade In &gt; Overall Process &gt; (Positive)"/>
    <s v="Trade In &gt; Overall Process &gt; (Negative)"/>
    <s v="Yes"/>
    <s v="Yes"/>
    <m/>
    <x v="22"/>
    <x v="0"/>
    <x v="0"/>
    <m/>
    <x v="0"/>
    <x v="0"/>
  </r>
  <r>
    <s v="Thomas Hart - Used Trade-In Product"/>
    <n v="10"/>
    <n v="5"/>
    <d v="2026-02-20T10:08:47"/>
    <n v="5230003"/>
    <s v="Used Trade-In Product"/>
    <m/>
    <s v="Thomas Hart"/>
    <m/>
    <s v="thomas.hm.hart@gmail.com"/>
    <m/>
    <s v="Pawleys Island;South Carolina;29585"/>
    <m/>
    <m/>
    <s v="No"/>
    <m/>
    <m/>
    <s v="thomas.hm.hart@gmail.com"/>
    <m/>
    <m/>
    <m/>
    <m/>
    <m/>
    <m/>
    <m/>
    <m/>
    <m/>
    <d v="2026-02-23T09:58:55"/>
    <d v="2026-02-20T12:46:43"/>
    <m/>
    <s v="1141678"/>
    <m/>
    <m/>
    <m/>
    <m/>
    <m/>
    <m/>
    <m/>
    <m/>
    <m/>
    <m/>
    <m/>
    <m/>
    <m/>
    <m/>
    <m/>
    <m/>
    <m/>
    <m/>
    <m/>
    <m/>
    <m/>
    <m/>
    <s v="https://bnh.lightning.force.com/001WP00000szaMiYAI"/>
    <m/>
    <m/>
    <m/>
    <m/>
    <m/>
    <m/>
    <m/>
    <m/>
    <m/>
    <m/>
    <m/>
    <m/>
    <m/>
    <m/>
    <m/>
    <m/>
    <m/>
    <m/>
    <m/>
    <m/>
    <m/>
    <m/>
    <m/>
    <m/>
    <m/>
    <m/>
    <m/>
    <m/>
    <m/>
    <m/>
    <m/>
    <m/>
    <m/>
    <m/>
    <m/>
    <m/>
    <m/>
    <m/>
    <s v="CAD"/>
    <m/>
    <s v="No"/>
    <s v="Andrea Garcia"/>
    <s v="Andrea Garcia"/>
    <d v="2026-02-20T10:08:45"/>
    <s v="Promoter"/>
    <s v="Closed"/>
    <m/>
    <m/>
    <s v="Yes"/>
    <m/>
    <m/>
    <m/>
    <m/>
    <m/>
    <m/>
    <m/>
    <m/>
    <m/>
    <m/>
    <m/>
    <m/>
    <m/>
    <m/>
    <m/>
    <m/>
    <s v="Easy web experience."/>
    <m/>
    <m/>
    <m/>
    <m/>
    <s v="N/a"/>
    <m/>
    <m/>
    <m/>
    <m/>
    <m/>
    <m/>
    <m/>
    <m/>
    <m/>
    <m/>
    <m/>
    <m/>
    <m/>
    <m/>
    <m/>
    <m/>
    <m/>
    <m/>
    <m/>
    <m/>
    <m/>
    <m/>
    <m/>
    <m/>
    <m/>
    <m/>
    <m/>
    <m/>
    <m/>
    <m/>
    <m/>
    <m/>
    <m/>
    <m/>
    <m/>
    <m/>
    <m/>
    <m/>
    <m/>
    <m/>
    <m/>
    <m/>
    <m/>
    <m/>
    <m/>
    <m/>
    <m/>
    <m/>
    <m/>
    <m/>
    <m/>
    <m/>
    <m/>
    <m/>
    <m/>
    <m/>
    <m/>
    <m/>
    <m/>
    <m/>
    <m/>
    <m/>
    <m/>
    <m/>
    <m/>
    <m/>
    <m/>
    <m/>
    <m/>
    <m/>
    <m/>
    <m/>
    <m/>
    <m/>
    <m/>
    <m/>
    <m/>
    <m/>
    <m/>
    <m/>
    <m/>
    <m/>
    <s v="Easy web experienc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Kevin Lui - Used Trade-In Product"/>
    <n v="10"/>
    <n v="5"/>
    <d v="2026-02-20T09:49:58"/>
    <n v="5229919"/>
    <s v="Used Trade-In Product"/>
    <m/>
    <s v="Kevin Lui"/>
    <m/>
    <s v="kevinlui@bhphoto.com"/>
    <m/>
    <s v="New York;New York;10002"/>
    <m/>
    <s v="25 years 2 months"/>
    <s v="No"/>
    <m/>
    <m/>
    <s v="kevinlui@bhphoto.com"/>
    <s v="302"/>
    <m/>
    <m/>
    <m/>
    <m/>
    <m/>
    <m/>
    <m/>
    <m/>
    <d v="2026-02-20T12:26:50"/>
    <d v="2026-02-20T12:45:54"/>
    <m/>
    <s v="1144680"/>
    <m/>
    <m/>
    <m/>
    <m/>
    <m/>
    <m/>
    <m/>
    <m/>
    <m/>
    <m/>
    <m/>
    <m/>
    <m/>
    <m/>
    <m/>
    <m/>
    <m/>
    <m/>
    <m/>
    <m/>
    <m/>
    <m/>
    <s v="https://bnh.lightning.force.com/0011a00000Lhj37AAB"/>
    <m/>
    <m/>
    <m/>
    <m/>
    <m/>
    <m/>
    <m/>
    <m/>
    <m/>
    <m/>
    <m/>
    <m/>
    <m/>
    <m/>
    <m/>
    <m/>
    <m/>
    <m/>
    <m/>
    <m/>
    <m/>
    <m/>
    <m/>
    <m/>
    <m/>
    <m/>
    <m/>
    <m/>
    <m/>
    <m/>
    <m/>
    <m/>
    <m/>
    <m/>
    <m/>
    <m/>
    <m/>
    <m/>
    <s v="CAD"/>
    <m/>
    <s v="No"/>
    <s v="Nick Badame"/>
    <s v="Nick Badame"/>
    <d v="2026-02-20T09:50:16"/>
    <s v="Promoter"/>
    <s v="Closed"/>
    <m/>
    <m/>
    <s v="Yes"/>
    <m/>
    <m/>
    <m/>
    <m/>
    <m/>
    <m/>
    <m/>
    <m/>
    <m/>
    <m/>
    <m/>
    <m/>
    <m/>
    <m/>
    <m/>
    <m/>
    <s v="Easy transaction."/>
    <m/>
    <m/>
    <m/>
    <m/>
    <s v="Nothing, keep up the good work!"/>
    <m/>
    <m/>
    <m/>
    <m/>
    <m/>
    <m/>
    <m/>
    <m/>
    <m/>
    <m/>
    <m/>
    <m/>
    <m/>
    <m/>
    <m/>
    <m/>
    <m/>
    <m/>
    <m/>
    <m/>
    <m/>
    <m/>
    <m/>
    <m/>
    <m/>
    <m/>
    <m/>
    <m/>
    <m/>
    <m/>
    <m/>
    <m/>
    <m/>
    <m/>
    <m/>
    <m/>
    <m/>
    <m/>
    <m/>
    <m/>
    <m/>
    <m/>
    <m/>
    <m/>
    <m/>
    <m/>
    <m/>
    <m/>
    <m/>
    <m/>
    <m/>
    <m/>
    <m/>
    <m/>
    <m/>
    <m/>
    <m/>
    <m/>
    <m/>
    <m/>
    <m/>
    <m/>
    <m/>
    <m/>
    <m/>
    <m/>
    <m/>
    <m/>
    <m/>
    <m/>
    <m/>
    <m/>
    <m/>
    <m/>
    <m/>
    <m/>
    <m/>
    <m/>
    <m/>
    <m/>
    <m/>
    <m/>
    <s v="Easy transaction."/>
    <s v="Nothing, keep up the good wor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Satisfaction &gt;, Trade In &gt; Overall Process &gt;"/>
    <m/>
    <m/>
    <s v="Trade In &gt; Overall Process &gt; (Positive)"/>
    <s v="B&amp;H &gt; Satisfaction &gt; (Positive), Trade In &gt; Overall Process &gt; (Positive)"/>
    <s v="Yes"/>
    <s v="No"/>
    <m/>
    <x v="0"/>
    <x v="0"/>
    <x v="0"/>
    <m/>
    <x v="0"/>
    <x v="0"/>
  </r>
  <r>
    <s v="Steven Langbehn - Used Trade-In Product"/>
    <n v="10"/>
    <n v="5"/>
    <d v="2026-02-20T06:19:48"/>
    <n v="5229526"/>
    <s v="Used Trade-In Product"/>
    <m/>
    <s v="Steven Langbehn"/>
    <m/>
    <s v="stevenlangbehn26@gmail.com"/>
    <m/>
    <s v="Mt.Prospect;Illinois;60056"/>
    <m/>
    <m/>
    <s v="No"/>
    <m/>
    <m/>
    <s v="stevenlangbehn26@gmail.com"/>
    <m/>
    <m/>
    <m/>
    <m/>
    <m/>
    <m/>
    <m/>
    <m/>
    <m/>
    <d v="2026-02-20T08:56:02"/>
    <d v="2026-02-19T12:49:31"/>
    <m/>
    <s v="1141570"/>
    <m/>
    <m/>
    <m/>
    <m/>
    <m/>
    <m/>
    <m/>
    <m/>
    <m/>
    <m/>
    <m/>
    <m/>
    <m/>
    <m/>
    <m/>
    <m/>
    <m/>
    <m/>
    <m/>
    <m/>
    <m/>
    <m/>
    <s v="https://bnh.lightning.force.com/0011a00000IE8OkAAL"/>
    <m/>
    <m/>
    <m/>
    <m/>
    <m/>
    <m/>
    <m/>
    <m/>
    <m/>
    <m/>
    <m/>
    <m/>
    <m/>
    <m/>
    <m/>
    <m/>
    <m/>
    <m/>
    <m/>
    <m/>
    <m/>
    <m/>
    <m/>
    <m/>
    <m/>
    <m/>
    <m/>
    <m/>
    <m/>
    <m/>
    <m/>
    <m/>
    <m/>
    <m/>
    <m/>
    <m/>
    <m/>
    <m/>
    <s v="CAD"/>
    <m/>
    <s v="No"/>
    <s v="Freddy Gomez"/>
    <s v="Freddy Gomez"/>
    <d v="2026-02-20T06:15:49"/>
    <s v="Promoter"/>
    <s v="Closed"/>
    <m/>
    <m/>
    <s v="Yes"/>
    <m/>
    <m/>
    <m/>
    <m/>
    <m/>
    <m/>
    <m/>
    <m/>
    <m/>
    <m/>
    <m/>
    <m/>
    <m/>
    <m/>
    <m/>
    <m/>
    <s v="The action was prompt and painless. The dollar amount exceeded what I expected. I am very happy with your company thank you."/>
    <m/>
    <m/>
    <m/>
    <m/>
    <s v="Nothing."/>
    <m/>
    <m/>
    <m/>
    <m/>
    <m/>
    <m/>
    <m/>
    <m/>
    <m/>
    <m/>
    <m/>
    <m/>
    <m/>
    <m/>
    <m/>
    <m/>
    <m/>
    <m/>
    <m/>
    <m/>
    <m/>
    <m/>
    <m/>
    <m/>
    <m/>
    <m/>
    <m/>
    <m/>
    <m/>
    <m/>
    <m/>
    <m/>
    <m/>
    <m/>
    <m/>
    <m/>
    <m/>
    <m/>
    <m/>
    <m/>
    <m/>
    <m/>
    <m/>
    <m/>
    <m/>
    <m/>
    <m/>
    <m/>
    <m/>
    <m/>
    <m/>
    <m/>
    <m/>
    <m/>
    <m/>
    <m/>
    <m/>
    <m/>
    <m/>
    <m/>
    <m/>
    <m/>
    <m/>
    <m/>
    <m/>
    <m/>
    <m/>
    <m/>
    <m/>
    <m/>
    <m/>
    <m/>
    <m/>
    <m/>
    <m/>
    <m/>
    <m/>
    <m/>
    <m/>
    <m/>
    <m/>
    <m/>
    <s v="The action was prompt and painless. The dollar amount exceeded what I expected. I am very happy with your company thank you."/>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Satisfaction &gt;, Trade In &gt; Overall Process &gt;, Trade In &gt; Quote Price &gt;"/>
    <m/>
    <m/>
    <s v="B&amp;H &gt; Satisfaction &gt; (Positive)"/>
    <s v="B&amp;H &gt; Satisfaction &gt; (Positive), Trade In &gt; Overall Process &gt; (Positive), Trade In &gt; Quote Price &gt; (Positive)"/>
    <s v="Yes"/>
    <s v="No"/>
    <m/>
    <x v="5"/>
    <x v="18"/>
    <x v="0"/>
    <m/>
    <x v="0"/>
    <x v="0"/>
  </r>
  <r>
    <s v="Odalis Fernandez - Used Trade-In Product"/>
    <n v="10"/>
    <n v="5"/>
    <d v="2026-02-19T18:16:29"/>
    <n v="5228613"/>
    <s v="Used Trade-In Product"/>
    <m/>
    <s v="Odalis Fernandez"/>
    <m/>
    <s v="odalisrfernandez@gmail.com"/>
    <m/>
    <s v="New York;New York;10039"/>
    <m/>
    <m/>
    <s v="No"/>
    <m/>
    <m/>
    <s v="odalisrfernandez@gmail.com"/>
    <m/>
    <m/>
    <m/>
    <m/>
    <m/>
    <m/>
    <m/>
    <m/>
    <m/>
    <d v="2026-02-20T08:35:12"/>
    <d v="2026-02-19T12:50:49"/>
    <m/>
    <s v="1140522"/>
    <m/>
    <m/>
    <m/>
    <m/>
    <m/>
    <m/>
    <m/>
    <m/>
    <m/>
    <m/>
    <m/>
    <m/>
    <m/>
    <m/>
    <m/>
    <m/>
    <m/>
    <m/>
    <m/>
    <m/>
    <m/>
    <m/>
    <s v="https://bnh.lightning.force.com/001WP00000s9hBcYAI"/>
    <m/>
    <m/>
    <m/>
    <m/>
    <m/>
    <m/>
    <m/>
    <m/>
    <m/>
    <m/>
    <m/>
    <m/>
    <m/>
    <m/>
    <m/>
    <m/>
    <m/>
    <m/>
    <m/>
    <m/>
    <m/>
    <m/>
    <m/>
    <m/>
    <m/>
    <m/>
    <m/>
    <m/>
    <m/>
    <m/>
    <m/>
    <m/>
    <m/>
    <m/>
    <m/>
    <m/>
    <m/>
    <m/>
    <s v="CAD"/>
    <m/>
    <s v="No"/>
    <s v="Zane Bohnert"/>
    <s v="Zane Bohnert"/>
    <d v="2026-02-19T18:17:39"/>
    <s v="Promoter"/>
    <s v="Closed"/>
    <m/>
    <m/>
    <s v="Yes"/>
    <m/>
    <m/>
    <m/>
    <m/>
    <m/>
    <m/>
    <m/>
    <m/>
    <m/>
    <m/>
    <m/>
    <m/>
    <m/>
    <m/>
    <m/>
    <m/>
    <s v="Simplicity.."/>
    <m/>
    <m/>
    <m/>
    <m/>
    <s v="Nothing, everything went smooth."/>
    <m/>
    <m/>
    <m/>
    <m/>
    <m/>
    <m/>
    <m/>
    <m/>
    <m/>
    <m/>
    <m/>
    <m/>
    <m/>
    <m/>
    <m/>
    <m/>
    <m/>
    <m/>
    <m/>
    <m/>
    <m/>
    <m/>
    <m/>
    <m/>
    <m/>
    <m/>
    <m/>
    <m/>
    <m/>
    <m/>
    <m/>
    <m/>
    <m/>
    <m/>
    <m/>
    <m/>
    <m/>
    <m/>
    <m/>
    <m/>
    <m/>
    <m/>
    <m/>
    <m/>
    <m/>
    <m/>
    <m/>
    <m/>
    <m/>
    <m/>
    <m/>
    <m/>
    <m/>
    <m/>
    <m/>
    <m/>
    <m/>
    <m/>
    <m/>
    <m/>
    <m/>
    <m/>
    <m/>
    <m/>
    <m/>
    <m/>
    <m/>
    <m/>
    <m/>
    <m/>
    <m/>
    <m/>
    <m/>
    <m/>
    <m/>
    <m/>
    <m/>
    <m/>
    <m/>
    <m/>
    <m/>
    <m/>
    <s v="Simplicity.."/>
    <s v="Nothing, everything went smoot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5"/>
    <x v="0"/>
    <x v="0"/>
    <m/>
    <x v="0"/>
    <x v="0"/>
  </r>
  <r>
    <s v="Michael Clark - Used Trade-In Product"/>
    <n v="10"/>
    <n v="5"/>
    <d v="2026-02-19T17:12:48"/>
    <n v="5228471"/>
    <s v="Used Trade-In Product"/>
    <m/>
    <s v="Michael Clark"/>
    <m/>
    <s v="mjccomputer25@gmail.com"/>
    <m/>
    <s v="North Hollywood;California;91606"/>
    <m/>
    <m/>
    <s v="No"/>
    <m/>
    <m/>
    <s v="mjccomputer25@gmail.com"/>
    <m/>
    <m/>
    <m/>
    <m/>
    <m/>
    <m/>
    <m/>
    <m/>
    <m/>
    <d v="2026-02-20T09:30:55"/>
    <d v="2026-02-19T12:49:45"/>
    <m/>
    <s v="1141321"/>
    <m/>
    <m/>
    <m/>
    <m/>
    <m/>
    <m/>
    <m/>
    <m/>
    <m/>
    <m/>
    <m/>
    <m/>
    <m/>
    <m/>
    <m/>
    <m/>
    <m/>
    <m/>
    <m/>
    <m/>
    <m/>
    <m/>
    <s v="https://bnh.lightning.force.com/001WP00000sfp37YAA"/>
    <m/>
    <m/>
    <m/>
    <m/>
    <m/>
    <m/>
    <m/>
    <m/>
    <m/>
    <m/>
    <m/>
    <m/>
    <m/>
    <m/>
    <m/>
    <m/>
    <m/>
    <m/>
    <m/>
    <m/>
    <m/>
    <m/>
    <m/>
    <m/>
    <m/>
    <m/>
    <m/>
    <m/>
    <m/>
    <m/>
    <m/>
    <m/>
    <m/>
    <m/>
    <m/>
    <m/>
    <m/>
    <m/>
    <s v="CAD"/>
    <m/>
    <s v="No"/>
    <s v="Nick Badame"/>
    <s v="Nick Badame"/>
    <d v="2026-02-19T17:11:22"/>
    <s v="Promoter"/>
    <s v="Closed"/>
    <m/>
    <m/>
    <s v="Yes"/>
    <m/>
    <m/>
    <m/>
    <m/>
    <m/>
    <m/>
    <m/>
    <m/>
    <m/>
    <m/>
    <m/>
    <m/>
    <m/>
    <m/>
    <m/>
    <m/>
    <s v="Easy transaction. Fair quotes."/>
    <m/>
    <m/>
    <m/>
    <m/>
    <s v="N/A"/>
    <m/>
    <m/>
    <m/>
    <m/>
    <m/>
    <m/>
    <m/>
    <m/>
    <m/>
    <m/>
    <m/>
    <m/>
    <m/>
    <m/>
    <m/>
    <m/>
    <m/>
    <m/>
    <m/>
    <m/>
    <m/>
    <m/>
    <m/>
    <m/>
    <m/>
    <m/>
    <m/>
    <m/>
    <m/>
    <m/>
    <m/>
    <m/>
    <m/>
    <m/>
    <m/>
    <m/>
    <m/>
    <m/>
    <m/>
    <m/>
    <m/>
    <m/>
    <m/>
    <m/>
    <m/>
    <m/>
    <m/>
    <m/>
    <m/>
    <m/>
    <m/>
    <m/>
    <m/>
    <m/>
    <m/>
    <m/>
    <m/>
    <m/>
    <m/>
    <m/>
    <m/>
    <m/>
    <m/>
    <m/>
    <m/>
    <m/>
    <m/>
    <m/>
    <m/>
    <m/>
    <m/>
    <m/>
    <m/>
    <m/>
    <m/>
    <m/>
    <m/>
    <m/>
    <m/>
    <m/>
    <m/>
    <m/>
    <s v="Easy transaction. Fair quotes."/>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Positive)"/>
    <s v="Trade In &gt; Overall Process &gt; (Positive), Trade In &gt; Quote Price &gt; (Positive)"/>
    <s v="Yes"/>
    <s v="No"/>
    <m/>
    <x v="0"/>
    <x v="15"/>
    <x v="0"/>
    <m/>
    <x v="0"/>
    <x v="0"/>
  </r>
  <r>
    <s v="Layton Wakatsuki - Used Trade-In Product"/>
    <n v="10"/>
    <n v="5"/>
    <d v="2026-02-19T11:15:27"/>
    <n v="5227462"/>
    <s v="Used Trade-In Product"/>
    <m/>
    <s v="Layton Wakatsuki"/>
    <m/>
    <s v="lwakatsuki@gmail.com"/>
    <m/>
    <s v="Seattle;Washington;98177"/>
    <m/>
    <s v="15 years 9 months"/>
    <s v="Yes"/>
    <m/>
    <m/>
    <s v="lwakatsuki@gmail.com"/>
    <s v="189"/>
    <m/>
    <m/>
    <m/>
    <m/>
    <m/>
    <m/>
    <m/>
    <m/>
    <d v="2026-02-19T13:41:14"/>
    <d v="2026-02-19T12:50:14"/>
    <m/>
    <s v="1140150"/>
    <m/>
    <m/>
    <m/>
    <m/>
    <m/>
    <m/>
    <m/>
    <m/>
    <m/>
    <m/>
    <m/>
    <m/>
    <m/>
    <m/>
    <m/>
    <m/>
    <m/>
    <m/>
    <m/>
    <m/>
    <m/>
    <m/>
    <s v="https://bnh.lightning.force.com/001WP00000iTrstYAC"/>
    <m/>
    <m/>
    <m/>
    <m/>
    <m/>
    <m/>
    <m/>
    <m/>
    <m/>
    <m/>
    <m/>
    <m/>
    <m/>
    <m/>
    <m/>
    <m/>
    <m/>
    <m/>
    <m/>
    <m/>
    <m/>
    <m/>
    <m/>
    <m/>
    <m/>
    <m/>
    <m/>
    <m/>
    <m/>
    <m/>
    <m/>
    <m/>
    <m/>
    <m/>
    <m/>
    <m/>
    <m/>
    <m/>
    <s v="CAD"/>
    <m/>
    <s v="No"/>
    <s v="Aine Hoye"/>
    <s v="Aine Hoye"/>
    <d v="2026-02-19T11:15:47"/>
    <s v="Promoter"/>
    <s v="Closed"/>
    <m/>
    <m/>
    <s v="Yes"/>
    <m/>
    <m/>
    <m/>
    <m/>
    <m/>
    <m/>
    <m/>
    <m/>
    <m/>
    <m/>
    <m/>
    <m/>
    <m/>
    <m/>
    <m/>
    <m/>
    <s v="Very efficient process from beginning to end - good job!"/>
    <m/>
    <m/>
    <m/>
    <m/>
    <m/>
    <m/>
    <m/>
    <m/>
    <m/>
    <m/>
    <m/>
    <m/>
    <m/>
    <m/>
    <m/>
    <m/>
    <m/>
    <m/>
    <m/>
    <m/>
    <m/>
    <m/>
    <m/>
    <m/>
    <m/>
    <m/>
    <m/>
    <m/>
    <m/>
    <m/>
    <m/>
    <m/>
    <m/>
    <m/>
    <m/>
    <m/>
    <m/>
    <m/>
    <m/>
    <m/>
    <m/>
    <m/>
    <m/>
    <m/>
    <m/>
    <m/>
    <m/>
    <m/>
    <m/>
    <m/>
    <m/>
    <m/>
    <m/>
    <m/>
    <m/>
    <m/>
    <m/>
    <m/>
    <m/>
    <m/>
    <m/>
    <m/>
    <m/>
    <m/>
    <m/>
    <m/>
    <m/>
    <m/>
    <m/>
    <m/>
    <m/>
    <m/>
    <m/>
    <m/>
    <m/>
    <m/>
    <m/>
    <m/>
    <m/>
    <m/>
    <m/>
    <m/>
    <m/>
    <m/>
    <m/>
    <m/>
    <m/>
    <s v="Very efficient process from beginning to end - good jo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Strongly positive)"/>
    <s v="Trade In &gt; Overall Process &gt; (Positive)"/>
    <s v="Yes"/>
    <s v="Yes"/>
    <m/>
    <x v="23"/>
    <x v="0"/>
    <x v="0"/>
    <m/>
    <x v="0"/>
    <x v="0"/>
  </r>
  <r>
    <s v="Arthur Dougherty - Used Trade-In Product"/>
    <n v="10"/>
    <n v="5"/>
    <d v="2026-02-19T09:50:46"/>
    <n v="5227149"/>
    <s v="Used Trade-In Product"/>
    <m/>
    <s v="Arthur Dougherty"/>
    <m/>
    <s v="arthurdougherty@gmail.com"/>
    <m/>
    <s v="Maplewood;New Jersey;07040"/>
    <s v="Maplewood;New Jersey;07040"/>
    <s v="12 years 7 months"/>
    <s v="No"/>
    <m/>
    <m/>
    <s v="arthurdougherty@gmail.com"/>
    <s v="151"/>
    <m/>
    <m/>
    <m/>
    <m/>
    <m/>
    <m/>
    <m/>
    <m/>
    <d v="2026-02-19T13:52:33"/>
    <d v="2026-02-19T12:49:26"/>
    <m/>
    <s v="1141822"/>
    <m/>
    <m/>
    <m/>
    <m/>
    <m/>
    <m/>
    <m/>
    <m/>
    <m/>
    <m/>
    <m/>
    <m/>
    <m/>
    <m/>
    <m/>
    <m/>
    <m/>
    <m/>
    <m/>
    <m/>
    <m/>
    <m/>
    <s v="https://bnh.lightning.force.com/0012L000012L8UHQA0"/>
    <m/>
    <m/>
    <m/>
    <m/>
    <m/>
    <m/>
    <m/>
    <m/>
    <m/>
    <m/>
    <m/>
    <m/>
    <m/>
    <m/>
    <m/>
    <m/>
    <m/>
    <m/>
    <m/>
    <m/>
    <m/>
    <m/>
    <m/>
    <m/>
    <m/>
    <m/>
    <m/>
    <m/>
    <m/>
    <m/>
    <m/>
    <m/>
    <m/>
    <m/>
    <m/>
    <m/>
    <m/>
    <m/>
    <s v="CAD"/>
    <m/>
    <s v="No"/>
    <s v="Gershon Orenstein"/>
    <s v="Gershon Orenstein"/>
    <d v="2026-02-19T09:51:01"/>
    <s v="Promoter"/>
    <s v="Closed"/>
    <m/>
    <m/>
    <s v="Yes"/>
    <m/>
    <m/>
    <m/>
    <m/>
    <m/>
    <m/>
    <m/>
    <m/>
    <m/>
    <m/>
    <m/>
    <m/>
    <m/>
    <m/>
    <m/>
    <m/>
    <s v="It was very quick overall and basically very easy"/>
    <m/>
    <m/>
    <m/>
    <m/>
    <s v="If you can't find your exact item in the list, it can be a little tricky to enter it"/>
    <m/>
    <m/>
    <m/>
    <m/>
    <m/>
    <m/>
    <m/>
    <m/>
    <m/>
    <m/>
    <m/>
    <m/>
    <m/>
    <m/>
    <m/>
    <m/>
    <m/>
    <m/>
    <m/>
    <m/>
    <m/>
    <m/>
    <m/>
    <m/>
    <m/>
    <m/>
    <m/>
    <m/>
    <m/>
    <m/>
    <m/>
    <m/>
    <m/>
    <m/>
    <m/>
    <m/>
    <m/>
    <m/>
    <m/>
    <m/>
    <m/>
    <m/>
    <m/>
    <m/>
    <m/>
    <m/>
    <m/>
    <m/>
    <m/>
    <m/>
    <m/>
    <m/>
    <m/>
    <m/>
    <m/>
    <m/>
    <m/>
    <m/>
    <m/>
    <m/>
    <m/>
    <m/>
    <m/>
    <m/>
    <m/>
    <m/>
    <m/>
    <m/>
    <m/>
    <m/>
    <m/>
    <m/>
    <m/>
    <m/>
    <m/>
    <m/>
    <m/>
    <m/>
    <m/>
    <m/>
    <m/>
    <m/>
    <s v="It was very quick overall and basically very easy"/>
    <s v="If you can't find your exact item in the list, it can be a little tricky to enter i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3"/>
    <n v="5"/>
    <m/>
    <m/>
    <m/>
    <m/>
    <m/>
    <m/>
    <n v="5"/>
    <n v="5"/>
    <n v="5"/>
    <n v="5"/>
    <m/>
    <m/>
    <m/>
    <m/>
    <m/>
    <m/>
    <m/>
    <m/>
    <m/>
    <m/>
    <m/>
    <m/>
    <m/>
    <m/>
    <m/>
    <m/>
    <m/>
    <m/>
    <m/>
    <m/>
    <m/>
    <m/>
    <m/>
    <m/>
    <m/>
    <m/>
    <m/>
    <m/>
    <m/>
    <m/>
    <m/>
    <m/>
    <m/>
    <m/>
    <m/>
    <m/>
    <m/>
    <m/>
    <m/>
    <m/>
    <m/>
    <m/>
    <m/>
    <m/>
    <m/>
    <m/>
    <m/>
    <m/>
    <m/>
    <m/>
    <m/>
    <m/>
    <m/>
    <m/>
    <m/>
    <m/>
    <m/>
    <m/>
    <m/>
    <m/>
    <m/>
    <m/>
    <m/>
    <m/>
    <m/>
    <m/>
    <m/>
    <m/>
    <m/>
    <m/>
    <m/>
    <m/>
    <m/>
    <m/>
    <m/>
    <m/>
    <m/>
    <m/>
    <m/>
    <m/>
    <m/>
    <m/>
    <m/>
    <m/>
    <m/>
    <m/>
    <m/>
    <m/>
    <m/>
    <m/>
    <m/>
    <m/>
    <m/>
    <m/>
    <m/>
    <m/>
    <m/>
    <m/>
    <m/>
    <m/>
    <m/>
    <m/>
    <s v="Trade In &gt; Overall Process &gt;, Trade In &gt; Timeliness of Payment &gt;, Trade In &gt; Timeliness of Quote &gt;, Website &gt; Search Function &gt;"/>
    <m/>
    <m/>
    <m/>
    <s v="Trade In &gt; Overall Process &gt; (Negative), Trade In &gt; Overall Process &gt; (Strongly positive), Trade In &gt; Timeliness of Payment &gt; (Strongly positive), Trade In &gt; Timeliness of Quote &gt; (Strongly positive), Website &gt; Search Function &gt; (Negative)"/>
    <s v="Yes"/>
    <s v="No"/>
    <m/>
    <x v="0"/>
    <x v="23"/>
    <x v="0"/>
    <m/>
    <x v="0"/>
    <x v="0"/>
  </r>
  <r>
    <s v="Darcy Demmel - Used Trade-In Product"/>
    <n v="0"/>
    <n v="1"/>
    <d v="2026-02-19T09:06:57"/>
    <n v="5226961"/>
    <s v="Used Trade-In Product"/>
    <m/>
    <s v="Darcy Demmel"/>
    <m/>
    <s v="darcy@darcydemmel.com"/>
    <m/>
    <s v="Falls City;Nebraska;68355"/>
    <s v="Falls City;Nebraska;68355"/>
    <s v="14 years 1 months"/>
    <s v="No"/>
    <m/>
    <m/>
    <s v="darcy@darcydemmel.com"/>
    <s v="169"/>
    <m/>
    <m/>
    <m/>
    <m/>
    <m/>
    <m/>
    <m/>
    <m/>
    <d v="2026-02-20T13:01:11"/>
    <d v="2026-02-04T20:26:59"/>
    <m/>
    <s v="1139034"/>
    <m/>
    <m/>
    <m/>
    <m/>
    <m/>
    <m/>
    <m/>
    <m/>
    <m/>
    <m/>
    <m/>
    <m/>
    <m/>
    <m/>
    <m/>
    <m/>
    <m/>
    <m/>
    <m/>
    <m/>
    <m/>
    <m/>
    <s v="https://bnh.lightning.force.com/001Hs00005fswuqIAA"/>
    <m/>
    <m/>
    <m/>
    <m/>
    <m/>
    <m/>
    <m/>
    <m/>
    <m/>
    <m/>
    <m/>
    <m/>
    <m/>
    <m/>
    <m/>
    <m/>
    <m/>
    <m/>
    <m/>
    <m/>
    <m/>
    <m/>
    <m/>
    <m/>
    <m/>
    <m/>
    <m/>
    <m/>
    <m/>
    <m/>
    <m/>
    <m/>
    <m/>
    <m/>
    <m/>
    <m/>
    <m/>
    <m/>
    <s v="CAD"/>
    <m/>
    <s v="No"/>
    <s v="Sergio Jonusas,Avraham Schwartz,Reina Caba"/>
    <s v="Reina Caba"/>
    <d v="2026-02-19T09:05:15"/>
    <s v="Detractor "/>
    <s v="Closed"/>
    <d v="2026-02-20T13:00:55"/>
    <s v="Reina Caba (reinac@bhphoto.com)"/>
    <s v="Yes"/>
    <m/>
    <m/>
    <m/>
    <m/>
    <m/>
    <m/>
    <m/>
    <m/>
    <m/>
    <m/>
    <m/>
    <m/>
    <m/>
    <m/>
    <m/>
    <m/>
    <s v="I had an awful experience. Someone called me in the fall of 2025 and told me my camera was rejected.  However, if I replaced the shutter mechanism on my camera I could then resell my camera. I spent $700 getting it fixed, sent it back in and they rejected it again. I will never do business with Bh again.  They also did nothing to make this right."/>
    <m/>
    <m/>
    <m/>
    <m/>
    <s v="I had an awful experience. Someone called me in the fall of 2025 and told me my camera was rejected.  However, if I replaced the shutter mechanism on my camera I could then resell my camera. I spent $700 getting it fixed, sent it back in and they rejected it again. I will never do business with Bh again.  They also did nothing to make this right."/>
    <m/>
    <m/>
    <m/>
    <m/>
    <m/>
    <m/>
    <m/>
    <m/>
    <m/>
    <m/>
    <m/>
    <m/>
    <m/>
    <m/>
    <m/>
    <m/>
    <m/>
    <m/>
    <m/>
    <m/>
    <m/>
    <m/>
    <m/>
    <m/>
    <m/>
    <m/>
    <m/>
    <m/>
    <m/>
    <m/>
    <m/>
    <m/>
    <m/>
    <m/>
    <m/>
    <m/>
    <m/>
    <m/>
    <m/>
    <m/>
    <m/>
    <m/>
    <m/>
    <m/>
    <m/>
    <m/>
    <m/>
    <m/>
    <m/>
    <m/>
    <m/>
    <m/>
    <m/>
    <m/>
    <m/>
    <m/>
    <m/>
    <m/>
    <m/>
    <m/>
    <m/>
    <m/>
    <m/>
    <m/>
    <m/>
    <m/>
    <m/>
    <m/>
    <m/>
    <m/>
    <m/>
    <m/>
    <m/>
    <m/>
    <m/>
    <m/>
    <m/>
    <m/>
    <m/>
    <m/>
    <m/>
    <m/>
    <s v="I had an awful experience. Someone called me in the fall of 2025 and told me my camera was rejected.  However, if I replaced the shutter mechanism on my camera I could then resell my camera. I spent $700 getting it fixed, sent it back in and they rejected it again. I will never do business with Bh again.  They also did nothing to make this right."/>
    <s v="I had an awful experience. Someone called me in the fall of 2025 and told me my camera was rejected.  However, if I replaced the shutter mechanism on my camera I could then resell my camera. I spent $700 getting it fixed, sent it back in and they rejected it again. I will never do business with Bh again.  They also did nothing to make this righ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1"/>
    <m/>
    <m/>
    <m/>
    <m/>
    <n v="1"/>
    <n v="1"/>
    <m/>
    <m/>
    <m/>
    <m/>
    <m/>
    <m/>
    <n v="1"/>
    <n v="1"/>
    <n v="1"/>
    <n v="1"/>
    <m/>
    <m/>
    <m/>
    <m/>
    <m/>
    <m/>
    <m/>
    <m/>
    <m/>
    <m/>
    <m/>
    <m/>
    <m/>
    <m/>
    <m/>
    <m/>
    <m/>
    <m/>
    <m/>
    <m/>
    <m/>
    <m/>
    <m/>
    <m/>
    <m/>
    <m/>
    <m/>
    <m/>
    <m/>
    <m/>
    <m/>
    <m/>
    <m/>
    <m/>
    <m/>
    <m/>
    <m/>
    <m/>
    <m/>
    <m/>
    <m/>
    <m/>
    <m/>
    <m/>
    <m/>
    <m/>
    <m/>
    <m/>
    <m/>
    <m/>
    <m/>
    <m/>
    <m/>
    <m/>
    <m/>
    <m/>
    <m/>
    <m/>
    <m/>
    <m/>
    <m/>
    <m/>
    <m/>
    <m/>
    <m/>
    <m/>
    <m/>
    <m/>
    <m/>
    <m/>
    <m/>
    <m/>
    <m/>
    <m/>
    <m/>
    <m/>
    <m/>
    <m/>
    <m/>
    <m/>
    <m/>
    <m/>
    <m/>
    <m/>
    <m/>
    <m/>
    <m/>
    <m/>
    <m/>
    <m/>
    <m/>
    <m/>
    <m/>
    <m/>
    <m/>
    <m/>
    <m/>
    <m/>
    <m/>
    <m/>
    <m/>
    <s v="B&amp;H &gt; Satisfaction &gt;"/>
    <s v="B&amp;H &gt; Satisfaction &gt;, Trade In &gt; Overall Process &gt;"/>
    <m/>
    <m/>
    <s v="B&amp;H &gt; Satisfaction &gt; (Strongly negative)"/>
    <s v="B&amp;H &gt; Satisfaction &gt; (Strongly negative), Trade In &gt; Overall Process &gt; (Negative)"/>
    <s v="Yes"/>
    <s v="No"/>
    <m/>
    <x v="24"/>
    <x v="0"/>
    <x v="0"/>
    <m/>
    <x v="0"/>
    <x v="0"/>
  </r>
  <r>
    <s v="Scott Kenney - Used Trade-In Product"/>
    <n v="10"/>
    <n v="5"/>
    <d v="2026-02-19T07:09:14"/>
    <n v="5226804"/>
    <s v="Used Trade-In Product"/>
    <m/>
    <s v="Scott Kenney"/>
    <m/>
    <s v="scottkenney@verizon.net"/>
    <m/>
    <s v="Williamsburg;Virginia;23188"/>
    <s v="Williamsburg;Virginia;23188"/>
    <s v="7 years 3 months"/>
    <s v="No"/>
    <m/>
    <m/>
    <s v="scottkenney@verizon.net"/>
    <s v="87"/>
    <m/>
    <m/>
    <m/>
    <m/>
    <m/>
    <m/>
    <m/>
    <m/>
    <d v="2026-02-19T09:22:45"/>
    <d v="2026-02-18T16:21:31"/>
    <m/>
    <s v="1143822"/>
    <m/>
    <m/>
    <m/>
    <m/>
    <m/>
    <m/>
    <m/>
    <m/>
    <m/>
    <m/>
    <m/>
    <m/>
    <m/>
    <m/>
    <m/>
    <m/>
    <m/>
    <m/>
    <m/>
    <m/>
    <m/>
    <m/>
    <s v="https://bnh.lightning.force.com/001Hs00005DGZbUIAX"/>
    <m/>
    <m/>
    <m/>
    <m/>
    <m/>
    <m/>
    <m/>
    <m/>
    <m/>
    <m/>
    <m/>
    <m/>
    <m/>
    <m/>
    <m/>
    <m/>
    <m/>
    <m/>
    <m/>
    <m/>
    <m/>
    <m/>
    <m/>
    <m/>
    <m/>
    <m/>
    <m/>
    <m/>
    <m/>
    <m/>
    <m/>
    <m/>
    <m/>
    <m/>
    <m/>
    <m/>
    <m/>
    <m/>
    <s v="CAD"/>
    <m/>
    <s v="No"/>
    <s v="Freddy Gomez"/>
    <s v="Freddy Gomez"/>
    <d v="2026-02-19T07:07:49"/>
    <s v="Promoter"/>
    <s v="Closed"/>
    <m/>
    <m/>
    <s v="Yes"/>
    <m/>
    <m/>
    <m/>
    <m/>
    <m/>
    <m/>
    <m/>
    <m/>
    <m/>
    <m/>
    <m/>
    <m/>
    <m/>
    <m/>
    <m/>
    <m/>
    <s v="Unfortunately, the equipment I sent in did not meet your standards, but the service was fantastic. You will be shipping my equipment back to me. No charge."/>
    <m/>
    <m/>
    <m/>
    <m/>
    <m/>
    <m/>
    <m/>
    <m/>
    <m/>
    <m/>
    <m/>
    <m/>
    <m/>
    <m/>
    <m/>
    <m/>
    <m/>
    <m/>
    <m/>
    <m/>
    <m/>
    <m/>
    <m/>
    <m/>
    <m/>
    <m/>
    <m/>
    <m/>
    <m/>
    <m/>
    <m/>
    <m/>
    <m/>
    <m/>
    <m/>
    <m/>
    <m/>
    <m/>
    <m/>
    <m/>
    <m/>
    <m/>
    <m/>
    <m/>
    <m/>
    <m/>
    <m/>
    <m/>
    <m/>
    <m/>
    <m/>
    <m/>
    <m/>
    <m/>
    <m/>
    <m/>
    <m/>
    <m/>
    <m/>
    <m/>
    <m/>
    <m/>
    <m/>
    <m/>
    <m/>
    <m/>
    <m/>
    <m/>
    <m/>
    <m/>
    <m/>
    <m/>
    <m/>
    <m/>
    <m/>
    <m/>
    <m/>
    <m/>
    <m/>
    <m/>
    <m/>
    <m/>
    <m/>
    <m/>
    <m/>
    <m/>
    <m/>
    <s v="Unfortunately, the equipment I sent in did not meet your standards, but the service was fantastic. You will be shipping my equipment back to me. No charg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s v="N/A"/>
    <m/>
    <m/>
    <m/>
    <m/>
    <n v="5"/>
    <n v="5"/>
    <m/>
    <m/>
    <m/>
    <m/>
    <m/>
    <m/>
    <n v="5"/>
    <n v="5"/>
    <n v="5"/>
    <s v="N/A"/>
    <m/>
    <m/>
    <m/>
    <m/>
    <m/>
    <m/>
    <m/>
    <m/>
    <m/>
    <m/>
    <m/>
    <m/>
    <m/>
    <m/>
    <m/>
    <m/>
    <m/>
    <m/>
    <m/>
    <m/>
    <m/>
    <m/>
    <m/>
    <m/>
    <m/>
    <m/>
    <m/>
    <m/>
    <m/>
    <m/>
    <m/>
    <m/>
    <m/>
    <m/>
    <m/>
    <m/>
    <m/>
    <m/>
    <m/>
    <m/>
    <m/>
    <m/>
    <m/>
    <m/>
    <m/>
    <m/>
    <m/>
    <m/>
    <m/>
    <m/>
    <m/>
    <m/>
    <m/>
    <m/>
    <m/>
    <m/>
    <m/>
    <m/>
    <m/>
    <m/>
    <m/>
    <m/>
    <m/>
    <m/>
    <m/>
    <m/>
    <m/>
    <m/>
    <m/>
    <m/>
    <m/>
    <m/>
    <m/>
    <m/>
    <m/>
    <m/>
    <m/>
    <m/>
    <m/>
    <m/>
    <m/>
    <m/>
    <m/>
    <m/>
    <m/>
    <m/>
    <m/>
    <m/>
    <m/>
    <m/>
    <m/>
    <m/>
    <m/>
    <m/>
    <m/>
    <m/>
    <m/>
    <m/>
    <m/>
    <m/>
    <m/>
    <m/>
    <s v="B&amp;H &gt; Policy &gt;, Trade In &gt; Overall Process &gt;"/>
    <m/>
    <s v="NEUTRAL"/>
    <m/>
    <s v="B&amp;H &gt; Policy &gt; (Negative), Trade In &gt; Overall Process &gt; (No opinion), Trade In &gt; Overall Process &gt; (Positive)"/>
    <s v="Yes"/>
    <s v="Yes"/>
    <m/>
    <x v="24"/>
    <x v="0"/>
    <x v="0"/>
    <m/>
    <x v="0"/>
    <x v="0"/>
  </r>
  <r>
    <s v="Marlene Allen - Used Trade-In Product"/>
    <n v="10"/>
    <n v="5"/>
    <d v="2026-02-18T22:43:05"/>
    <n v="5226458"/>
    <s v="Used Trade-In Product"/>
    <m/>
    <s v="Marlene Allen"/>
    <m/>
    <s v="teacher20ca@gmail.com"/>
    <m/>
    <s v="Raleigh;North Carolina;27614"/>
    <s v="Raleigh;North Carolina;27614"/>
    <s v="11 years 7 months"/>
    <s v="No"/>
    <m/>
    <m/>
    <s v="teacher20ca@gmail.com"/>
    <s v="139"/>
    <m/>
    <m/>
    <m/>
    <m/>
    <m/>
    <m/>
    <m/>
    <m/>
    <d v="2026-02-19T10:01:32"/>
    <d v="2026-02-18T12:48:30"/>
    <m/>
    <s v="1139973"/>
    <m/>
    <m/>
    <m/>
    <m/>
    <m/>
    <m/>
    <m/>
    <m/>
    <m/>
    <m/>
    <m/>
    <m/>
    <m/>
    <m/>
    <m/>
    <m/>
    <m/>
    <m/>
    <m/>
    <m/>
    <m/>
    <m/>
    <s v="https://bnh.lightning.force.com/0018X00003BQFHcQAP"/>
    <m/>
    <m/>
    <m/>
    <m/>
    <m/>
    <m/>
    <m/>
    <m/>
    <m/>
    <m/>
    <m/>
    <m/>
    <m/>
    <m/>
    <m/>
    <m/>
    <m/>
    <m/>
    <m/>
    <m/>
    <m/>
    <m/>
    <m/>
    <m/>
    <m/>
    <m/>
    <m/>
    <m/>
    <m/>
    <m/>
    <m/>
    <m/>
    <m/>
    <m/>
    <m/>
    <m/>
    <m/>
    <m/>
    <s v="CAD"/>
    <m/>
    <s v="No"/>
    <s v="Freddy Gomez"/>
    <s v="Freddy Gomez"/>
    <d v="2026-02-18T22:40:50"/>
    <s v="Promoter"/>
    <s v="Closed"/>
    <m/>
    <m/>
    <s v="Yes"/>
    <m/>
    <m/>
    <m/>
    <m/>
    <m/>
    <m/>
    <m/>
    <m/>
    <m/>
    <m/>
    <m/>
    <m/>
    <m/>
    <m/>
    <m/>
    <m/>
    <s v="The ease of selling my gear. Higher quote than the competition for lenses."/>
    <m/>
    <m/>
    <m/>
    <m/>
    <s v="Some of the lenses were brand new. I received half of what they were selling for on your website."/>
    <m/>
    <m/>
    <m/>
    <m/>
    <m/>
    <m/>
    <m/>
    <m/>
    <m/>
    <m/>
    <m/>
    <m/>
    <m/>
    <m/>
    <m/>
    <m/>
    <m/>
    <m/>
    <m/>
    <m/>
    <m/>
    <m/>
    <m/>
    <m/>
    <m/>
    <m/>
    <m/>
    <m/>
    <m/>
    <m/>
    <m/>
    <m/>
    <m/>
    <m/>
    <m/>
    <m/>
    <m/>
    <m/>
    <m/>
    <m/>
    <m/>
    <m/>
    <m/>
    <m/>
    <m/>
    <m/>
    <m/>
    <m/>
    <m/>
    <m/>
    <m/>
    <m/>
    <m/>
    <m/>
    <m/>
    <m/>
    <m/>
    <m/>
    <m/>
    <m/>
    <m/>
    <m/>
    <m/>
    <m/>
    <m/>
    <m/>
    <m/>
    <m/>
    <m/>
    <m/>
    <m/>
    <m/>
    <m/>
    <m/>
    <m/>
    <m/>
    <m/>
    <m/>
    <m/>
    <m/>
    <m/>
    <m/>
    <s v="The ease of selling my gear. Higher quote than the competition for lenses."/>
    <s v="Some of the lenses were brand new. I received half of what they were selling for on your websi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Competitor Mentions &gt;, Trade In &gt; Overall Process &gt;, Trade In &gt; Quote Price &gt;"/>
    <s v="B&amp;H &gt; Competitor Mentions &gt;, Trade In &gt; Overall Process &gt;, Trade In &gt; Quote Price &gt;"/>
    <m/>
    <m/>
    <s v="B&amp;H &gt; Competitor Mentions &gt; (No opinion), Trade In &gt; Overall Process &gt; (No opinion), Trade In &gt; Quote Price &gt; (No opinion)"/>
    <s v="B&amp;H &gt; Competitor Mentions &gt; (Positive), Trade In &gt; Overall Process &gt; (Positive), Trade In &gt; Quote Price &gt; (Negative), Trade In &gt; Quote Price &gt; (Positive)"/>
    <s v="Yes"/>
    <s v="Yes"/>
    <m/>
    <x v="5"/>
    <x v="18"/>
    <x v="6"/>
    <m/>
    <x v="0"/>
    <x v="0"/>
  </r>
  <r>
    <s v="Ari Fishkind - Used Trade-In Product"/>
    <n v="10"/>
    <n v="5"/>
    <d v="2026-02-18T21:04:11"/>
    <n v="5226321"/>
    <s v="Used Trade-In Product"/>
    <m/>
    <s v="Ari Fishkind"/>
    <m/>
    <s v="lo9054@yahoo.com"/>
    <m/>
    <s v="Wesley Hills;New York;10977"/>
    <m/>
    <s v="18 years 1 months"/>
    <s v="No"/>
    <m/>
    <m/>
    <s v="lo9054@yahoo.com"/>
    <s v="217"/>
    <m/>
    <m/>
    <m/>
    <m/>
    <m/>
    <m/>
    <m/>
    <m/>
    <d v="2026-02-19T10:17:59"/>
    <d v="2026-02-18T18:22:55"/>
    <m/>
    <s v="1143390"/>
    <m/>
    <m/>
    <m/>
    <m/>
    <m/>
    <m/>
    <m/>
    <m/>
    <m/>
    <m/>
    <m/>
    <m/>
    <m/>
    <m/>
    <m/>
    <m/>
    <m/>
    <m/>
    <m/>
    <m/>
    <m/>
    <m/>
    <s v="https://bnh.lightning.force.com/0011a00000Vm1pMAAR"/>
    <m/>
    <m/>
    <m/>
    <m/>
    <m/>
    <m/>
    <m/>
    <m/>
    <m/>
    <m/>
    <m/>
    <m/>
    <m/>
    <m/>
    <m/>
    <m/>
    <m/>
    <m/>
    <m/>
    <m/>
    <m/>
    <m/>
    <m/>
    <m/>
    <m/>
    <m/>
    <m/>
    <m/>
    <m/>
    <m/>
    <m/>
    <m/>
    <m/>
    <m/>
    <m/>
    <m/>
    <m/>
    <m/>
    <s v="CAD"/>
    <m/>
    <s v="No"/>
    <s v="Freddy Gomez"/>
    <s v="Freddy Gomez"/>
    <d v="2026-02-18T21:03:17"/>
    <s v="Promoter"/>
    <s v="Closed"/>
    <m/>
    <m/>
    <s v="Yes"/>
    <m/>
    <m/>
    <m/>
    <m/>
    <m/>
    <m/>
    <m/>
    <m/>
    <m/>
    <m/>
    <m/>
    <m/>
    <m/>
    <m/>
    <m/>
    <m/>
    <s v="Clarity"/>
    <m/>
    <m/>
    <m/>
    <m/>
    <s v="n/a"/>
    <m/>
    <m/>
    <m/>
    <m/>
    <m/>
    <m/>
    <m/>
    <m/>
    <m/>
    <m/>
    <m/>
    <m/>
    <m/>
    <m/>
    <m/>
    <m/>
    <m/>
    <m/>
    <m/>
    <m/>
    <m/>
    <m/>
    <m/>
    <m/>
    <m/>
    <m/>
    <m/>
    <m/>
    <m/>
    <m/>
    <m/>
    <m/>
    <m/>
    <m/>
    <m/>
    <m/>
    <m/>
    <m/>
    <m/>
    <m/>
    <m/>
    <m/>
    <m/>
    <m/>
    <m/>
    <m/>
    <m/>
    <m/>
    <m/>
    <m/>
    <m/>
    <m/>
    <m/>
    <m/>
    <m/>
    <m/>
    <m/>
    <m/>
    <m/>
    <m/>
    <m/>
    <m/>
    <m/>
    <m/>
    <m/>
    <m/>
    <m/>
    <m/>
    <m/>
    <m/>
    <m/>
    <m/>
    <m/>
    <m/>
    <m/>
    <m/>
    <m/>
    <m/>
    <m/>
    <m/>
    <m/>
    <m/>
    <s v="Clarity"/>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o opinion)"/>
    <s v="Yes"/>
    <s v="Yes"/>
    <m/>
    <x v="5"/>
    <x v="0"/>
    <x v="0"/>
    <m/>
    <x v="0"/>
    <x v="0"/>
  </r>
  <r>
    <s v="Scott Golab - Used Trade-In Product"/>
    <n v="10"/>
    <n v="5"/>
    <d v="2026-02-18T20:49:38"/>
    <n v="5226285"/>
    <s v="Used Trade-In Product"/>
    <m/>
    <s v="Scott Golab"/>
    <m/>
    <s v="scottgolab@gmail.com"/>
    <m/>
    <s v="Mobile;Alabama;36695"/>
    <s v="Mobile;Alabama;36695"/>
    <s v="4 years 7 months"/>
    <s v="No"/>
    <m/>
    <m/>
    <s v="scottgolab@gmail.com"/>
    <s v="55"/>
    <m/>
    <m/>
    <m/>
    <m/>
    <m/>
    <m/>
    <m/>
    <m/>
    <d v="2026-02-19T10:28:39"/>
    <d v="2026-02-18T20:25:41"/>
    <m/>
    <s v="1143447"/>
    <m/>
    <m/>
    <m/>
    <m/>
    <m/>
    <m/>
    <m/>
    <m/>
    <m/>
    <m/>
    <m/>
    <m/>
    <m/>
    <m/>
    <m/>
    <m/>
    <m/>
    <m/>
    <m/>
    <m/>
    <m/>
    <m/>
    <s v="https://bnh.lightning.force.com/0018X00003TxKr1QAF"/>
    <m/>
    <m/>
    <m/>
    <m/>
    <m/>
    <m/>
    <m/>
    <m/>
    <m/>
    <m/>
    <m/>
    <m/>
    <m/>
    <m/>
    <m/>
    <m/>
    <m/>
    <m/>
    <m/>
    <m/>
    <m/>
    <m/>
    <m/>
    <m/>
    <m/>
    <m/>
    <m/>
    <m/>
    <m/>
    <m/>
    <m/>
    <m/>
    <m/>
    <m/>
    <m/>
    <m/>
    <m/>
    <m/>
    <s v="CAD"/>
    <m/>
    <s v="No"/>
    <s v="Freddy Gomez"/>
    <s v="Freddy Gomez"/>
    <d v="2026-02-18T20:48:12"/>
    <s v="Promoter"/>
    <s v="Closed"/>
    <m/>
    <m/>
    <s v="Yes"/>
    <m/>
    <m/>
    <m/>
    <m/>
    <m/>
    <m/>
    <m/>
    <m/>
    <m/>
    <m/>
    <m/>
    <m/>
    <m/>
    <m/>
    <m/>
    <m/>
    <s v="Extremely easy to work through the process online and quote was fair price.  Can't wait to look online and make the call for a new lens using the trade in credit."/>
    <m/>
    <m/>
    <m/>
    <m/>
    <s v="No dislikes"/>
    <m/>
    <m/>
    <m/>
    <m/>
    <m/>
    <m/>
    <m/>
    <m/>
    <m/>
    <m/>
    <m/>
    <m/>
    <m/>
    <m/>
    <m/>
    <m/>
    <m/>
    <m/>
    <m/>
    <m/>
    <m/>
    <m/>
    <m/>
    <m/>
    <m/>
    <m/>
    <m/>
    <m/>
    <m/>
    <m/>
    <m/>
    <m/>
    <m/>
    <m/>
    <m/>
    <m/>
    <m/>
    <m/>
    <m/>
    <m/>
    <m/>
    <m/>
    <m/>
    <m/>
    <m/>
    <m/>
    <m/>
    <m/>
    <m/>
    <m/>
    <m/>
    <m/>
    <m/>
    <m/>
    <m/>
    <m/>
    <m/>
    <m/>
    <m/>
    <m/>
    <m/>
    <m/>
    <m/>
    <m/>
    <m/>
    <m/>
    <m/>
    <m/>
    <m/>
    <m/>
    <m/>
    <m/>
    <m/>
    <m/>
    <m/>
    <m/>
    <m/>
    <m/>
    <m/>
    <m/>
    <m/>
    <m/>
    <s v="Extremely easy to work through the process online and quote was fair price.  Can't wait to look online and make the call for a new lens using the trade in credit."/>
    <s v="No dislik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Description &gt;, Used &gt; Pricing &gt;"/>
    <s v="Trade In &gt; Overall Process &gt;, Trade In &gt; Quote Price &gt;, Trade In &gt; Timeliness of Payment &gt;"/>
    <m/>
    <m/>
    <s v="Pricing &gt; Value for Money &gt; (Positive), Trade In &gt; Overall Process &gt; (Positive), Trade In &gt; Quote Price &gt; (Positive), Used &gt; Description &gt; (Negative), Used &gt; Pricing &gt; (Positive)"/>
    <s v="Trade In &gt; Overall Process &gt; (Positive), Trade In &gt; Quote Price &gt; (Positive), Trade In &gt; Timeliness of Payment &gt; (Positive)"/>
    <s v="Yes"/>
    <s v="Yes"/>
    <m/>
    <x v="0"/>
    <x v="15"/>
    <x v="0"/>
    <m/>
    <x v="0"/>
    <x v="0"/>
  </r>
  <r>
    <s v="Julie Wargo - Used Trade-In Product"/>
    <n v="10"/>
    <n v="5"/>
    <d v="2026-02-18T17:48:16"/>
    <n v="5225855"/>
    <s v="Used Trade-In Product"/>
    <m/>
    <s v="Julie Wargo"/>
    <m/>
    <s v="wargostuff@gmail.com"/>
    <m/>
    <s v="Midlothian;Virginia;23112"/>
    <m/>
    <s v="22 years 5 months"/>
    <s v="No"/>
    <m/>
    <m/>
    <s v="wargostuff@gmail.com"/>
    <s v="269"/>
    <m/>
    <m/>
    <m/>
    <m/>
    <m/>
    <m/>
    <m/>
    <m/>
    <d v="2026-02-19T08:20:48"/>
    <d v="2026-02-18T19:24:44"/>
    <m/>
    <s v="1143493"/>
    <m/>
    <m/>
    <m/>
    <m/>
    <m/>
    <m/>
    <m/>
    <m/>
    <m/>
    <m/>
    <m/>
    <m/>
    <m/>
    <m/>
    <m/>
    <m/>
    <m/>
    <m/>
    <m/>
    <m/>
    <m/>
    <m/>
    <s v="https://bnh.lightning.force.com/0012L00001BP0ZtQAL"/>
    <m/>
    <m/>
    <m/>
    <m/>
    <m/>
    <m/>
    <m/>
    <m/>
    <m/>
    <m/>
    <m/>
    <m/>
    <m/>
    <m/>
    <m/>
    <m/>
    <m/>
    <m/>
    <m/>
    <m/>
    <m/>
    <m/>
    <m/>
    <m/>
    <m/>
    <m/>
    <m/>
    <m/>
    <m/>
    <m/>
    <m/>
    <m/>
    <m/>
    <m/>
    <m/>
    <m/>
    <m/>
    <m/>
    <s v="CAD"/>
    <m/>
    <s v="No"/>
    <s v="Aine Hoye"/>
    <s v="Aine Hoye"/>
    <d v="2026-02-18T17:48:09"/>
    <s v="Promoter"/>
    <s v="Closed"/>
    <m/>
    <m/>
    <s v="Yes"/>
    <m/>
    <m/>
    <m/>
    <m/>
    <m/>
    <m/>
    <m/>
    <m/>
    <m/>
    <m/>
    <m/>
    <m/>
    <m/>
    <m/>
    <m/>
    <m/>
    <s v="I trust that I have received a fair price AND you made it easy for me to find a new home for my used gear."/>
    <m/>
    <m/>
    <m/>
    <m/>
    <m/>
    <m/>
    <m/>
    <m/>
    <m/>
    <m/>
    <m/>
    <m/>
    <m/>
    <m/>
    <m/>
    <m/>
    <m/>
    <m/>
    <m/>
    <m/>
    <m/>
    <m/>
    <m/>
    <m/>
    <m/>
    <m/>
    <m/>
    <m/>
    <m/>
    <m/>
    <m/>
    <m/>
    <m/>
    <m/>
    <m/>
    <m/>
    <m/>
    <m/>
    <m/>
    <m/>
    <m/>
    <m/>
    <m/>
    <m/>
    <m/>
    <m/>
    <m/>
    <m/>
    <m/>
    <m/>
    <m/>
    <m/>
    <m/>
    <m/>
    <m/>
    <m/>
    <m/>
    <m/>
    <m/>
    <m/>
    <m/>
    <m/>
    <m/>
    <m/>
    <m/>
    <m/>
    <m/>
    <m/>
    <m/>
    <m/>
    <m/>
    <m/>
    <m/>
    <m/>
    <m/>
    <m/>
    <m/>
    <m/>
    <m/>
    <m/>
    <m/>
    <m/>
    <m/>
    <m/>
    <m/>
    <m/>
    <m/>
    <s v="I trust that I have received a fair price AND you made it easy for me to find a new home for my used gea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Pricing &gt; Value for Money &gt;, Trade In &gt; Overall Process &gt;, Trade In &gt; Quote Price &gt;, Used &gt; Pricing &gt;"/>
    <s v="B&amp;H &gt; Reliable / Trustworthy &gt;, Trade In &gt; Overall Process &gt;, Trade In &gt; Quote Price &gt;"/>
    <m/>
    <m/>
    <s v="B&amp;H &gt; Reliable / Trustworthy &gt; (Positive), Pricing &gt; Value for Money &gt; (Positive), Trade In &gt; Overall Process &gt; (Positive), Trade In &gt; Quote Price &gt; (Positive), Used &gt; Pricing &gt; (Positive)"/>
    <s v="B&amp;H &gt; Reliable / Trustworthy &gt; (Positive), Trade In &gt; Overall Process &gt; (Positive), Trade In &gt; Quote Price &gt; (Positive)"/>
    <s v="Yes"/>
    <s v="No"/>
    <m/>
    <x v="0"/>
    <x v="15"/>
    <x v="0"/>
    <m/>
    <x v="0"/>
    <x v="0"/>
  </r>
  <r>
    <s v="Tarak Patel - Used Trade-In Product"/>
    <n v="10"/>
    <n v="5"/>
    <d v="2026-02-18T17:26:35"/>
    <n v="5225816"/>
    <s v="Used Trade-In Product"/>
    <m/>
    <s v="Tarak Patel"/>
    <m/>
    <s v="tpatel9230@gmail.com"/>
    <m/>
    <s v="Colmar;Pennsylvania;18915"/>
    <m/>
    <m/>
    <s v="No"/>
    <m/>
    <m/>
    <s v="tpatel9230@gmail.com"/>
    <m/>
    <m/>
    <m/>
    <m/>
    <m/>
    <m/>
    <m/>
    <m/>
    <m/>
    <d v="2026-02-19T08:18:04"/>
    <d v="2026-02-18T12:49:09"/>
    <m/>
    <s v="1141531"/>
    <m/>
    <m/>
    <m/>
    <m/>
    <m/>
    <m/>
    <m/>
    <m/>
    <m/>
    <m/>
    <m/>
    <m/>
    <m/>
    <m/>
    <m/>
    <m/>
    <m/>
    <m/>
    <m/>
    <m/>
    <m/>
    <m/>
    <s v="https://bnh.lightning.force.com/001WP00000spKCQYA2"/>
    <m/>
    <m/>
    <m/>
    <m/>
    <m/>
    <m/>
    <m/>
    <m/>
    <m/>
    <m/>
    <m/>
    <m/>
    <m/>
    <m/>
    <m/>
    <m/>
    <m/>
    <m/>
    <m/>
    <m/>
    <m/>
    <m/>
    <m/>
    <m/>
    <m/>
    <m/>
    <m/>
    <m/>
    <m/>
    <m/>
    <m/>
    <m/>
    <m/>
    <m/>
    <m/>
    <m/>
    <m/>
    <m/>
    <s v="CAD"/>
    <m/>
    <s v="No"/>
    <s v="Aine Hoye"/>
    <s v="Aine Hoye"/>
    <d v="2026-02-18T17:25:01"/>
    <s v="Promoter"/>
    <s v="Closed"/>
    <m/>
    <m/>
    <s v="Yes"/>
    <m/>
    <m/>
    <m/>
    <m/>
    <m/>
    <m/>
    <m/>
    <m/>
    <m/>
    <m/>
    <m/>
    <m/>
    <m/>
    <m/>
    <m/>
    <m/>
    <s v="Easy online process and quick payment. Thank You B&amp;H!"/>
    <m/>
    <m/>
    <m/>
    <m/>
    <m/>
    <m/>
    <m/>
    <m/>
    <m/>
    <m/>
    <m/>
    <m/>
    <m/>
    <m/>
    <m/>
    <m/>
    <m/>
    <m/>
    <m/>
    <m/>
    <m/>
    <m/>
    <m/>
    <m/>
    <m/>
    <m/>
    <m/>
    <m/>
    <m/>
    <m/>
    <m/>
    <m/>
    <m/>
    <m/>
    <m/>
    <m/>
    <m/>
    <m/>
    <m/>
    <m/>
    <m/>
    <m/>
    <m/>
    <m/>
    <m/>
    <m/>
    <m/>
    <m/>
    <m/>
    <m/>
    <m/>
    <m/>
    <m/>
    <m/>
    <m/>
    <m/>
    <m/>
    <m/>
    <m/>
    <m/>
    <m/>
    <m/>
    <m/>
    <m/>
    <m/>
    <m/>
    <m/>
    <m/>
    <m/>
    <m/>
    <m/>
    <m/>
    <m/>
    <m/>
    <m/>
    <m/>
    <m/>
    <m/>
    <m/>
    <m/>
    <m/>
    <m/>
    <m/>
    <m/>
    <m/>
    <m/>
    <m/>
    <s v="Easy online process and quick payment. Thank You B&amp;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ayment &gt; Ease Of Use &gt;, Payment &gt; Online &gt;, Trade In &gt; Overall Process &gt;, Trade In &gt; Timeliness of Payment &gt;"/>
    <s v="Trade In &gt; Overall Process &gt;, Trade In &gt; Timeliness of Payment &gt;"/>
    <m/>
    <m/>
    <s v="Payment &gt; Ease Of Use &gt; (Positive), Payment &gt; Online &gt; (Positive), Trade In &gt; Overall Process &gt; (Positive), Trade In &gt; Timeliness of Payment &gt; (Positive)"/>
    <s v="Trade In &gt; Overall Process &gt; (Positive), Trade In &gt; Timeliness of Payment &gt; (Positive)"/>
    <s v="Yes"/>
    <s v="Yes"/>
    <m/>
    <x v="0"/>
    <x v="0"/>
    <x v="0"/>
    <m/>
    <x v="0"/>
    <x v="0"/>
  </r>
  <r>
    <s v="Nancy Leblanc-Scroggins - Used Trade-In Product"/>
    <n v="10"/>
    <n v="5"/>
    <d v="2026-02-18T17:02:37"/>
    <n v="5225751"/>
    <s v="Used Trade-In Product"/>
    <m/>
    <s v="Nancy Leblanc-Scroggins"/>
    <m/>
    <s v="leblancscroggins@gmail.com"/>
    <m/>
    <s v="Frisco;Texas;75035"/>
    <s v="San Francisco;California;94117"/>
    <s v="8 years 2 months"/>
    <s v="No"/>
    <m/>
    <m/>
    <s v="leblancscroggins@gmail.com"/>
    <s v="98"/>
    <m/>
    <m/>
    <m/>
    <m/>
    <m/>
    <m/>
    <m/>
    <m/>
    <d v="2026-02-19T08:11:00"/>
    <d v="2026-02-17T12:50:39"/>
    <m/>
    <s v="1140058"/>
    <m/>
    <m/>
    <m/>
    <m/>
    <m/>
    <m/>
    <m/>
    <m/>
    <m/>
    <m/>
    <m/>
    <m/>
    <m/>
    <m/>
    <m/>
    <m/>
    <m/>
    <m/>
    <m/>
    <m/>
    <m/>
    <m/>
    <s v="https://bnh.lightning.force.com/001WP00000rujprYAA"/>
    <m/>
    <m/>
    <m/>
    <m/>
    <m/>
    <m/>
    <m/>
    <m/>
    <m/>
    <m/>
    <m/>
    <m/>
    <m/>
    <m/>
    <m/>
    <m/>
    <m/>
    <m/>
    <m/>
    <m/>
    <m/>
    <m/>
    <m/>
    <m/>
    <m/>
    <m/>
    <m/>
    <m/>
    <m/>
    <m/>
    <m/>
    <m/>
    <m/>
    <m/>
    <m/>
    <m/>
    <m/>
    <m/>
    <s v="CAD"/>
    <m/>
    <s v="No"/>
    <s v="Aine Hoye"/>
    <s v="Aine Hoye"/>
    <d v="2026-02-18T17:01:16"/>
    <s v="Promoter"/>
    <s v="Closed"/>
    <m/>
    <m/>
    <s v="Yes"/>
    <m/>
    <m/>
    <m/>
    <m/>
    <m/>
    <m/>
    <m/>
    <m/>
    <m/>
    <m/>
    <m/>
    <m/>
    <m/>
    <m/>
    <m/>
    <m/>
    <s v="The B &amp; H Used equipment process is very easy and prices are competitive and fair.  B &amp; H is my first choice when selling used equipment and also when purchasing new or used items."/>
    <m/>
    <m/>
    <m/>
    <m/>
    <m/>
    <m/>
    <m/>
    <m/>
    <m/>
    <m/>
    <m/>
    <m/>
    <m/>
    <m/>
    <m/>
    <m/>
    <m/>
    <m/>
    <m/>
    <m/>
    <m/>
    <m/>
    <m/>
    <m/>
    <m/>
    <m/>
    <m/>
    <m/>
    <m/>
    <m/>
    <m/>
    <m/>
    <m/>
    <m/>
    <m/>
    <m/>
    <m/>
    <m/>
    <m/>
    <m/>
    <m/>
    <m/>
    <m/>
    <m/>
    <m/>
    <m/>
    <m/>
    <m/>
    <m/>
    <m/>
    <m/>
    <m/>
    <m/>
    <m/>
    <m/>
    <m/>
    <m/>
    <m/>
    <m/>
    <m/>
    <m/>
    <m/>
    <m/>
    <m/>
    <m/>
    <m/>
    <m/>
    <m/>
    <m/>
    <m/>
    <m/>
    <m/>
    <m/>
    <m/>
    <m/>
    <m/>
    <m/>
    <m/>
    <m/>
    <m/>
    <m/>
    <m/>
    <m/>
    <m/>
    <m/>
    <m/>
    <m/>
    <s v="The B &amp; H Used equipment process is very easy and prices are competitive and fair.  B &amp; H is my first choice when selling used equipment and also when purchasing new or used item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4"/>
    <m/>
    <m/>
    <m/>
    <m/>
    <m/>
    <m/>
    <m/>
    <m/>
    <m/>
    <m/>
    <m/>
    <m/>
    <m/>
    <m/>
    <m/>
    <m/>
    <m/>
    <m/>
    <m/>
    <m/>
    <m/>
    <m/>
    <m/>
    <m/>
    <m/>
    <m/>
    <m/>
    <m/>
    <m/>
    <m/>
    <m/>
    <m/>
    <m/>
    <m/>
    <m/>
    <m/>
    <m/>
    <m/>
    <m/>
    <m/>
    <m/>
    <m/>
    <m/>
    <m/>
    <m/>
    <m/>
    <m/>
    <m/>
    <m/>
    <m/>
    <m/>
    <m/>
    <m/>
    <m/>
    <m/>
    <m/>
    <m/>
    <m/>
    <m/>
    <m/>
    <m/>
    <m/>
    <m/>
    <m/>
    <m/>
    <m/>
    <m/>
    <m/>
    <m/>
    <m/>
    <m/>
    <m/>
    <m/>
    <m/>
    <m/>
    <m/>
    <m/>
    <m/>
    <m/>
    <m/>
    <m/>
    <m/>
    <m/>
    <m/>
    <m/>
    <m/>
    <m/>
    <m/>
    <m/>
    <m/>
    <m/>
    <m/>
    <m/>
    <m/>
    <m/>
    <m/>
    <m/>
    <m/>
    <m/>
    <m/>
    <m/>
    <s v="Pricing &gt; Value for Money &gt;, Product &gt; Selection / Variety &gt;, Trade In &gt; Overall Process &gt;, Trade In &gt; Quote Price &gt;, Used &gt; Description &gt;, Used &gt; Pricing &gt;, Used &gt; Selection &gt;"/>
    <s v="B&amp;H &gt; Satisfaction &gt;, Product &gt; Selection / Variety &gt;, Trade In &gt; Overall Process &gt;, Trade In &gt; Quote Price &gt;, Used &gt; Selection &gt;"/>
    <m/>
    <m/>
    <s v="Pricing &gt; Value for Money &gt; (Positive), Product &gt; Selection / Variety &gt; (No opinion), Trade In &gt; Overall Process &gt; (Positive), Trade In &gt; Quote Price &gt; (Positive), Used &gt; Description &gt; (Positive), Used &gt; Pricing &gt; (Positive), Used &gt; Selection &gt; (No opinion)"/>
    <s v="B&amp;H &gt; Satisfaction &gt; (Positive), Product &gt; Selection / Variety &gt; (Positive), Trade In &gt; Overall Process &gt; (Positive), Trade In &gt; Quote Price &gt; (Positive), Used &gt; Selection &gt; (Positive)"/>
    <s v="Yes"/>
    <s v="Yes"/>
    <m/>
    <x v="0"/>
    <x v="15"/>
    <x v="7"/>
    <m/>
    <x v="0"/>
    <x v="0"/>
  </r>
  <r>
    <s v="Steven Zarrella - Used Trade-In Product"/>
    <n v="10"/>
    <n v="5"/>
    <d v="2026-02-18T15:14:18"/>
    <n v="5225480"/>
    <s v="Used Trade-In Product"/>
    <m/>
    <s v="Steven Zarrella"/>
    <m/>
    <s v="stevenzarrella@icloud.com"/>
    <m/>
    <s v="Watertown;Connecticut;06795"/>
    <s v="Watertown;Connecticut;06795"/>
    <s v="19 years 0 months"/>
    <s v="Yes"/>
    <m/>
    <m/>
    <s v="stevenzarrella@icloud.com"/>
    <s v="228"/>
    <m/>
    <m/>
    <m/>
    <m/>
    <m/>
    <m/>
    <m/>
    <m/>
    <d v="2026-02-19T09:09:33"/>
    <d v="2026-02-18T12:47:36"/>
    <m/>
    <s v="1144004"/>
    <m/>
    <m/>
    <m/>
    <m/>
    <m/>
    <m/>
    <m/>
    <m/>
    <m/>
    <m/>
    <m/>
    <m/>
    <m/>
    <m/>
    <m/>
    <m/>
    <m/>
    <m/>
    <m/>
    <m/>
    <m/>
    <m/>
    <s v="https://bnh.lightning.force.com/0011a00000WZyE1AAL"/>
    <m/>
    <m/>
    <m/>
    <m/>
    <m/>
    <m/>
    <m/>
    <m/>
    <m/>
    <m/>
    <m/>
    <m/>
    <m/>
    <m/>
    <m/>
    <m/>
    <m/>
    <m/>
    <m/>
    <m/>
    <m/>
    <m/>
    <m/>
    <m/>
    <m/>
    <m/>
    <m/>
    <m/>
    <m/>
    <m/>
    <m/>
    <m/>
    <m/>
    <m/>
    <m/>
    <m/>
    <m/>
    <m/>
    <s v="CAD"/>
    <m/>
    <s v="No"/>
    <s v="Freddy Gomez"/>
    <s v="Freddy Gomez"/>
    <d v="2026-02-18T15:12:08"/>
    <s v="Promoter"/>
    <s v="Closed"/>
    <m/>
    <m/>
    <s v="Yes"/>
    <m/>
    <m/>
    <m/>
    <m/>
    <m/>
    <m/>
    <m/>
    <m/>
    <m/>
    <m/>
    <m/>
    <m/>
    <m/>
    <m/>
    <m/>
    <m/>
    <s v="I got a quote on line for multiple items. It was very competitive with other quotes I received from KEH and a local camera store. I brought my equipment to the store where it was quickly reviewed. I received a check on the spot for 97% of the quoted price. _x000a__x000a_I then walked around the corner and into the store to by new gear using my PayBoo Card. I couldn't be happier with the transaction!"/>
    <m/>
    <m/>
    <m/>
    <m/>
    <s v="Nothing"/>
    <m/>
    <m/>
    <m/>
    <m/>
    <m/>
    <m/>
    <m/>
    <m/>
    <m/>
    <m/>
    <m/>
    <m/>
    <m/>
    <m/>
    <m/>
    <m/>
    <m/>
    <m/>
    <m/>
    <m/>
    <m/>
    <m/>
    <m/>
    <m/>
    <m/>
    <m/>
    <m/>
    <m/>
    <m/>
    <m/>
    <m/>
    <m/>
    <m/>
    <m/>
    <m/>
    <m/>
    <m/>
    <m/>
    <m/>
    <m/>
    <m/>
    <m/>
    <m/>
    <m/>
    <m/>
    <m/>
    <m/>
    <m/>
    <m/>
    <m/>
    <m/>
    <m/>
    <m/>
    <m/>
    <m/>
    <m/>
    <m/>
    <m/>
    <m/>
    <m/>
    <m/>
    <m/>
    <m/>
    <m/>
    <m/>
    <m/>
    <m/>
    <m/>
    <m/>
    <m/>
    <m/>
    <m/>
    <m/>
    <m/>
    <m/>
    <m/>
    <m/>
    <m/>
    <m/>
    <m/>
    <m/>
    <m/>
    <s v="I got a quote on line for multiple items. It was very competitive with other quotes I received from KEH and a local camera store. I brought my equipment to the store where it was quickly reviewed. I received a check on the spot for 97% of the quoted price. _x000a__x000a_I then walked around the corner and into the store to by new gear using my PayBoo Card. I couldn't be happier with the transaction!"/>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s v="N/A"/>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Description &gt;, Used &gt; Pricing &gt;"/>
    <s v="B&amp;H &gt; Competitor Mentions &gt;, B&amp;H &gt; Satisfaction &gt;, Trade In &gt; Overall Process &gt;, Trade In &gt; Quote Price &gt;, Trade In &gt; Timeliness of Payment &gt;"/>
    <m/>
    <m/>
    <s v="Pricing &gt; Value for Money &gt; (No opinion), Trade In &gt; Overall Process &gt; (No opinion), Trade In &gt; Overall Process &gt; (Positive), Trade In &gt; Quote Price &gt; (No opinion), Trade In &gt; Quote Price &gt; (Positive), Used &gt; Description &gt; (No opinion), Used &gt; Pricing &gt; (No opinion)"/>
    <s v="B&amp;H &gt; Competitor Mentions &gt; (Positive), B&amp;H &gt; Satisfaction &gt; (Positive), Trade In &gt; Overall Process &gt; (No opinion), Trade In &gt; Overall Process &gt; (Positive), Trade In &gt; Quote Price &gt; (Positive), Trade In &gt; Timeliness of Payment &gt; (Positive)"/>
    <s v="Yes"/>
    <s v="Yes"/>
    <m/>
    <x v="10"/>
    <x v="24"/>
    <x v="0"/>
    <m/>
    <x v="0"/>
    <x v="0"/>
  </r>
  <r>
    <s v="John Mattson - Used Trade-In Product"/>
    <n v="9"/>
    <n v="5"/>
    <d v="2026-02-18T14:46:51"/>
    <n v="5225430"/>
    <s v="Used Trade-In Product"/>
    <m/>
    <s v="John Mattson"/>
    <m/>
    <s v="jtmattson@hotmail.com"/>
    <m/>
    <s v="Terrell;Texas;75160"/>
    <s v="Terrell;Texas;75160"/>
    <s v="22 years 3 months"/>
    <s v="Yes"/>
    <m/>
    <m/>
    <s v="jtmattson@hotmail.com"/>
    <s v="267"/>
    <m/>
    <m/>
    <m/>
    <m/>
    <m/>
    <m/>
    <m/>
    <m/>
    <d v="2026-02-19T09:11:38"/>
    <d v="2026-01-23T12:46:27"/>
    <m/>
    <s v="1133152"/>
    <m/>
    <m/>
    <m/>
    <m/>
    <m/>
    <m/>
    <m/>
    <m/>
    <m/>
    <m/>
    <m/>
    <m/>
    <m/>
    <m/>
    <m/>
    <m/>
    <m/>
    <m/>
    <m/>
    <m/>
    <m/>
    <m/>
    <s v="https://bnh.lightning.force.com/0018X00003FLAlxQAH"/>
    <m/>
    <m/>
    <m/>
    <m/>
    <m/>
    <m/>
    <m/>
    <m/>
    <m/>
    <m/>
    <m/>
    <m/>
    <m/>
    <m/>
    <m/>
    <m/>
    <m/>
    <m/>
    <m/>
    <m/>
    <m/>
    <m/>
    <m/>
    <m/>
    <m/>
    <m/>
    <m/>
    <m/>
    <m/>
    <m/>
    <m/>
    <m/>
    <m/>
    <m/>
    <m/>
    <m/>
    <m/>
    <m/>
    <s v="CAD"/>
    <m/>
    <s v="No"/>
    <s v="Freddy Gomez"/>
    <s v="Freddy Gomez"/>
    <d v="2026-02-18T14:46:17"/>
    <s v="Promoter"/>
    <s v="Closed"/>
    <m/>
    <m/>
    <s v="Yes"/>
    <m/>
    <m/>
    <m/>
    <m/>
    <m/>
    <m/>
    <m/>
    <m/>
    <m/>
    <m/>
    <m/>
    <m/>
    <m/>
    <m/>
    <m/>
    <m/>
    <s v="Quick/ Easy"/>
    <m/>
    <m/>
    <m/>
    <m/>
    <s v="None"/>
    <m/>
    <m/>
    <m/>
    <m/>
    <m/>
    <m/>
    <m/>
    <m/>
    <m/>
    <m/>
    <m/>
    <m/>
    <m/>
    <m/>
    <m/>
    <m/>
    <m/>
    <m/>
    <m/>
    <m/>
    <m/>
    <m/>
    <m/>
    <m/>
    <m/>
    <m/>
    <m/>
    <m/>
    <m/>
    <m/>
    <m/>
    <m/>
    <m/>
    <m/>
    <m/>
    <m/>
    <m/>
    <m/>
    <m/>
    <m/>
    <m/>
    <m/>
    <m/>
    <m/>
    <m/>
    <m/>
    <m/>
    <m/>
    <m/>
    <m/>
    <m/>
    <m/>
    <m/>
    <m/>
    <m/>
    <m/>
    <m/>
    <m/>
    <m/>
    <m/>
    <m/>
    <m/>
    <m/>
    <m/>
    <m/>
    <m/>
    <m/>
    <m/>
    <m/>
    <m/>
    <m/>
    <m/>
    <m/>
    <m/>
    <m/>
    <m/>
    <m/>
    <m/>
    <m/>
    <m/>
    <m/>
    <m/>
    <s v="Quick/ Easy"/>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4"/>
    <n v="4"/>
    <n v="4"/>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Henry Niles - Used Trade-In Product"/>
    <n v="10"/>
    <n v="5"/>
    <d v="2026-02-18T13:25:26"/>
    <n v="5225174"/>
    <s v="Used Trade-In Product"/>
    <m/>
    <s v="Henry Niles"/>
    <m/>
    <s v="hbniles@hbniles.com"/>
    <m/>
    <s v="Santa Cruz;California;95062"/>
    <m/>
    <s v="22 years 1 months"/>
    <s v="No"/>
    <m/>
    <m/>
    <s v="hbniles@hbniles.com"/>
    <s v="265"/>
    <m/>
    <m/>
    <m/>
    <m/>
    <m/>
    <m/>
    <m/>
    <m/>
    <d v="2026-02-18T13:46:39"/>
    <d v="2026-02-18T16:21:28"/>
    <m/>
    <s v="1140160"/>
    <m/>
    <m/>
    <m/>
    <m/>
    <m/>
    <m/>
    <m/>
    <m/>
    <m/>
    <m/>
    <m/>
    <m/>
    <m/>
    <m/>
    <m/>
    <m/>
    <m/>
    <m/>
    <m/>
    <m/>
    <m/>
    <m/>
    <s v="https://bnh.lightning.force.com/001WP00000rxqx2YAA"/>
    <m/>
    <m/>
    <m/>
    <m/>
    <m/>
    <m/>
    <m/>
    <m/>
    <m/>
    <m/>
    <m/>
    <m/>
    <m/>
    <m/>
    <m/>
    <m/>
    <m/>
    <m/>
    <m/>
    <m/>
    <m/>
    <m/>
    <m/>
    <m/>
    <m/>
    <m/>
    <m/>
    <m/>
    <m/>
    <m/>
    <m/>
    <m/>
    <m/>
    <m/>
    <m/>
    <m/>
    <m/>
    <m/>
    <s v="CAD"/>
    <m/>
    <s v="No"/>
    <s v="Sergio Jonusas"/>
    <s v="Sergio Jonusas"/>
    <d v="2026-02-18T13:24:56"/>
    <s v="Promoter"/>
    <s v="Closed"/>
    <m/>
    <m/>
    <s v="Yes"/>
    <m/>
    <m/>
    <m/>
    <m/>
    <m/>
    <m/>
    <m/>
    <m/>
    <m/>
    <m/>
    <m/>
    <m/>
    <m/>
    <m/>
    <m/>
    <m/>
    <s v="I have purchased and sold through B&amp;H and find your Used Dept to be the most reliable and fair of the various options. Thanks for great service"/>
    <m/>
    <m/>
    <m/>
    <m/>
    <s v="N/A"/>
    <m/>
    <m/>
    <m/>
    <m/>
    <m/>
    <m/>
    <m/>
    <m/>
    <m/>
    <m/>
    <m/>
    <m/>
    <m/>
    <m/>
    <m/>
    <m/>
    <m/>
    <m/>
    <m/>
    <m/>
    <m/>
    <m/>
    <m/>
    <m/>
    <m/>
    <m/>
    <m/>
    <m/>
    <m/>
    <m/>
    <m/>
    <m/>
    <m/>
    <m/>
    <m/>
    <m/>
    <m/>
    <m/>
    <m/>
    <m/>
    <m/>
    <m/>
    <m/>
    <m/>
    <m/>
    <m/>
    <m/>
    <m/>
    <m/>
    <m/>
    <m/>
    <m/>
    <m/>
    <m/>
    <m/>
    <m/>
    <m/>
    <m/>
    <m/>
    <m/>
    <m/>
    <m/>
    <m/>
    <m/>
    <m/>
    <m/>
    <m/>
    <m/>
    <m/>
    <m/>
    <m/>
    <m/>
    <m/>
    <m/>
    <m/>
    <m/>
    <m/>
    <m/>
    <m/>
    <m/>
    <m/>
    <m/>
    <s v="I have purchased and sold through B&amp;H and find your Used Dept to be the most reliable and fair of the various options. Thanks for great servic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Used &gt; Description &gt;"/>
    <s v="B&amp;H &gt; Reliable / Trustworthy &gt;, Trade In &gt; Overall Process &gt;, Used &gt; Description &gt;"/>
    <m/>
    <m/>
    <s v="B&amp;H &gt; Reliable / Trustworthy &gt; (Positive), Used &gt; Description &gt; (Positive)"/>
    <s v="B&amp;H &gt; Reliable / Trustworthy &gt; (Positive), Trade In &gt; Overall Process &gt; (Positive), Used &gt; Description &gt; (Positive)"/>
    <s v="Yes"/>
    <s v="No"/>
    <m/>
    <x v="3"/>
    <x v="25"/>
    <x v="0"/>
    <m/>
    <x v="0"/>
    <x v="0"/>
  </r>
  <r>
    <s v="Lawrence Field - Used Trade-In Product"/>
    <n v="1"/>
    <n v="1"/>
    <d v="2026-02-18T11:54:06"/>
    <n v="5224919"/>
    <s v="Used Trade-In Product"/>
    <m/>
    <s v="Lawrence Field"/>
    <m/>
    <s v="field4kids@gmail.com"/>
    <m/>
    <s v="College Station;Texas;77845"/>
    <s v="College Station;Texas;77845"/>
    <s v="24 years 1 months"/>
    <s v="No"/>
    <m/>
    <m/>
    <s v="field4kids@gmail.com"/>
    <s v="289"/>
    <m/>
    <m/>
    <m/>
    <m/>
    <m/>
    <m/>
    <m/>
    <m/>
    <d v="2026-02-24T17:22:56"/>
    <d v="2026-02-18T12:49:18"/>
    <m/>
    <s v="1141566"/>
    <m/>
    <m/>
    <m/>
    <m/>
    <m/>
    <m/>
    <m/>
    <m/>
    <m/>
    <m/>
    <m/>
    <m/>
    <m/>
    <m/>
    <m/>
    <m/>
    <m/>
    <m/>
    <m/>
    <m/>
    <m/>
    <m/>
    <s v="https://bnh.lightning.force.com/0018X00003GnsfiQAB"/>
    <m/>
    <m/>
    <m/>
    <m/>
    <m/>
    <m/>
    <m/>
    <m/>
    <m/>
    <m/>
    <m/>
    <m/>
    <m/>
    <m/>
    <m/>
    <m/>
    <m/>
    <m/>
    <m/>
    <m/>
    <m/>
    <m/>
    <m/>
    <m/>
    <m/>
    <m/>
    <m/>
    <m/>
    <m/>
    <m/>
    <m/>
    <m/>
    <m/>
    <m/>
    <m/>
    <m/>
    <m/>
    <m/>
    <s v="CAD"/>
    <m/>
    <s v="No"/>
    <s v="Zane Bohnert,Avraham Schwartz,Reina Caba"/>
    <s v="Reina Caba"/>
    <d v="2026-02-18T11:48:44"/>
    <s v="Detractor "/>
    <s v="Closed"/>
    <d v="2026-02-24T17:22:49"/>
    <s v="Reina Caba (reinac@bhphoto.com)"/>
    <s v="Yes"/>
    <m/>
    <m/>
    <m/>
    <m/>
    <m/>
    <m/>
    <m/>
    <m/>
    <m/>
    <m/>
    <m/>
    <m/>
    <m/>
    <m/>
    <m/>
    <m/>
    <s v="Ease of getting a legitimate quote online (but wait, was it legitimate?)."/>
    <m/>
    <m/>
    <m/>
    <m/>
    <s v="That I send two Canon 5D Mark III bodies in that were functioning perfectly the week before I sent them, along with a Canon 17-40L f/4 lens that I had used on a real estate shoot THE WEEK I MAILED IT TO YOU._x000a__x000a_However, when you got my gear, your crooks said one 5D had &quot;too high a shutter count&quot; and that the 17-40 was getting &quot;error codes&quot;.  You couldn't take either of those.  The other 5D, you could only give me $100 for.  Ridiculous._x000a__x000a_How high do you expect the shutter count to be on a 14 year old camera?  I graded them correctly on the web form, maybe you need to be more transparent about what you'll really pay for equipment._x000a__x000a_This was an easy way for you to steal my equipment, because I guarantee you that 5D and 17-40L you &quot;rejected&quot; will be for sale in your used department, and I got zero compensation for them.  And $100 for the other 5D body is just an insult. I will never buy anything from B&amp;H again, and I've done quite a bit of business up until now.  This latest deceptive practice though has completely changed my view of B&amp;H._x000a__x000a_If you can't make money without cheating people, do something else."/>
    <m/>
    <m/>
    <m/>
    <m/>
    <m/>
    <m/>
    <m/>
    <m/>
    <m/>
    <m/>
    <m/>
    <m/>
    <m/>
    <m/>
    <m/>
    <m/>
    <m/>
    <m/>
    <m/>
    <m/>
    <m/>
    <m/>
    <m/>
    <m/>
    <m/>
    <m/>
    <m/>
    <m/>
    <m/>
    <m/>
    <m/>
    <m/>
    <m/>
    <m/>
    <m/>
    <m/>
    <m/>
    <m/>
    <m/>
    <m/>
    <m/>
    <m/>
    <m/>
    <m/>
    <m/>
    <m/>
    <m/>
    <m/>
    <m/>
    <m/>
    <m/>
    <m/>
    <m/>
    <m/>
    <m/>
    <m/>
    <m/>
    <m/>
    <m/>
    <m/>
    <m/>
    <m/>
    <m/>
    <m/>
    <m/>
    <m/>
    <m/>
    <m/>
    <m/>
    <m/>
    <m/>
    <m/>
    <m/>
    <m/>
    <m/>
    <m/>
    <m/>
    <m/>
    <m/>
    <m/>
    <m/>
    <m/>
    <s v="Ease of getting a legitimate quote online (but wait, was it legitimate?)."/>
    <s v="That I send two Canon 5D Mark III bodies in that were functioning perfectly the week before I sent them, along with a Canon 17-40L f/4 lens that I had used on a real estate shoot THE WEEK I MAILED IT TO YOU._x000a__x000a_However, when you got my gear, your crooks said one 5D had &quot;too high a shutter count&quot; and that the 17-40 was getting &quot;error codes&quot;.  You couldn't take either of those.  The other 5D, you could only give me $100 for.  Ridiculous._x000a__x000a_How high do you expect the shutter count to be on a 14 year old camera?  I graded them correctly on the web form, maybe you need to be more transparent about what you'll really pay for equipment._x000a__x000a_This was an easy way for you to steal my equipment, because I guarantee you that 5D and 17-40L you &quot;rejected&quot; will be for sale in your used department, and I got zero compensation for them.  And $100 for the other 5D body is just an insult. I will never buy anything from B&amp;H again, and I've done quite a bit of business up until now.  This latest deceptive practice though has completely changed my view of B&amp;H._x000a__x000a_If you can't make money without cheating people, do something els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1"/>
    <m/>
    <m/>
    <m/>
    <m/>
    <n v="5"/>
    <n v="5"/>
    <m/>
    <m/>
    <m/>
    <m/>
    <m/>
    <m/>
    <n v="1"/>
    <n v="1"/>
    <n v="1"/>
    <n v="1"/>
    <m/>
    <m/>
    <m/>
    <m/>
    <m/>
    <m/>
    <m/>
    <m/>
    <m/>
    <m/>
    <m/>
    <m/>
    <m/>
    <m/>
    <m/>
    <m/>
    <m/>
    <m/>
    <m/>
    <m/>
    <m/>
    <m/>
    <m/>
    <m/>
    <m/>
    <m/>
    <m/>
    <m/>
    <m/>
    <m/>
    <m/>
    <m/>
    <m/>
    <m/>
    <m/>
    <m/>
    <m/>
    <m/>
    <m/>
    <m/>
    <m/>
    <m/>
    <m/>
    <m/>
    <m/>
    <m/>
    <m/>
    <m/>
    <m/>
    <m/>
    <m/>
    <m/>
    <m/>
    <m/>
    <m/>
    <m/>
    <m/>
    <m/>
    <m/>
    <m/>
    <m/>
    <m/>
    <m/>
    <m/>
    <m/>
    <m/>
    <m/>
    <m/>
    <m/>
    <m/>
    <m/>
    <m/>
    <m/>
    <m/>
    <m/>
    <m/>
    <m/>
    <m/>
    <m/>
    <m/>
    <m/>
    <m/>
    <m/>
    <m/>
    <m/>
    <m/>
    <m/>
    <m/>
    <m/>
    <m/>
    <m/>
    <m/>
    <m/>
    <m/>
    <m/>
    <m/>
    <m/>
    <m/>
    <m/>
    <m/>
    <m/>
    <s v="Product &gt; Product Function &gt;, Trade In &gt; Overall Process &gt;"/>
    <s v="B&amp;H &gt; Loyalty &gt;, B&amp;H &gt; Reliable / Trustworthy &gt;, B&amp;H &gt; Satisfaction &gt;, Trade In &gt; Overall Process &gt;, Trade In &gt; Quote Price &gt;"/>
    <m/>
    <m/>
    <s v="Product &gt; Product Function &gt; (Positive), Trade In &gt; Overall Process &gt; (Positive)"/>
    <s v="B&amp;H &gt; Loyalty &gt; (Negative), B&amp;H &gt; Reliable / Trustworthy &gt; (Negative), B&amp;H &gt; Satisfaction &gt; (Negative), Trade In &gt; Overall Process &gt; (Negative), Trade In &gt; Overall Process &gt; (Positive), Trade In &gt; Quote Price &gt; (Negative)"/>
    <s v="Yes"/>
    <s v="Yes"/>
    <m/>
    <x v="13"/>
    <x v="8"/>
    <x v="8"/>
    <m/>
    <x v="0"/>
    <x v="0"/>
  </r>
  <r>
    <s v="Edwin Thompson - Used Trade-In Product"/>
    <n v="9"/>
    <n v="5"/>
    <d v="2026-02-18T11:30:38"/>
    <n v="5224870"/>
    <s v="Used Trade-In Product"/>
    <m/>
    <s v="Edwin Thompson"/>
    <m/>
    <s v="kpr0314@usa.net"/>
    <m/>
    <s v="Birdsboro;Pennsylvania;19508"/>
    <s v="Birdsboro;Pennsylvania;19508"/>
    <s v="8 years 6 months"/>
    <s v="No"/>
    <m/>
    <m/>
    <s v="kpr0314@usa.net"/>
    <s v="102"/>
    <m/>
    <m/>
    <m/>
    <m/>
    <m/>
    <m/>
    <m/>
    <m/>
    <d v="2026-02-19T09:26:36"/>
    <d v="2026-02-18T12:47:01"/>
    <m/>
    <s v="1139613"/>
    <m/>
    <m/>
    <m/>
    <m/>
    <m/>
    <m/>
    <m/>
    <m/>
    <m/>
    <m/>
    <m/>
    <m/>
    <m/>
    <m/>
    <m/>
    <m/>
    <m/>
    <m/>
    <m/>
    <m/>
    <m/>
    <m/>
    <s v="https://bnh.lightning.force.com/0011a00000j4uA9AAI"/>
    <m/>
    <m/>
    <m/>
    <m/>
    <m/>
    <m/>
    <m/>
    <m/>
    <m/>
    <m/>
    <m/>
    <m/>
    <m/>
    <m/>
    <m/>
    <m/>
    <m/>
    <m/>
    <m/>
    <m/>
    <m/>
    <m/>
    <m/>
    <m/>
    <m/>
    <m/>
    <m/>
    <m/>
    <m/>
    <m/>
    <m/>
    <m/>
    <m/>
    <m/>
    <m/>
    <m/>
    <m/>
    <m/>
    <s v="CAD"/>
    <m/>
    <s v="No"/>
    <s v="Andrea Garcia"/>
    <s v="Andrea Garcia"/>
    <d v="2026-02-18T11:31:22"/>
    <s v="Promoter"/>
    <s v="Closed"/>
    <m/>
    <m/>
    <s v="Yes"/>
    <m/>
    <m/>
    <m/>
    <m/>
    <m/>
    <m/>
    <m/>
    <m/>
    <m/>
    <m/>
    <m/>
    <m/>
    <m/>
    <m/>
    <m/>
    <m/>
    <s v="It was just very quick and easy"/>
    <m/>
    <m/>
    <m/>
    <m/>
    <s v="Nothing"/>
    <m/>
    <m/>
    <m/>
    <m/>
    <m/>
    <m/>
    <m/>
    <m/>
    <m/>
    <m/>
    <m/>
    <m/>
    <m/>
    <m/>
    <m/>
    <m/>
    <m/>
    <m/>
    <m/>
    <m/>
    <m/>
    <m/>
    <m/>
    <m/>
    <m/>
    <m/>
    <m/>
    <m/>
    <m/>
    <m/>
    <m/>
    <m/>
    <m/>
    <m/>
    <m/>
    <m/>
    <m/>
    <m/>
    <m/>
    <m/>
    <m/>
    <m/>
    <m/>
    <m/>
    <m/>
    <m/>
    <m/>
    <m/>
    <m/>
    <m/>
    <m/>
    <m/>
    <m/>
    <m/>
    <m/>
    <m/>
    <m/>
    <m/>
    <m/>
    <m/>
    <m/>
    <m/>
    <m/>
    <m/>
    <m/>
    <m/>
    <m/>
    <m/>
    <m/>
    <m/>
    <m/>
    <m/>
    <m/>
    <m/>
    <m/>
    <m/>
    <m/>
    <m/>
    <m/>
    <m/>
    <m/>
    <m/>
    <s v="It was just very quick and easy"/>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n v="4"/>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David Huffman - Used Trade-In Product"/>
    <n v="10"/>
    <n v="5"/>
    <d v="2026-02-18T10:06:08"/>
    <n v="5224582"/>
    <s v="Used Trade-In Product"/>
    <m/>
    <s v="David Huffman"/>
    <m/>
    <s v="huffmandw@gmail.com"/>
    <m/>
    <s v="Marietta;Georgia;30062"/>
    <s v="Marietta;Georgia;30062"/>
    <s v="13 years 10 months"/>
    <s v="Yes"/>
    <m/>
    <m/>
    <s v="huffmandw@gmail.com"/>
    <s v="166"/>
    <m/>
    <m/>
    <m/>
    <m/>
    <m/>
    <m/>
    <m/>
    <m/>
    <d v="2026-02-18T13:30:02"/>
    <d v="2026-02-18T12:50:43"/>
    <m/>
    <s v="1143032"/>
    <m/>
    <m/>
    <m/>
    <m/>
    <m/>
    <m/>
    <m/>
    <m/>
    <m/>
    <m/>
    <m/>
    <m/>
    <m/>
    <m/>
    <m/>
    <m/>
    <m/>
    <m/>
    <m/>
    <m/>
    <m/>
    <m/>
    <s v="https://bnh.lightning.force.com/0018X00003EfLBsQAN"/>
    <m/>
    <m/>
    <m/>
    <m/>
    <m/>
    <m/>
    <m/>
    <m/>
    <m/>
    <m/>
    <m/>
    <m/>
    <m/>
    <m/>
    <m/>
    <m/>
    <m/>
    <m/>
    <m/>
    <m/>
    <m/>
    <m/>
    <m/>
    <m/>
    <m/>
    <m/>
    <m/>
    <m/>
    <m/>
    <m/>
    <m/>
    <m/>
    <m/>
    <m/>
    <m/>
    <m/>
    <m/>
    <m/>
    <s v="CAD"/>
    <m/>
    <s v="No"/>
    <s v="Nick Badame"/>
    <s v="Nick Badame"/>
    <d v="2026-02-18T10:04:30"/>
    <s v="Promoter"/>
    <s v="Closed"/>
    <m/>
    <m/>
    <s v="Yes"/>
    <m/>
    <m/>
    <m/>
    <m/>
    <m/>
    <m/>
    <m/>
    <m/>
    <m/>
    <m/>
    <m/>
    <m/>
    <m/>
    <m/>
    <m/>
    <m/>
    <s v="Easy online quote and shipment process"/>
    <m/>
    <m/>
    <m/>
    <m/>
    <s v="none"/>
    <m/>
    <m/>
    <m/>
    <m/>
    <m/>
    <m/>
    <m/>
    <m/>
    <m/>
    <m/>
    <m/>
    <m/>
    <m/>
    <m/>
    <m/>
    <m/>
    <m/>
    <m/>
    <m/>
    <m/>
    <m/>
    <m/>
    <m/>
    <m/>
    <m/>
    <m/>
    <m/>
    <m/>
    <m/>
    <m/>
    <m/>
    <m/>
    <m/>
    <m/>
    <m/>
    <m/>
    <m/>
    <m/>
    <m/>
    <m/>
    <m/>
    <m/>
    <m/>
    <m/>
    <m/>
    <m/>
    <m/>
    <m/>
    <m/>
    <m/>
    <m/>
    <m/>
    <m/>
    <m/>
    <m/>
    <m/>
    <m/>
    <m/>
    <m/>
    <m/>
    <m/>
    <m/>
    <m/>
    <m/>
    <m/>
    <m/>
    <m/>
    <m/>
    <m/>
    <m/>
    <m/>
    <m/>
    <m/>
    <m/>
    <m/>
    <m/>
    <m/>
    <m/>
    <m/>
    <m/>
    <m/>
    <m/>
    <s v="Easy online quote and shipment process"/>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David Burgess - Used Trade-In Product"/>
    <n v="10"/>
    <n v="5"/>
    <d v="2026-02-17T21:29:33"/>
    <n v="5223753"/>
    <s v="Used Trade-In Product"/>
    <m/>
    <s v="David Burgess"/>
    <m/>
    <s v="daveburg62@gmail.com"/>
    <m/>
    <s v="Onalaska;Wisconsin;54650"/>
    <s v="Onalaska;Wisconsin;54650"/>
    <s v="31 years 8 months"/>
    <s v="Yes"/>
    <m/>
    <m/>
    <s v="daveburg62@gmail.com"/>
    <s v="380"/>
    <m/>
    <m/>
    <m/>
    <m/>
    <m/>
    <m/>
    <m/>
    <m/>
    <d v="2026-02-18T09:23:19"/>
    <d v="2026-02-06T12:54:10"/>
    <m/>
    <s v="1138242"/>
    <m/>
    <m/>
    <m/>
    <m/>
    <m/>
    <m/>
    <m/>
    <m/>
    <m/>
    <m/>
    <m/>
    <m/>
    <m/>
    <m/>
    <m/>
    <m/>
    <m/>
    <m/>
    <m/>
    <m/>
    <m/>
    <m/>
    <s v="https://bnh.lightning.force.com/0012L000019GPnsQAG"/>
    <m/>
    <m/>
    <m/>
    <m/>
    <m/>
    <m/>
    <m/>
    <m/>
    <m/>
    <m/>
    <m/>
    <m/>
    <m/>
    <m/>
    <m/>
    <m/>
    <m/>
    <m/>
    <m/>
    <m/>
    <m/>
    <m/>
    <m/>
    <m/>
    <m/>
    <m/>
    <m/>
    <m/>
    <m/>
    <m/>
    <m/>
    <m/>
    <m/>
    <m/>
    <m/>
    <m/>
    <m/>
    <m/>
    <s v="CAD"/>
    <m/>
    <s v="No"/>
    <s v="Efrat Malachi"/>
    <s v="Efrat Malachi"/>
    <d v="2026-02-17T21:27:57"/>
    <s v="Promoter"/>
    <s v="Closed"/>
    <m/>
    <m/>
    <s v="Yes"/>
    <m/>
    <m/>
    <m/>
    <m/>
    <m/>
    <m/>
    <m/>
    <m/>
    <m/>
    <m/>
    <m/>
    <m/>
    <m/>
    <m/>
    <m/>
    <m/>
    <s v="Every aspect of the sale transaction went very well."/>
    <m/>
    <m/>
    <m/>
    <m/>
    <s v="N/A"/>
    <m/>
    <m/>
    <m/>
    <m/>
    <m/>
    <m/>
    <m/>
    <m/>
    <m/>
    <m/>
    <m/>
    <m/>
    <m/>
    <m/>
    <m/>
    <m/>
    <m/>
    <m/>
    <m/>
    <m/>
    <m/>
    <m/>
    <m/>
    <m/>
    <m/>
    <m/>
    <m/>
    <m/>
    <m/>
    <m/>
    <m/>
    <m/>
    <m/>
    <m/>
    <m/>
    <m/>
    <m/>
    <m/>
    <m/>
    <m/>
    <m/>
    <m/>
    <m/>
    <m/>
    <m/>
    <m/>
    <m/>
    <m/>
    <m/>
    <m/>
    <m/>
    <m/>
    <m/>
    <m/>
    <m/>
    <m/>
    <m/>
    <m/>
    <m/>
    <m/>
    <m/>
    <m/>
    <m/>
    <m/>
    <m/>
    <m/>
    <m/>
    <m/>
    <m/>
    <m/>
    <m/>
    <m/>
    <m/>
    <m/>
    <m/>
    <m/>
    <m/>
    <m/>
    <m/>
    <m/>
    <m/>
    <m/>
    <s v="Every aspect of the sale transaction went very well."/>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5"/>
    <x v="0"/>
    <x v="0"/>
    <m/>
    <x v="0"/>
    <x v="0"/>
  </r>
  <r>
    <s v="Dale Gentle - Used Trade-In Product"/>
    <n v="10"/>
    <n v="5"/>
    <d v="2026-02-17T20:47:44"/>
    <n v="5223688"/>
    <s v="Used Trade-In Product"/>
    <m/>
    <s v="Dale Gentle"/>
    <m/>
    <s v="degentle811@gmail.com"/>
    <m/>
    <s v="Mount Holly;North Carolina;28120"/>
    <m/>
    <s v="4 years 7 months"/>
    <s v="No"/>
    <m/>
    <m/>
    <s v="degentle811@gmail.com"/>
    <s v="55"/>
    <m/>
    <m/>
    <m/>
    <m/>
    <m/>
    <m/>
    <m/>
    <m/>
    <d v="2026-02-18T09:38:45"/>
    <d v="2026-02-17T12:49:43"/>
    <m/>
    <s v="1140252"/>
    <m/>
    <m/>
    <m/>
    <m/>
    <m/>
    <m/>
    <m/>
    <m/>
    <m/>
    <m/>
    <m/>
    <m/>
    <m/>
    <m/>
    <m/>
    <m/>
    <m/>
    <m/>
    <m/>
    <m/>
    <m/>
    <m/>
    <s v="https://bnh.lightning.force.com/001WP00000ryJmJYAU"/>
    <m/>
    <m/>
    <m/>
    <m/>
    <m/>
    <m/>
    <m/>
    <m/>
    <m/>
    <m/>
    <m/>
    <m/>
    <m/>
    <m/>
    <m/>
    <m/>
    <m/>
    <m/>
    <m/>
    <m/>
    <m/>
    <m/>
    <m/>
    <m/>
    <m/>
    <m/>
    <m/>
    <m/>
    <m/>
    <m/>
    <m/>
    <m/>
    <m/>
    <m/>
    <m/>
    <m/>
    <m/>
    <m/>
    <s v="CAD"/>
    <m/>
    <s v="No"/>
    <s v="Gershon Orenstein"/>
    <s v="Gershon Orenstein"/>
    <d v="2026-02-17T20:47:16"/>
    <s v="Promoter"/>
    <s v="Closed"/>
    <m/>
    <m/>
    <s v="Yes"/>
    <m/>
    <m/>
    <m/>
    <m/>
    <m/>
    <m/>
    <m/>
    <m/>
    <m/>
    <m/>
    <m/>
    <m/>
    <m/>
    <m/>
    <m/>
    <m/>
    <s v="Getting an online quote was easy and surprisingly quick."/>
    <m/>
    <m/>
    <m/>
    <m/>
    <m/>
    <m/>
    <m/>
    <m/>
    <m/>
    <m/>
    <m/>
    <m/>
    <m/>
    <m/>
    <m/>
    <m/>
    <m/>
    <m/>
    <m/>
    <m/>
    <m/>
    <m/>
    <m/>
    <m/>
    <m/>
    <m/>
    <m/>
    <m/>
    <m/>
    <m/>
    <m/>
    <m/>
    <m/>
    <m/>
    <m/>
    <m/>
    <m/>
    <m/>
    <m/>
    <m/>
    <m/>
    <m/>
    <m/>
    <m/>
    <m/>
    <m/>
    <m/>
    <m/>
    <m/>
    <m/>
    <m/>
    <m/>
    <m/>
    <m/>
    <m/>
    <m/>
    <m/>
    <m/>
    <m/>
    <m/>
    <m/>
    <m/>
    <m/>
    <m/>
    <m/>
    <m/>
    <m/>
    <m/>
    <m/>
    <m/>
    <m/>
    <m/>
    <m/>
    <m/>
    <m/>
    <m/>
    <m/>
    <m/>
    <m/>
    <m/>
    <m/>
    <m/>
    <m/>
    <m/>
    <m/>
    <m/>
    <m/>
    <s v="Getting an online quote was easy and surprisingly qui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4"/>
    <n v="5"/>
    <n v="4"/>
    <m/>
    <m/>
    <m/>
    <m/>
    <m/>
    <m/>
    <m/>
    <m/>
    <m/>
    <m/>
    <m/>
    <m/>
    <m/>
    <m/>
    <m/>
    <m/>
    <m/>
    <m/>
    <m/>
    <m/>
    <m/>
    <m/>
    <m/>
    <m/>
    <m/>
    <m/>
    <m/>
    <m/>
    <m/>
    <m/>
    <m/>
    <m/>
    <m/>
    <m/>
    <m/>
    <m/>
    <m/>
    <m/>
    <m/>
    <m/>
    <m/>
    <m/>
    <m/>
    <m/>
    <m/>
    <m/>
    <m/>
    <m/>
    <m/>
    <m/>
    <m/>
    <m/>
    <m/>
    <m/>
    <m/>
    <m/>
    <m/>
    <m/>
    <m/>
    <m/>
    <m/>
    <m/>
    <m/>
    <m/>
    <m/>
    <m/>
    <m/>
    <m/>
    <m/>
    <m/>
    <m/>
    <m/>
    <m/>
    <m/>
    <m/>
    <m/>
    <m/>
    <m/>
    <m/>
    <m/>
    <m/>
    <m/>
    <m/>
    <m/>
    <m/>
    <m/>
    <m/>
    <m/>
    <m/>
    <m/>
    <m/>
    <m/>
    <m/>
    <m/>
    <m/>
    <m/>
    <m/>
    <m/>
    <m/>
    <m/>
    <m/>
    <s v="Trade In &gt; Overall Process &gt;, Trade In &gt; Timeliness of Quote &gt;"/>
    <s v="Trade In &gt; Overall Process &gt;, Trade In &gt; Timeliness of Quote &gt;"/>
    <m/>
    <m/>
    <s v="Trade In &gt; Overall Process &gt; (Positive), Trade In &gt; Timeliness of Quote &gt; (Positive)"/>
    <s v="Trade In &gt; Overall Process &gt; (Positive), Trade In &gt; Timeliness of Quote &gt; (Positive)"/>
    <s v="No"/>
    <s v="No"/>
    <m/>
    <x v="0"/>
    <x v="0"/>
    <x v="0"/>
    <m/>
    <x v="0"/>
    <x v="0"/>
  </r>
  <r>
    <s v="Frank J. Castiglia - Used Trade-In Product"/>
    <n v="10"/>
    <n v="5"/>
    <d v="2026-02-17T17:18:19"/>
    <n v="5223165"/>
    <s v="Used Trade-In Product"/>
    <m/>
    <s v="Frank J. Castiglia"/>
    <m/>
    <s v="fcastiglia7@gmail.com"/>
    <m/>
    <s v="Omaha;Nebraska;68106"/>
    <m/>
    <s v="8 years 7 months"/>
    <s v="No"/>
    <m/>
    <m/>
    <s v="fcastiglia7@gmail.com"/>
    <s v="103"/>
    <m/>
    <m/>
    <m/>
    <m/>
    <m/>
    <m/>
    <m/>
    <m/>
    <d v="2026-02-18T09:26:23"/>
    <d v="2026-02-16T12:45:39"/>
    <m/>
    <s v="1140220"/>
    <m/>
    <m/>
    <m/>
    <m/>
    <m/>
    <m/>
    <m/>
    <m/>
    <m/>
    <m/>
    <m/>
    <m/>
    <m/>
    <m/>
    <m/>
    <m/>
    <m/>
    <m/>
    <m/>
    <m/>
    <m/>
    <m/>
    <s v="https://bnh.lightning.force.com/001WP00000ryD2QYAU"/>
    <m/>
    <m/>
    <m/>
    <m/>
    <m/>
    <m/>
    <m/>
    <m/>
    <m/>
    <m/>
    <m/>
    <m/>
    <m/>
    <m/>
    <m/>
    <m/>
    <m/>
    <m/>
    <m/>
    <m/>
    <m/>
    <m/>
    <m/>
    <m/>
    <m/>
    <m/>
    <m/>
    <m/>
    <m/>
    <m/>
    <m/>
    <m/>
    <m/>
    <m/>
    <m/>
    <m/>
    <m/>
    <m/>
    <s v="CAD"/>
    <m/>
    <s v="No"/>
    <s v="Freddy Gomez"/>
    <s v="Freddy Gomez"/>
    <d v="2026-02-17T17:16:26"/>
    <s v="Promoter"/>
    <s v="Closed"/>
    <m/>
    <m/>
    <s v="Yes"/>
    <m/>
    <m/>
    <m/>
    <m/>
    <m/>
    <m/>
    <m/>
    <m/>
    <m/>
    <m/>
    <m/>
    <m/>
    <m/>
    <m/>
    <m/>
    <m/>
    <s v="I always trusted the folks at B&amp;H.  So I trusted them on selling them my gear.  Obviously I would have wanted more for my gear. But I don’t get to make that call.  Over all I’m very satisfied with the process and result.  Thank you.  Frank j Castiglia"/>
    <m/>
    <m/>
    <m/>
    <m/>
    <s v="Nada"/>
    <m/>
    <m/>
    <m/>
    <m/>
    <m/>
    <m/>
    <m/>
    <m/>
    <m/>
    <m/>
    <m/>
    <m/>
    <m/>
    <m/>
    <m/>
    <m/>
    <m/>
    <m/>
    <m/>
    <m/>
    <m/>
    <m/>
    <m/>
    <m/>
    <m/>
    <m/>
    <m/>
    <m/>
    <m/>
    <m/>
    <m/>
    <m/>
    <m/>
    <m/>
    <m/>
    <m/>
    <m/>
    <m/>
    <m/>
    <m/>
    <m/>
    <m/>
    <m/>
    <m/>
    <m/>
    <m/>
    <m/>
    <m/>
    <m/>
    <m/>
    <m/>
    <m/>
    <m/>
    <m/>
    <m/>
    <m/>
    <m/>
    <m/>
    <m/>
    <m/>
    <m/>
    <m/>
    <m/>
    <m/>
    <m/>
    <m/>
    <m/>
    <m/>
    <m/>
    <m/>
    <m/>
    <m/>
    <m/>
    <m/>
    <m/>
    <m/>
    <m/>
    <m/>
    <m/>
    <m/>
    <m/>
    <m/>
    <s v="I always trusted the folks at B&amp;H.  So I trusted them on selling them my gear.  Obviously I would have wanted more for my gear. But I don’t get to make that call.  Over all I’m very satisfied with the process and result.  Thank you.  Frank j Castiglia"/>
    <s v="Nad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Reliable / Trustworthy &gt;, B&amp;H &gt; Satisfaction &gt;, Trade In &gt; Overall Process &gt;, Trade In &gt; Quote Price &gt;"/>
    <m/>
    <m/>
    <s v="Trade In &gt; Overall Process &gt; (Positive)"/>
    <s v="B&amp;H &gt; Reliable / Trustworthy &gt; (Positive), B&amp;H &gt; Satisfaction &gt; (Positive), Trade In &gt; Overall Process &gt; (Positive), Trade In &gt; Quote Price &gt; (Negative), Trade In &gt; Quote Price &gt; (Positive)"/>
    <s v="Yes"/>
    <s v="Yes"/>
    <m/>
    <x v="16"/>
    <x v="0"/>
    <x v="0"/>
    <m/>
    <x v="0"/>
    <x v="0"/>
  </r>
  <r>
    <s v="Tam Cao - Used Trade-In Product"/>
    <n v="10"/>
    <n v="5"/>
    <d v="2026-02-17T13:34:02"/>
    <n v="5222625"/>
    <s v="Used Trade-In Product"/>
    <m/>
    <s v="Tam Cao"/>
    <m/>
    <s v="mail4tamcao@yahoo.com"/>
    <m/>
    <s v="Trophy Club;Texas;76262"/>
    <m/>
    <s v="25 years 8 months"/>
    <s v="Yes"/>
    <m/>
    <m/>
    <s v="mail4tamcao@yahoo.com"/>
    <s v="308"/>
    <m/>
    <m/>
    <m/>
    <m/>
    <m/>
    <m/>
    <m/>
    <m/>
    <d v="2026-02-17T14:28:56"/>
    <d v="2026-02-17T15:18:53"/>
    <m/>
    <s v="1141187"/>
    <m/>
    <m/>
    <m/>
    <m/>
    <m/>
    <m/>
    <m/>
    <m/>
    <m/>
    <m/>
    <m/>
    <m/>
    <m/>
    <m/>
    <m/>
    <m/>
    <m/>
    <m/>
    <m/>
    <m/>
    <m/>
    <m/>
    <s v="https://bnh.lightning.force.com/001WP00000lyvaVYAQ"/>
    <m/>
    <m/>
    <m/>
    <m/>
    <m/>
    <m/>
    <m/>
    <m/>
    <m/>
    <m/>
    <m/>
    <m/>
    <m/>
    <m/>
    <m/>
    <m/>
    <m/>
    <m/>
    <m/>
    <m/>
    <m/>
    <m/>
    <m/>
    <m/>
    <m/>
    <m/>
    <m/>
    <m/>
    <m/>
    <m/>
    <m/>
    <m/>
    <m/>
    <m/>
    <m/>
    <m/>
    <m/>
    <m/>
    <s v="CAD"/>
    <m/>
    <s v="No"/>
    <s v="Sergio Jonusas"/>
    <s v="Sergio Jonusas"/>
    <d v="2026-02-17T13:35:23"/>
    <s v="Promoter"/>
    <s v="Closed"/>
    <m/>
    <m/>
    <s v="Yes"/>
    <m/>
    <m/>
    <m/>
    <m/>
    <m/>
    <m/>
    <m/>
    <m/>
    <m/>
    <m/>
    <m/>
    <m/>
    <m/>
    <m/>
    <m/>
    <m/>
    <s v="Fast and easy transaction."/>
    <m/>
    <m/>
    <m/>
    <m/>
    <s v="None"/>
    <m/>
    <m/>
    <m/>
    <m/>
    <m/>
    <m/>
    <m/>
    <m/>
    <m/>
    <m/>
    <m/>
    <m/>
    <m/>
    <m/>
    <m/>
    <m/>
    <m/>
    <m/>
    <m/>
    <m/>
    <m/>
    <m/>
    <m/>
    <m/>
    <m/>
    <m/>
    <m/>
    <m/>
    <m/>
    <m/>
    <m/>
    <m/>
    <m/>
    <m/>
    <m/>
    <m/>
    <m/>
    <m/>
    <m/>
    <m/>
    <m/>
    <m/>
    <m/>
    <m/>
    <m/>
    <m/>
    <m/>
    <m/>
    <m/>
    <m/>
    <m/>
    <m/>
    <m/>
    <m/>
    <m/>
    <m/>
    <m/>
    <m/>
    <m/>
    <m/>
    <m/>
    <m/>
    <m/>
    <m/>
    <m/>
    <m/>
    <m/>
    <m/>
    <m/>
    <m/>
    <m/>
    <m/>
    <m/>
    <m/>
    <m/>
    <m/>
    <m/>
    <m/>
    <m/>
    <m/>
    <m/>
    <m/>
    <s v="Fast and easy transaction."/>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Patrick Chaisson - Used Trade-In Product"/>
    <n v="10"/>
    <n v="5"/>
    <d v="2026-02-17T13:30:48"/>
    <n v="5222607"/>
    <s v="Used Trade-In Product"/>
    <m/>
    <s v="Patrick Chaisson"/>
    <m/>
    <s v="patchais@aol.com"/>
    <m/>
    <s v="Scotia;New York;12302"/>
    <s v="Scotia;New York;12302"/>
    <s v="11 years 2 months"/>
    <s v="No"/>
    <m/>
    <m/>
    <s v="patchais@aol.com"/>
    <s v="134"/>
    <m/>
    <m/>
    <m/>
    <m/>
    <m/>
    <m/>
    <m/>
    <m/>
    <d v="2026-02-17T15:22:32"/>
    <d v="2026-02-17T12:51:15"/>
    <m/>
    <s v="1141739"/>
    <m/>
    <m/>
    <m/>
    <m/>
    <m/>
    <m/>
    <m/>
    <m/>
    <m/>
    <m/>
    <m/>
    <m/>
    <m/>
    <m/>
    <m/>
    <m/>
    <m/>
    <m/>
    <m/>
    <m/>
    <m/>
    <m/>
    <s v="https://bnh.lightning.force.com/0011a00000G69BMAAZ"/>
    <m/>
    <m/>
    <m/>
    <m/>
    <m/>
    <m/>
    <m/>
    <m/>
    <m/>
    <m/>
    <m/>
    <m/>
    <m/>
    <m/>
    <m/>
    <m/>
    <m/>
    <m/>
    <m/>
    <m/>
    <m/>
    <m/>
    <m/>
    <m/>
    <m/>
    <m/>
    <m/>
    <m/>
    <m/>
    <m/>
    <m/>
    <m/>
    <m/>
    <m/>
    <m/>
    <m/>
    <m/>
    <m/>
    <s v="CAD"/>
    <m/>
    <s v="No"/>
    <s v="Sergio Jonusas"/>
    <s v="Sergio Jonusas"/>
    <d v="2026-02-17T13:31:12"/>
    <s v="Promoter"/>
    <s v="Closed"/>
    <m/>
    <m/>
    <s v="Yes"/>
    <m/>
    <m/>
    <m/>
    <m/>
    <m/>
    <m/>
    <m/>
    <m/>
    <m/>
    <m/>
    <m/>
    <m/>
    <m/>
    <m/>
    <m/>
    <m/>
    <s v="It was so easy to sell my unwanted gear!"/>
    <m/>
    <m/>
    <m/>
    <m/>
    <s v="Nothing!"/>
    <m/>
    <m/>
    <m/>
    <m/>
    <m/>
    <m/>
    <m/>
    <m/>
    <m/>
    <m/>
    <m/>
    <m/>
    <m/>
    <m/>
    <m/>
    <m/>
    <m/>
    <m/>
    <m/>
    <m/>
    <m/>
    <m/>
    <m/>
    <m/>
    <m/>
    <m/>
    <m/>
    <m/>
    <m/>
    <m/>
    <m/>
    <m/>
    <m/>
    <m/>
    <m/>
    <m/>
    <m/>
    <m/>
    <m/>
    <m/>
    <m/>
    <m/>
    <m/>
    <m/>
    <m/>
    <m/>
    <m/>
    <m/>
    <m/>
    <m/>
    <m/>
    <m/>
    <m/>
    <m/>
    <m/>
    <m/>
    <m/>
    <m/>
    <m/>
    <m/>
    <m/>
    <m/>
    <m/>
    <m/>
    <m/>
    <m/>
    <m/>
    <m/>
    <m/>
    <m/>
    <m/>
    <m/>
    <m/>
    <m/>
    <m/>
    <m/>
    <m/>
    <m/>
    <m/>
    <m/>
    <m/>
    <m/>
    <s v="It was so easy to sell my unwanted gear!"/>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Returns &gt; Overall Process &gt;"/>
    <m/>
    <m/>
    <m/>
    <s v="Returns &gt; Overall Process &gt; (Positive)"/>
    <s v="Yes"/>
    <s v="No"/>
    <m/>
    <x v="0"/>
    <x v="0"/>
    <x v="0"/>
    <m/>
    <x v="0"/>
    <x v="0"/>
  </r>
  <r>
    <s v="William Lukens - Used Trade-In Product"/>
    <n v="10"/>
    <n v="5"/>
    <d v="2026-02-17T12:20:17"/>
    <n v="5222303"/>
    <s v="Used Trade-In Product"/>
    <m/>
    <s v="William Lukens"/>
    <m/>
    <s v="scottlukens1@me.com"/>
    <m/>
    <s v="Eugene;Oregon;97403"/>
    <m/>
    <m/>
    <s v="No"/>
    <m/>
    <m/>
    <s v="scottlukens1@me.com"/>
    <m/>
    <m/>
    <m/>
    <m/>
    <m/>
    <m/>
    <m/>
    <m/>
    <m/>
    <d v="2026-02-17T13:49:14"/>
    <d v="2026-02-16T20:21:51"/>
    <m/>
    <s v="1142618"/>
    <m/>
    <m/>
    <m/>
    <m/>
    <m/>
    <m/>
    <m/>
    <m/>
    <m/>
    <m/>
    <m/>
    <m/>
    <m/>
    <m/>
    <m/>
    <m/>
    <m/>
    <m/>
    <m/>
    <m/>
    <m/>
    <m/>
    <s v="https://bnh.lightning.force.com/001WP00000tQdHTYA0"/>
    <m/>
    <m/>
    <m/>
    <m/>
    <m/>
    <m/>
    <m/>
    <m/>
    <m/>
    <m/>
    <m/>
    <m/>
    <m/>
    <m/>
    <m/>
    <m/>
    <m/>
    <m/>
    <m/>
    <m/>
    <m/>
    <m/>
    <m/>
    <m/>
    <m/>
    <m/>
    <m/>
    <m/>
    <m/>
    <m/>
    <m/>
    <m/>
    <m/>
    <m/>
    <m/>
    <m/>
    <m/>
    <m/>
    <s v="CAD"/>
    <m/>
    <s v="No"/>
    <s v="Aine Hoye"/>
    <s v="Aine Hoye"/>
    <d v="2026-02-17T12:20:53"/>
    <s v="Promoter"/>
    <s v="Closed"/>
    <m/>
    <m/>
    <s v="Yes"/>
    <m/>
    <m/>
    <m/>
    <m/>
    <m/>
    <m/>
    <m/>
    <m/>
    <m/>
    <m/>
    <m/>
    <m/>
    <m/>
    <m/>
    <m/>
    <m/>
    <s v="Time it took to receive quote_x000a_Prepaid postage by BH"/>
    <m/>
    <m/>
    <m/>
    <m/>
    <s v="Nothing"/>
    <m/>
    <m/>
    <m/>
    <m/>
    <m/>
    <m/>
    <m/>
    <m/>
    <m/>
    <m/>
    <m/>
    <m/>
    <m/>
    <m/>
    <m/>
    <m/>
    <m/>
    <m/>
    <m/>
    <m/>
    <m/>
    <m/>
    <m/>
    <m/>
    <m/>
    <m/>
    <m/>
    <m/>
    <m/>
    <m/>
    <m/>
    <m/>
    <m/>
    <m/>
    <m/>
    <m/>
    <m/>
    <m/>
    <m/>
    <m/>
    <m/>
    <m/>
    <m/>
    <m/>
    <m/>
    <m/>
    <m/>
    <m/>
    <m/>
    <m/>
    <m/>
    <m/>
    <m/>
    <m/>
    <m/>
    <m/>
    <m/>
    <m/>
    <m/>
    <m/>
    <m/>
    <m/>
    <m/>
    <m/>
    <m/>
    <m/>
    <m/>
    <m/>
    <m/>
    <m/>
    <m/>
    <m/>
    <m/>
    <m/>
    <m/>
    <m/>
    <m/>
    <m/>
    <m/>
    <m/>
    <m/>
    <m/>
    <s v="Time it took to receive quote_x000a_Prepaid postage by BH"/>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Quote &gt;"/>
    <m/>
    <m/>
    <s v="Trade In &gt; Overall Process &gt; (No opinion)"/>
    <s v="Trade In &gt; Overall Process &gt; (Positive), Trade In &gt; Timeliness of Quote &gt; (Positive)"/>
    <s v="Yes"/>
    <s v="Yes"/>
    <m/>
    <x v="13"/>
    <x v="26"/>
    <x v="0"/>
    <m/>
    <x v="0"/>
    <x v="0"/>
  </r>
  <r>
    <s v="John Barker - Used Trade-In Product"/>
    <n v="10"/>
    <n v="5"/>
    <d v="2026-02-17T11:34:26"/>
    <n v="5222172"/>
    <s v="Used Trade-In Product"/>
    <m/>
    <s v="John Barker"/>
    <m/>
    <s v="rek99rab@roadrunner.com"/>
    <m/>
    <s v="Thousand Oaks;California;91360"/>
    <m/>
    <m/>
    <s v="No"/>
    <m/>
    <m/>
    <s v="rek99rab@roadrunner.com"/>
    <m/>
    <m/>
    <m/>
    <m/>
    <m/>
    <m/>
    <m/>
    <m/>
    <m/>
    <d v="2026-02-17T14:01:34"/>
    <d v="2026-02-17T12:50:09"/>
    <m/>
    <s v="1139776"/>
    <m/>
    <m/>
    <m/>
    <m/>
    <m/>
    <m/>
    <m/>
    <m/>
    <m/>
    <m/>
    <m/>
    <m/>
    <m/>
    <m/>
    <m/>
    <m/>
    <m/>
    <m/>
    <m/>
    <m/>
    <m/>
    <m/>
    <s v="https://bnh.lightning.force.com/0011a00000lR3aRAAS"/>
    <m/>
    <m/>
    <m/>
    <m/>
    <m/>
    <m/>
    <m/>
    <m/>
    <m/>
    <m/>
    <m/>
    <m/>
    <m/>
    <m/>
    <m/>
    <m/>
    <m/>
    <m/>
    <m/>
    <m/>
    <m/>
    <m/>
    <m/>
    <m/>
    <m/>
    <m/>
    <m/>
    <m/>
    <m/>
    <m/>
    <m/>
    <m/>
    <m/>
    <m/>
    <m/>
    <m/>
    <m/>
    <m/>
    <s v="CAD"/>
    <m/>
    <s v="No"/>
    <s v="Freddy Gomez"/>
    <s v="Freddy Gomez"/>
    <d v="2026-02-17T11:32:28"/>
    <s v="Promoter"/>
    <s v="Closed"/>
    <m/>
    <m/>
    <s v="Yes"/>
    <m/>
    <m/>
    <m/>
    <m/>
    <m/>
    <m/>
    <m/>
    <m/>
    <m/>
    <m/>
    <m/>
    <m/>
    <m/>
    <m/>
    <m/>
    <m/>
    <s v="Fast service! Probably a fair price in light of value of 20 yr old photo gear"/>
    <m/>
    <m/>
    <m/>
    <m/>
    <s v="Disappointed in low bids on the fixed FL Nikon lenses, guess that's due to tech changes in photography (replacement of SLR's with mirrorless camera bodies?)"/>
    <m/>
    <m/>
    <m/>
    <m/>
    <m/>
    <m/>
    <m/>
    <m/>
    <m/>
    <m/>
    <m/>
    <m/>
    <m/>
    <m/>
    <m/>
    <m/>
    <m/>
    <m/>
    <m/>
    <m/>
    <m/>
    <m/>
    <m/>
    <m/>
    <m/>
    <m/>
    <m/>
    <m/>
    <m/>
    <m/>
    <m/>
    <m/>
    <m/>
    <m/>
    <m/>
    <m/>
    <m/>
    <m/>
    <m/>
    <m/>
    <m/>
    <m/>
    <m/>
    <m/>
    <m/>
    <m/>
    <m/>
    <m/>
    <m/>
    <m/>
    <m/>
    <m/>
    <m/>
    <m/>
    <m/>
    <m/>
    <m/>
    <m/>
    <m/>
    <m/>
    <m/>
    <m/>
    <m/>
    <m/>
    <m/>
    <m/>
    <m/>
    <m/>
    <m/>
    <m/>
    <m/>
    <m/>
    <m/>
    <m/>
    <m/>
    <m/>
    <m/>
    <m/>
    <m/>
    <m/>
    <m/>
    <m/>
    <s v="Fast service! Probably a fair price in light of value of 20 yr old photo gear"/>
    <s v="Disappointed in low bids on the fixed FL Nikon lenses, guess that's due to tech changes in photography (replacement of SLR's with mirrorless camera bodi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m/>
    <m/>
    <s v="Pricing &gt; Value for Money &gt; (Negative), Trade In &gt; Quote Price &gt; (Negative), Used &gt; Pricing &gt; (Negative)"/>
    <s v="Trade In &gt; Overall Process &gt; (Positive), Trade In &gt; Quote Price &gt; (Negative), Trade In &gt; Quote Price &gt; (Positive)"/>
    <s v="Yes"/>
    <s v="Yes"/>
    <m/>
    <x v="5"/>
    <x v="6"/>
    <x v="6"/>
    <m/>
    <x v="0"/>
    <x v="0"/>
  </r>
  <r>
    <s v="Yuki Kim - Used Trade-In Product"/>
    <n v="8"/>
    <n v="4"/>
    <d v="2026-02-17T11:20:39"/>
    <n v="5222112"/>
    <s v="Used Trade-In Product"/>
    <m/>
    <s v="Yuki Kim"/>
    <m/>
    <s v="yugin@ymail.com"/>
    <m/>
    <s v="Lakewood;California;90715"/>
    <s v="Lakewood;California;90715"/>
    <s v="17 years 3 months"/>
    <s v="No"/>
    <m/>
    <m/>
    <s v="yugin@ymail.com"/>
    <s v="207"/>
    <m/>
    <m/>
    <m/>
    <m/>
    <m/>
    <m/>
    <m/>
    <m/>
    <d v="2026-02-17T13:40:51"/>
    <d v="2026-02-17T12:49:47"/>
    <m/>
    <s v="1140020"/>
    <m/>
    <m/>
    <m/>
    <m/>
    <m/>
    <m/>
    <m/>
    <m/>
    <m/>
    <m/>
    <m/>
    <m/>
    <m/>
    <m/>
    <m/>
    <m/>
    <m/>
    <m/>
    <m/>
    <m/>
    <m/>
    <m/>
    <s v="https://bnh.lightning.force.com/0011a00000cNIOqAAO"/>
    <m/>
    <m/>
    <m/>
    <m/>
    <m/>
    <m/>
    <m/>
    <m/>
    <m/>
    <m/>
    <m/>
    <m/>
    <m/>
    <m/>
    <m/>
    <m/>
    <m/>
    <m/>
    <m/>
    <m/>
    <m/>
    <m/>
    <m/>
    <m/>
    <m/>
    <m/>
    <m/>
    <m/>
    <m/>
    <m/>
    <m/>
    <m/>
    <m/>
    <m/>
    <m/>
    <m/>
    <m/>
    <m/>
    <s v="CAD"/>
    <m/>
    <s v="No"/>
    <s v="Freddy Gomez"/>
    <s v="Freddy Gomez"/>
    <d v="2026-02-17T11:12:37"/>
    <s v="Passive"/>
    <s v="Closed"/>
    <m/>
    <m/>
    <s v="Yes"/>
    <m/>
    <m/>
    <m/>
    <m/>
    <m/>
    <m/>
    <m/>
    <m/>
    <m/>
    <m/>
    <m/>
    <m/>
    <m/>
    <m/>
    <m/>
    <m/>
    <s v="I appreciate that they don’t try to negotiate the price._x000a_Yes, It’s an online quote"/>
    <m/>
    <m/>
    <m/>
    <m/>
    <s v="It takes a week to get the quote, and another week to receive the check, so it takes a total of two weeks. That’s a bit long."/>
    <m/>
    <m/>
    <m/>
    <m/>
    <m/>
    <m/>
    <m/>
    <m/>
    <m/>
    <m/>
    <m/>
    <m/>
    <m/>
    <m/>
    <m/>
    <m/>
    <m/>
    <m/>
    <m/>
    <m/>
    <m/>
    <m/>
    <m/>
    <m/>
    <m/>
    <m/>
    <m/>
    <m/>
    <m/>
    <m/>
    <m/>
    <m/>
    <m/>
    <m/>
    <m/>
    <m/>
    <m/>
    <m/>
    <m/>
    <m/>
    <m/>
    <m/>
    <m/>
    <m/>
    <m/>
    <m/>
    <m/>
    <m/>
    <m/>
    <m/>
    <m/>
    <m/>
    <m/>
    <m/>
    <m/>
    <m/>
    <m/>
    <m/>
    <m/>
    <m/>
    <m/>
    <m/>
    <m/>
    <m/>
    <m/>
    <m/>
    <m/>
    <m/>
    <m/>
    <m/>
    <m/>
    <m/>
    <m/>
    <m/>
    <m/>
    <m/>
    <m/>
    <m/>
    <m/>
    <m/>
    <m/>
    <m/>
    <s v="I appreciate that they don’t try to negotiate the price._x000a_Yes, It’s an online quote"/>
    <s v="It takes a week to get the quote, and another week to receive the check, so it takes a total of two weeks. That’s a bit lo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4"/>
    <n v="4"/>
    <m/>
    <m/>
    <m/>
    <m/>
    <m/>
    <m/>
    <n v="4"/>
    <n v="4"/>
    <n v="4"/>
    <n v="4"/>
    <m/>
    <m/>
    <m/>
    <m/>
    <m/>
    <m/>
    <m/>
    <m/>
    <m/>
    <m/>
    <m/>
    <m/>
    <m/>
    <m/>
    <m/>
    <m/>
    <m/>
    <m/>
    <m/>
    <m/>
    <m/>
    <m/>
    <m/>
    <m/>
    <m/>
    <m/>
    <m/>
    <m/>
    <m/>
    <m/>
    <m/>
    <m/>
    <m/>
    <m/>
    <m/>
    <m/>
    <m/>
    <m/>
    <m/>
    <m/>
    <m/>
    <m/>
    <m/>
    <m/>
    <m/>
    <m/>
    <m/>
    <m/>
    <m/>
    <m/>
    <m/>
    <m/>
    <m/>
    <m/>
    <m/>
    <m/>
    <m/>
    <m/>
    <m/>
    <m/>
    <m/>
    <m/>
    <m/>
    <m/>
    <m/>
    <m/>
    <m/>
    <m/>
    <m/>
    <m/>
    <m/>
    <m/>
    <m/>
    <m/>
    <m/>
    <m/>
    <m/>
    <m/>
    <m/>
    <m/>
    <m/>
    <m/>
    <m/>
    <m/>
    <m/>
    <m/>
    <m/>
    <m/>
    <m/>
    <m/>
    <m/>
    <m/>
    <m/>
    <m/>
    <m/>
    <m/>
    <m/>
    <m/>
    <m/>
    <m/>
    <m/>
    <s v="Pricing &gt; Value for Money &gt;, Trade In &gt; Overall Process &gt;, Used &gt; Pricing &gt;"/>
    <s v="Trade In &gt; Overall Process &gt;, Trade In &gt; Timeliness of Payment &gt;, Trade In &gt; Timeliness of Quote &gt;"/>
    <m/>
    <m/>
    <s v="Pricing &gt; Value for Money &gt; (Positive), Trade In &gt; Overall Process &gt; (Negative), Trade In &gt; Overall Process &gt; (No opinion), Used &gt; Pricing &gt; (Positive)"/>
    <s v="Trade In &gt; Overall Process &gt; (Positive), Trade In &gt; Timeliness of Payment &gt; (Negative), Trade In &gt; Timeliness of Quote &gt; (Negative)"/>
    <s v="Yes"/>
    <s v="Yes"/>
    <m/>
    <x v="3"/>
    <x v="4"/>
    <x v="9"/>
    <m/>
    <x v="0"/>
    <x v="0"/>
  </r>
  <r>
    <s v="Momotazur Rahman - Used Trade-In Product"/>
    <n v="10"/>
    <n v="5"/>
    <d v="2026-02-17T10:55:46"/>
    <n v="5222027"/>
    <s v="Used Trade-In Product"/>
    <m/>
    <s v="Momotazur Rahman"/>
    <m/>
    <s v="momotazur@gmail.com"/>
    <m/>
    <s v="Barrington;Rhode Island;02806"/>
    <s v="Barrington;Rhode Island;02806"/>
    <s v="13 years 3 months"/>
    <s v="No"/>
    <m/>
    <m/>
    <s v="momotazur@gmail.com"/>
    <s v="159"/>
    <m/>
    <m/>
    <m/>
    <m/>
    <m/>
    <m/>
    <m/>
    <m/>
    <d v="2026-02-17T12:46:34"/>
    <d v="2026-02-17T13:15:18"/>
    <m/>
    <s v="1143400"/>
    <m/>
    <m/>
    <m/>
    <m/>
    <m/>
    <m/>
    <m/>
    <m/>
    <m/>
    <m/>
    <m/>
    <m/>
    <m/>
    <m/>
    <m/>
    <m/>
    <m/>
    <m/>
    <m/>
    <m/>
    <m/>
    <m/>
    <s v="https://bnh.lightning.force.com/001WP00000l5dRFYAY"/>
    <m/>
    <m/>
    <m/>
    <m/>
    <m/>
    <m/>
    <m/>
    <m/>
    <m/>
    <m/>
    <m/>
    <m/>
    <m/>
    <m/>
    <m/>
    <m/>
    <m/>
    <m/>
    <m/>
    <m/>
    <m/>
    <m/>
    <m/>
    <m/>
    <m/>
    <m/>
    <m/>
    <m/>
    <m/>
    <m/>
    <m/>
    <m/>
    <m/>
    <m/>
    <m/>
    <m/>
    <m/>
    <m/>
    <s v="CAD"/>
    <m/>
    <s v="No"/>
    <s v="Freddy Gomez"/>
    <s v="Freddy Gomez"/>
    <d v="2026-02-17T10:45:21"/>
    <s v="Promoter"/>
    <s v="Closed"/>
    <m/>
    <m/>
    <s v="Yes"/>
    <m/>
    <m/>
    <m/>
    <m/>
    <m/>
    <m/>
    <m/>
    <m/>
    <m/>
    <m/>
    <m/>
    <m/>
    <m/>
    <m/>
    <m/>
    <m/>
    <s v="They gave me the highest price. I first tried KEH, from whom I bought the lens a few months ago. I then tried our local Hunts photo, and the representative basically told me to check B&amp;H."/>
    <m/>
    <m/>
    <m/>
    <m/>
    <s v="Nothing."/>
    <m/>
    <m/>
    <m/>
    <m/>
    <m/>
    <m/>
    <m/>
    <m/>
    <m/>
    <m/>
    <m/>
    <m/>
    <m/>
    <m/>
    <m/>
    <m/>
    <m/>
    <m/>
    <m/>
    <m/>
    <m/>
    <m/>
    <m/>
    <m/>
    <m/>
    <m/>
    <m/>
    <m/>
    <m/>
    <m/>
    <m/>
    <m/>
    <m/>
    <m/>
    <m/>
    <m/>
    <m/>
    <m/>
    <m/>
    <m/>
    <m/>
    <m/>
    <m/>
    <m/>
    <m/>
    <m/>
    <m/>
    <m/>
    <m/>
    <m/>
    <m/>
    <m/>
    <m/>
    <m/>
    <m/>
    <m/>
    <m/>
    <m/>
    <m/>
    <m/>
    <m/>
    <m/>
    <m/>
    <m/>
    <m/>
    <m/>
    <m/>
    <m/>
    <m/>
    <m/>
    <m/>
    <m/>
    <m/>
    <m/>
    <m/>
    <m/>
    <m/>
    <m/>
    <m/>
    <m/>
    <m/>
    <m/>
    <s v="They gave me the highest price. I first tried KEH, from whom I bought the lens a few months ago. I then tried our local Hunts photo, and the representative basically told me to check B&amp;H."/>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s v="N/A"/>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B&amp;H &gt; Competitor Mentions &gt;, Trade In &gt; Quote Price &gt;"/>
    <m/>
    <m/>
    <s v="Pricing &gt; Value for Money &gt; (Positive), Trade In &gt; Quote Price &gt; (Positive), Used &gt; Pricing &gt; (Positive)"/>
    <s v="B&amp;H &gt; Competitor Mentions &gt; (No opinion), Trade In &gt; Quote Price &gt; (Positive)"/>
    <s v="Yes"/>
    <s v="No"/>
    <m/>
    <x v="10"/>
    <x v="11"/>
    <x v="0"/>
    <m/>
    <x v="0"/>
    <x v="0"/>
  </r>
  <r>
    <s v="Carolyn Stables - Used Trade-In Product"/>
    <n v="10"/>
    <n v="5"/>
    <d v="2026-02-17T10:28:58"/>
    <n v="5221968"/>
    <s v="Used Trade-In Product"/>
    <m/>
    <s v="Carolyn Stables"/>
    <m/>
    <s v="cestables@gmail.com"/>
    <m/>
    <s v="San Diego;California;92128"/>
    <s v="San Diego;California;92128"/>
    <s v="2 years 10 months"/>
    <s v="No"/>
    <m/>
    <m/>
    <s v="cestables@gmail.com"/>
    <s v="34"/>
    <m/>
    <m/>
    <m/>
    <m/>
    <m/>
    <m/>
    <m/>
    <m/>
    <d v="2026-02-17T12:50:29"/>
    <d v="2026-02-17T12:50:19"/>
    <m/>
    <s v="1140452"/>
    <m/>
    <m/>
    <m/>
    <m/>
    <m/>
    <m/>
    <m/>
    <m/>
    <m/>
    <m/>
    <m/>
    <m/>
    <m/>
    <m/>
    <m/>
    <m/>
    <m/>
    <m/>
    <m/>
    <m/>
    <m/>
    <m/>
    <s v="https://bnh.lightning.force.com/001Hs00005lhzfiIAA"/>
    <m/>
    <m/>
    <m/>
    <m/>
    <m/>
    <m/>
    <m/>
    <m/>
    <m/>
    <m/>
    <m/>
    <m/>
    <m/>
    <m/>
    <m/>
    <m/>
    <m/>
    <m/>
    <m/>
    <m/>
    <m/>
    <m/>
    <m/>
    <m/>
    <m/>
    <m/>
    <m/>
    <m/>
    <m/>
    <m/>
    <m/>
    <m/>
    <m/>
    <m/>
    <m/>
    <m/>
    <m/>
    <m/>
    <s v="CAD"/>
    <m/>
    <s v="No"/>
    <s v="Freddy Gomez"/>
    <s v="Freddy Gomez"/>
    <d v="2026-02-17T10:23:51"/>
    <s v="Promoter"/>
    <s v="Closed"/>
    <m/>
    <m/>
    <s v="Yes"/>
    <m/>
    <m/>
    <m/>
    <m/>
    <m/>
    <m/>
    <m/>
    <m/>
    <m/>
    <m/>
    <m/>
    <m/>
    <m/>
    <m/>
    <m/>
    <m/>
    <s v="Reasonably fast"/>
    <m/>
    <m/>
    <m/>
    <m/>
    <s v="I thought the camera was worth more, especially because I also included extra batteries and the charger, the value of which was not included. I bought it from B&amp;H only months before and used it for 2 weeks. There's no real way to discuss this with anyone beforehand. I think it's a shame how AI is disrupting the customer experience."/>
    <m/>
    <m/>
    <m/>
    <m/>
    <m/>
    <m/>
    <m/>
    <m/>
    <m/>
    <m/>
    <m/>
    <m/>
    <m/>
    <m/>
    <m/>
    <m/>
    <m/>
    <m/>
    <m/>
    <m/>
    <m/>
    <m/>
    <m/>
    <m/>
    <m/>
    <m/>
    <m/>
    <m/>
    <m/>
    <m/>
    <m/>
    <m/>
    <m/>
    <m/>
    <m/>
    <m/>
    <m/>
    <m/>
    <m/>
    <m/>
    <m/>
    <m/>
    <m/>
    <m/>
    <m/>
    <m/>
    <m/>
    <m/>
    <m/>
    <m/>
    <m/>
    <m/>
    <m/>
    <m/>
    <m/>
    <m/>
    <m/>
    <m/>
    <m/>
    <m/>
    <m/>
    <m/>
    <m/>
    <m/>
    <m/>
    <m/>
    <m/>
    <m/>
    <m/>
    <m/>
    <m/>
    <m/>
    <m/>
    <m/>
    <m/>
    <m/>
    <m/>
    <m/>
    <m/>
    <m/>
    <m/>
    <m/>
    <s v="Reasonably fast"/>
    <s v="I thought the camera was worth more, especially because I also included extra batteries and the charger, the value of which was not included. I bought it from B&amp;H only months before and used it for 2 weeks. There's no real way to discuss this with anyone beforehand. I think it's a shame how AI is disrupting the customer experie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m/>
    <s v="Returns &gt; Speed &gt;, Trade In &gt; Overall Process &gt;, Trade In &gt; Quote Price &gt;"/>
    <m/>
    <m/>
    <m/>
    <s v="Returns &gt; Speed &gt; (Positive), Trade In &gt; Overall Process &gt; (Negative), Trade In &gt; Quote Price &gt; (Negative)"/>
    <s v="Yes"/>
    <s v="No"/>
    <m/>
    <x v="5"/>
    <x v="8"/>
    <x v="0"/>
    <m/>
    <x v="0"/>
    <x v="0"/>
  </r>
  <r>
    <s v="Constante Limcolioc - Used Trade-In Product"/>
    <n v="10"/>
    <n v="5"/>
    <d v="2026-02-17T10:05:02"/>
    <n v="5221894"/>
    <s v="Used Trade-In Product"/>
    <m/>
    <s v="Constante Limcolioc"/>
    <m/>
    <s v="constante.limcolioc@gmail.com"/>
    <m/>
    <s v="Union City;California;94587"/>
    <m/>
    <s v="17 years 10 months"/>
    <s v="No"/>
    <m/>
    <m/>
    <s v="constante.limcolioc@gmail.com"/>
    <s v="214"/>
    <m/>
    <m/>
    <m/>
    <m/>
    <m/>
    <m/>
    <m/>
    <m/>
    <d v="2026-02-17T13:27:43"/>
    <d v="2026-02-17T12:51:21"/>
    <m/>
    <s v="1138556"/>
    <m/>
    <m/>
    <m/>
    <m/>
    <m/>
    <m/>
    <m/>
    <m/>
    <m/>
    <m/>
    <m/>
    <m/>
    <m/>
    <m/>
    <m/>
    <m/>
    <m/>
    <m/>
    <m/>
    <m/>
    <m/>
    <m/>
    <s v="https://bnh.lightning.force.com/0018X00003UUw8vQAD"/>
    <m/>
    <m/>
    <m/>
    <m/>
    <m/>
    <m/>
    <m/>
    <m/>
    <m/>
    <m/>
    <m/>
    <m/>
    <m/>
    <m/>
    <m/>
    <m/>
    <m/>
    <m/>
    <m/>
    <m/>
    <m/>
    <m/>
    <m/>
    <m/>
    <m/>
    <m/>
    <m/>
    <m/>
    <m/>
    <m/>
    <m/>
    <m/>
    <m/>
    <m/>
    <m/>
    <m/>
    <m/>
    <m/>
    <s v="CAD"/>
    <m/>
    <s v="No"/>
    <s v="Freddy Gomez"/>
    <s v="Freddy Gomez"/>
    <d v="2026-02-17T10:05:35"/>
    <s v="Promoter"/>
    <s v="Closed"/>
    <m/>
    <m/>
    <s v="Yes"/>
    <m/>
    <m/>
    <m/>
    <m/>
    <m/>
    <m/>
    <m/>
    <m/>
    <m/>
    <m/>
    <m/>
    <m/>
    <m/>
    <m/>
    <m/>
    <m/>
    <s v="Convenience"/>
    <m/>
    <m/>
    <m/>
    <m/>
    <s v="The quote"/>
    <m/>
    <m/>
    <m/>
    <m/>
    <m/>
    <m/>
    <m/>
    <m/>
    <m/>
    <m/>
    <m/>
    <m/>
    <m/>
    <m/>
    <m/>
    <m/>
    <m/>
    <m/>
    <m/>
    <m/>
    <m/>
    <m/>
    <m/>
    <m/>
    <m/>
    <m/>
    <m/>
    <m/>
    <m/>
    <m/>
    <m/>
    <m/>
    <m/>
    <m/>
    <m/>
    <m/>
    <m/>
    <m/>
    <m/>
    <m/>
    <m/>
    <m/>
    <m/>
    <m/>
    <m/>
    <m/>
    <m/>
    <m/>
    <m/>
    <m/>
    <m/>
    <m/>
    <m/>
    <m/>
    <m/>
    <m/>
    <m/>
    <m/>
    <m/>
    <m/>
    <m/>
    <m/>
    <m/>
    <m/>
    <m/>
    <m/>
    <m/>
    <m/>
    <m/>
    <m/>
    <m/>
    <m/>
    <m/>
    <m/>
    <m/>
    <m/>
    <m/>
    <m/>
    <m/>
    <m/>
    <m/>
    <m/>
    <s v="Convenience"/>
    <s v="The quo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4"/>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No opinion)"/>
    <s v="Trade In &gt; Overall Process &gt; (Positive), Trade In &gt; Quote Price &gt; (Negative)"/>
    <s v="Yes"/>
    <s v="Yes"/>
    <m/>
    <x v="25"/>
    <x v="8"/>
    <x v="0"/>
    <m/>
    <x v="0"/>
    <x v="0"/>
  </r>
  <r>
    <s v="Jake Fisher - Used Trade-In Product"/>
    <n v="10"/>
    <n v="5"/>
    <d v="2026-02-17T09:53:41"/>
    <n v="5221843"/>
    <s v="Used Trade-In Product"/>
    <m/>
    <s v="Jake Fisher"/>
    <m/>
    <s v="jakecfisher@gmail.com"/>
    <m/>
    <s v="Royal Oak;Michigan;48067"/>
    <s v="Royal Oak;Michigan;48067"/>
    <s v="2 years 1 months"/>
    <s v="No"/>
    <m/>
    <m/>
    <s v="jakecfisher@gmail.com"/>
    <s v="25"/>
    <m/>
    <m/>
    <m/>
    <m/>
    <m/>
    <m/>
    <m/>
    <m/>
    <d v="2026-02-17T12:24:26"/>
    <d v="2026-02-17T12:51:30"/>
    <m/>
    <s v="1141530"/>
    <m/>
    <m/>
    <m/>
    <m/>
    <m/>
    <m/>
    <m/>
    <m/>
    <m/>
    <m/>
    <m/>
    <m/>
    <m/>
    <m/>
    <m/>
    <m/>
    <m/>
    <m/>
    <m/>
    <m/>
    <m/>
    <m/>
    <s v="https://bnh.lightning.force.com/0018X00003QBpYPQA1"/>
    <m/>
    <m/>
    <m/>
    <m/>
    <m/>
    <m/>
    <m/>
    <m/>
    <m/>
    <m/>
    <m/>
    <m/>
    <m/>
    <m/>
    <m/>
    <m/>
    <m/>
    <m/>
    <m/>
    <m/>
    <m/>
    <m/>
    <m/>
    <m/>
    <m/>
    <m/>
    <m/>
    <m/>
    <m/>
    <m/>
    <m/>
    <m/>
    <m/>
    <m/>
    <m/>
    <m/>
    <m/>
    <m/>
    <s v="CAD"/>
    <m/>
    <s v="No"/>
    <s v="Freddy Gomez"/>
    <s v="Freddy Gomez"/>
    <d v="2026-02-17T09:54:08"/>
    <s v="Promoter"/>
    <s v="Closed"/>
    <m/>
    <m/>
    <s v="Yes"/>
    <m/>
    <m/>
    <m/>
    <m/>
    <m/>
    <m/>
    <m/>
    <m/>
    <m/>
    <m/>
    <m/>
    <m/>
    <m/>
    <m/>
    <m/>
    <m/>
    <s v="So easy to navigate the website."/>
    <m/>
    <m/>
    <m/>
    <m/>
    <s v="Really no downside here. Very easy process. _x000a_Of course we all want more money for our gear (haha) but the price is fair as I know it has to be resold at profit."/>
    <m/>
    <m/>
    <m/>
    <m/>
    <m/>
    <m/>
    <m/>
    <m/>
    <m/>
    <m/>
    <m/>
    <m/>
    <m/>
    <m/>
    <m/>
    <m/>
    <m/>
    <m/>
    <m/>
    <m/>
    <m/>
    <m/>
    <m/>
    <m/>
    <m/>
    <m/>
    <m/>
    <m/>
    <m/>
    <m/>
    <m/>
    <m/>
    <m/>
    <m/>
    <m/>
    <m/>
    <m/>
    <m/>
    <m/>
    <m/>
    <m/>
    <m/>
    <m/>
    <m/>
    <m/>
    <m/>
    <m/>
    <m/>
    <m/>
    <m/>
    <m/>
    <m/>
    <m/>
    <m/>
    <m/>
    <m/>
    <m/>
    <m/>
    <m/>
    <m/>
    <m/>
    <m/>
    <m/>
    <m/>
    <m/>
    <m/>
    <m/>
    <m/>
    <m/>
    <m/>
    <m/>
    <m/>
    <m/>
    <m/>
    <m/>
    <m/>
    <m/>
    <m/>
    <m/>
    <m/>
    <m/>
    <m/>
    <s v="So easy to navigate the website."/>
    <s v="Really no downside here. Very easy process. _x000a_Of course we all want more money for our gear (haha) but the price is fair as I know it has to be resold at profi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Pricing &gt;, Website &gt; Navigation &gt;"/>
    <s v="Trade In &gt; Overall Process &gt;, Trade In &gt; Quote Price &gt;, Website &gt; Navigation &gt;"/>
    <m/>
    <m/>
    <s v="Pricing &gt; Value for Money &gt; (Positive), Trade In &gt; Overall Process &gt; (Positive), Trade In &gt; Quote Price &gt; (Positive), Used &gt; Pricing &gt; (Positive), Website &gt; Navigation &gt; (Positive)"/>
    <s v="Trade In &gt; Overall Process &gt; (Positive), Trade In &gt; Quote Price &gt; (Positive), Website &gt; Navigation &gt; (Positive)"/>
    <s v="Yes"/>
    <s v="No"/>
    <m/>
    <x v="26"/>
    <x v="15"/>
    <x v="0"/>
    <m/>
    <x v="0"/>
    <x v="0"/>
  </r>
  <r>
    <s v="Brian Walker - Used Trade-In Product"/>
    <n v="10"/>
    <n v="5"/>
    <d v="2026-02-17T05:36:26"/>
    <n v="5221404"/>
    <s v="Used Trade-In Product"/>
    <m/>
    <s v="Brian Walker"/>
    <m/>
    <s v="brianswalker@icloud.com"/>
    <m/>
    <s v="Waynesboro;Pennsylvania;17268"/>
    <s v="Waynesboro;Pennsylvania;17268"/>
    <s v="5 years 5 months"/>
    <s v="No"/>
    <m/>
    <m/>
    <s v="brianswalker@icloud.com"/>
    <s v="65"/>
    <m/>
    <m/>
    <m/>
    <m/>
    <m/>
    <m/>
    <m/>
    <m/>
    <d v="2026-02-17T08:01:37"/>
    <d v="2026-02-16T18:21:01"/>
    <m/>
    <s v="1140556"/>
    <m/>
    <m/>
    <m/>
    <m/>
    <m/>
    <m/>
    <m/>
    <m/>
    <m/>
    <m/>
    <m/>
    <m/>
    <m/>
    <m/>
    <m/>
    <m/>
    <m/>
    <m/>
    <m/>
    <m/>
    <m/>
    <m/>
    <s v="https://bnh.lightning.force.com/0012L000019DY4qQAG"/>
    <m/>
    <m/>
    <m/>
    <m/>
    <m/>
    <m/>
    <m/>
    <m/>
    <m/>
    <m/>
    <m/>
    <m/>
    <m/>
    <m/>
    <m/>
    <m/>
    <m/>
    <m/>
    <m/>
    <m/>
    <m/>
    <m/>
    <m/>
    <m/>
    <m/>
    <m/>
    <m/>
    <m/>
    <m/>
    <m/>
    <m/>
    <m/>
    <m/>
    <m/>
    <m/>
    <m/>
    <m/>
    <m/>
    <s v="CAD"/>
    <m/>
    <s v="No"/>
    <s v="Freddy Gomez"/>
    <s v="Freddy Gomez"/>
    <d v="2026-02-17T05:27:10"/>
    <s v="Promoter"/>
    <s v="Closed"/>
    <m/>
    <m/>
    <s v="Yes"/>
    <m/>
    <m/>
    <m/>
    <m/>
    <m/>
    <m/>
    <m/>
    <m/>
    <m/>
    <m/>
    <m/>
    <m/>
    <m/>
    <m/>
    <m/>
    <m/>
    <s v="Despite being a big business and large presence on the web, every interaction I have with B&amp;H feels personal just knowing that there are people I can contact if I have questions or need shopping advice. I love it!"/>
    <m/>
    <m/>
    <m/>
    <m/>
    <s v="Not enough AI. _x000a__x000a_That’s sarcasm. Please don’t push AI into my shopping experience."/>
    <m/>
    <m/>
    <m/>
    <m/>
    <m/>
    <m/>
    <m/>
    <m/>
    <m/>
    <m/>
    <m/>
    <m/>
    <m/>
    <m/>
    <m/>
    <m/>
    <m/>
    <m/>
    <m/>
    <m/>
    <m/>
    <m/>
    <m/>
    <m/>
    <m/>
    <m/>
    <m/>
    <m/>
    <m/>
    <m/>
    <m/>
    <m/>
    <m/>
    <m/>
    <m/>
    <m/>
    <m/>
    <m/>
    <m/>
    <m/>
    <m/>
    <m/>
    <m/>
    <m/>
    <m/>
    <m/>
    <m/>
    <m/>
    <m/>
    <m/>
    <m/>
    <m/>
    <m/>
    <m/>
    <m/>
    <m/>
    <m/>
    <m/>
    <m/>
    <m/>
    <m/>
    <m/>
    <m/>
    <m/>
    <m/>
    <m/>
    <m/>
    <m/>
    <m/>
    <m/>
    <m/>
    <m/>
    <m/>
    <m/>
    <m/>
    <m/>
    <m/>
    <m/>
    <m/>
    <m/>
    <m/>
    <m/>
    <s v="Despite being a big business and large presence on the web, every interaction I have with B&amp;H feels personal just knowing that there are people I can contact if I have questions or need shopping advice. I love it!"/>
    <s v="Not enough AI. _x000a__x000a_That’s sarcasm. Please don’t push AI into my shopping experie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People &gt; Overall Satisfaction &gt;"/>
    <m/>
    <m/>
    <m/>
    <s v="B&amp;H &gt; Satisfaction &gt; (Positive), People &gt; Overall Satisfaction &gt; (Positive)"/>
    <s v="Yes"/>
    <s v="Yes"/>
    <m/>
    <x v="7"/>
    <x v="0"/>
    <x v="0"/>
    <m/>
    <x v="0"/>
    <x v="0"/>
  </r>
  <r>
    <s v="Michael Halal - Used Trade-In Product"/>
    <n v="10"/>
    <n v="5"/>
    <d v="2026-02-16T16:27:58"/>
    <n v="5220563"/>
    <s v="Used Trade-In Product"/>
    <m/>
    <s v="Michael Halal"/>
    <m/>
    <s v="boston.nta@gmail.com"/>
    <m/>
    <s v="Ayer;Massachusetts;01432"/>
    <m/>
    <s v="7 years 2 months"/>
    <s v="No"/>
    <m/>
    <m/>
    <s v="boston.nta@gmail.com"/>
    <s v="86"/>
    <m/>
    <m/>
    <m/>
    <m/>
    <m/>
    <m/>
    <m/>
    <m/>
    <d v="2026-02-17T09:27:47"/>
    <d v="2026-02-16T19:21:38"/>
    <m/>
    <s v="1142090"/>
    <m/>
    <m/>
    <m/>
    <m/>
    <m/>
    <m/>
    <m/>
    <m/>
    <m/>
    <m/>
    <m/>
    <m/>
    <m/>
    <m/>
    <m/>
    <m/>
    <m/>
    <m/>
    <m/>
    <m/>
    <m/>
    <m/>
    <s v="https://bnh.lightning.force.com/0018X000039fB3gQAE"/>
    <m/>
    <m/>
    <m/>
    <m/>
    <m/>
    <m/>
    <m/>
    <m/>
    <m/>
    <m/>
    <m/>
    <m/>
    <m/>
    <m/>
    <m/>
    <m/>
    <m/>
    <m/>
    <m/>
    <m/>
    <m/>
    <m/>
    <m/>
    <m/>
    <m/>
    <m/>
    <m/>
    <m/>
    <m/>
    <m/>
    <m/>
    <m/>
    <m/>
    <m/>
    <m/>
    <m/>
    <m/>
    <m/>
    <s v="CAD"/>
    <m/>
    <s v="No"/>
    <s v="Efrat Malachi"/>
    <s v="Efrat Malachi"/>
    <d v="2026-02-16T16:27:23"/>
    <s v="Promoter"/>
    <s v="Closed"/>
    <m/>
    <m/>
    <s v="Yes"/>
    <m/>
    <m/>
    <m/>
    <m/>
    <m/>
    <m/>
    <m/>
    <m/>
    <m/>
    <m/>
    <m/>
    <m/>
    <m/>
    <m/>
    <m/>
    <m/>
    <s v="easy and timely process workflow with excellent support."/>
    <m/>
    <m/>
    <m/>
    <m/>
    <m/>
    <m/>
    <m/>
    <m/>
    <m/>
    <m/>
    <m/>
    <m/>
    <m/>
    <m/>
    <m/>
    <m/>
    <m/>
    <m/>
    <m/>
    <m/>
    <m/>
    <m/>
    <m/>
    <m/>
    <m/>
    <m/>
    <m/>
    <m/>
    <m/>
    <m/>
    <m/>
    <m/>
    <m/>
    <m/>
    <m/>
    <m/>
    <m/>
    <m/>
    <m/>
    <m/>
    <m/>
    <m/>
    <m/>
    <m/>
    <m/>
    <m/>
    <m/>
    <m/>
    <m/>
    <m/>
    <m/>
    <m/>
    <m/>
    <m/>
    <m/>
    <m/>
    <m/>
    <m/>
    <m/>
    <m/>
    <m/>
    <m/>
    <m/>
    <m/>
    <m/>
    <m/>
    <m/>
    <m/>
    <m/>
    <m/>
    <m/>
    <m/>
    <m/>
    <m/>
    <m/>
    <m/>
    <m/>
    <m/>
    <m/>
    <m/>
    <m/>
    <m/>
    <m/>
    <m/>
    <m/>
    <m/>
    <m/>
    <s v="easy and timely process workflow with excellent suppor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Overall Satisfaction &gt;, Trade In &gt; Overall Process &gt;"/>
    <s v="People &gt; Overall Satisfaction &gt;, Trade In &gt; Overall Process &gt;"/>
    <m/>
    <m/>
    <s v="People &gt; Overall Satisfaction &gt; (Positive), Trade In &gt; Overall Process &gt; (Positive)"/>
    <s v="People &gt; Overall Satisfaction &gt; (Positive), Trade In &gt; Overall Process &gt; (Positive)"/>
    <s v="No"/>
    <s v="No"/>
    <m/>
    <x v="0"/>
    <x v="0"/>
    <x v="0"/>
    <m/>
    <x v="0"/>
    <x v="0"/>
  </r>
  <r>
    <s v="Aryn Lequire - Used Trade-In Product"/>
    <n v="10"/>
    <n v="5"/>
    <d v="2026-02-16T14:39:21"/>
    <n v="5220272"/>
    <s v="Used Trade-In Product"/>
    <m/>
    <s v="Aryn Lequire"/>
    <m/>
    <s v="alequirepe@gmail.com"/>
    <m/>
    <s v="Wilmington;North Carolina;28403"/>
    <m/>
    <m/>
    <s v="No"/>
    <m/>
    <m/>
    <s v="alequirepe@gmail.com"/>
    <m/>
    <m/>
    <m/>
    <m/>
    <m/>
    <m/>
    <m/>
    <m/>
    <m/>
    <d v="2026-02-16T14:59:25"/>
    <d v="2026-02-10T12:51:42"/>
    <m/>
    <s v="1136228"/>
    <m/>
    <m/>
    <m/>
    <m/>
    <m/>
    <m/>
    <m/>
    <m/>
    <m/>
    <m/>
    <m/>
    <m/>
    <m/>
    <m/>
    <m/>
    <m/>
    <m/>
    <m/>
    <m/>
    <m/>
    <m/>
    <m/>
    <s v="https://bnh.lightning.force.com/001WP00000pgzdBYAQ"/>
    <m/>
    <m/>
    <m/>
    <m/>
    <m/>
    <m/>
    <m/>
    <m/>
    <m/>
    <m/>
    <m/>
    <m/>
    <m/>
    <m/>
    <m/>
    <m/>
    <m/>
    <m/>
    <m/>
    <m/>
    <m/>
    <m/>
    <m/>
    <m/>
    <m/>
    <m/>
    <m/>
    <m/>
    <m/>
    <m/>
    <m/>
    <m/>
    <m/>
    <m/>
    <m/>
    <m/>
    <m/>
    <m/>
    <s v="CAD"/>
    <m/>
    <s v="No"/>
    <m/>
    <m/>
    <d v="2026-02-16T14:36:59"/>
    <s v="Promoter"/>
    <s v="Closed"/>
    <m/>
    <m/>
    <s v="Yes"/>
    <m/>
    <m/>
    <m/>
    <m/>
    <m/>
    <m/>
    <m/>
    <m/>
    <m/>
    <m/>
    <m/>
    <m/>
    <m/>
    <m/>
    <m/>
    <m/>
    <s v="Everything was so easy! I'm so glad I was able to sell a camera I wasn't using anymore, the whole transaction was so quick and hassle-free."/>
    <m/>
    <m/>
    <m/>
    <m/>
    <m/>
    <m/>
    <m/>
    <m/>
    <m/>
    <m/>
    <m/>
    <m/>
    <m/>
    <m/>
    <m/>
    <m/>
    <m/>
    <m/>
    <m/>
    <m/>
    <m/>
    <m/>
    <m/>
    <m/>
    <m/>
    <m/>
    <m/>
    <m/>
    <m/>
    <m/>
    <m/>
    <m/>
    <m/>
    <m/>
    <m/>
    <m/>
    <m/>
    <m/>
    <m/>
    <m/>
    <m/>
    <m/>
    <m/>
    <m/>
    <m/>
    <m/>
    <m/>
    <m/>
    <m/>
    <m/>
    <m/>
    <m/>
    <m/>
    <m/>
    <m/>
    <m/>
    <m/>
    <m/>
    <m/>
    <m/>
    <m/>
    <m/>
    <m/>
    <m/>
    <m/>
    <m/>
    <m/>
    <m/>
    <m/>
    <m/>
    <m/>
    <m/>
    <m/>
    <m/>
    <m/>
    <m/>
    <m/>
    <m/>
    <m/>
    <m/>
    <m/>
    <m/>
    <m/>
    <m/>
    <m/>
    <m/>
    <m/>
    <s v="Everything was so easy! I'm so glad I was able to sell a camera I wasn't using anymore, the whole transaction was so quick and hassle-fre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Used &gt; Description &gt;"/>
    <s v="Trade In &gt; Overall Process &gt;"/>
    <m/>
    <m/>
    <s v="Used &gt; Description &gt; (Positive)"/>
    <s v="Trade In &gt; Overall Process &gt; (Positive)"/>
    <s v="Yes"/>
    <s v="No"/>
    <m/>
    <x v="0"/>
    <x v="0"/>
    <x v="0"/>
    <m/>
    <x v="0"/>
    <x v="0"/>
  </r>
  <r>
    <s v="Randy Waterman - Used Trade-In Product"/>
    <n v="10"/>
    <n v="5"/>
    <d v="2026-02-16T13:07:11"/>
    <n v="5219988"/>
    <s v="Used Trade-In Product"/>
    <m/>
    <s v="Randy Waterman"/>
    <m/>
    <s v="rj.aquaman@gmail.com"/>
    <m/>
    <s v="Prescott Valley;Arizona;86314"/>
    <m/>
    <m/>
    <s v="No"/>
    <m/>
    <m/>
    <s v="rj.aquaman@gmail.com"/>
    <m/>
    <m/>
    <m/>
    <m/>
    <m/>
    <m/>
    <m/>
    <m/>
    <m/>
    <d v="2026-02-16T14:37:09"/>
    <d v="2026-02-16T14:17:12"/>
    <m/>
    <s v="1141564"/>
    <m/>
    <m/>
    <m/>
    <m/>
    <m/>
    <m/>
    <m/>
    <m/>
    <m/>
    <m/>
    <m/>
    <m/>
    <m/>
    <m/>
    <m/>
    <m/>
    <m/>
    <m/>
    <m/>
    <m/>
    <m/>
    <m/>
    <s v="https://bnh.lightning.force.com/001WP00000sqT3pYAE"/>
    <m/>
    <m/>
    <m/>
    <m/>
    <m/>
    <m/>
    <m/>
    <m/>
    <m/>
    <m/>
    <m/>
    <m/>
    <m/>
    <m/>
    <m/>
    <m/>
    <m/>
    <m/>
    <m/>
    <m/>
    <m/>
    <m/>
    <m/>
    <m/>
    <m/>
    <m/>
    <m/>
    <m/>
    <m/>
    <m/>
    <m/>
    <m/>
    <m/>
    <m/>
    <m/>
    <m/>
    <m/>
    <m/>
    <s v="CAD"/>
    <m/>
    <s v="No"/>
    <s v="Freddy Gomez"/>
    <s v="Freddy Gomez"/>
    <d v="2026-02-16T13:06:42"/>
    <s v="Promoter"/>
    <s v="Closed"/>
    <m/>
    <m/>
    <s v="Yes"/>
    <m/>
    <m/>
    <m/>
    <m/>
    <m/>
    <m/>
    <m/>
    <m/>
    <m/>
    <m/>
    <m/>
    <m/>
    <m/>
    <m/>
    <m/>
    <m/>
    <s v="Ease of use when selling equipment and excellent customer service."/>
    <m/>
    <m/>
    <m/>
    <m/>
    <s v="N/A."/>
    <m/>
    <m/>
    <m/>
    <m/>
    <m/>
    <m/>
    <m/>
    <m/>
    <m/>
    <m/>
    <m/>
    <m/>
    <m/>
    <m/>
    <m/>
    <m/>
    <m/>
    <m/>
    <m/>
    <m/>
    <m/>
    <m/>
    <m/>
    <m/>
    <m/>
    <m/>
    <m/>
    <m/>
    <m/>
    <m/>
    <m/>
    <m/>
    <m/>
    <m/>
    <m/>
    <m/>
    <m/>
    <m/>
    <m/>
    <m/>
    <m/>
    <m/>
    <m/>
    <m/>
    <m/>
    <m/>
    <m/>
    <m/>
    <m/>
    <m/>
    <m/>
    <m/>
    <m/>
    <m/>
    <m/>
    <m/>
    <m/>
    <m/>
    <m/>
    <m/>
    <m/>
    <m/>
    <m/>
    <m/>
    <m/>
    <m/>
    <m/>
    <m/>
    <m/>
    <m/>
    <m/>
    <m/>
    <m/>
    <m/>
    <m/>
    <m/>
    <m/>
    <m/>
    <m/>
    <m/>
    <m/>
    <m/>
    <s v="Ease of use when selling equipment and excellent customer servic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Overall Satisfaction &gt;"/>
    <s v="Customer Service &gt; Satisfaction &gt;, People &gt; Overall Satisfaction &gt;, Trade In &gt; Overall Process &gt;"/>
    <m/>
    <s v="POSITIVE"/>
    <s v="People &gt; Overall Satisfaction &gt; (Positive)"/>
    <s v="Customer Service &gt; Satisfaction &gt; (Positive), People &gt; Overall Satisfaction &gt; (Positive), Trade In &gt; Overall Process &gt; (Positive)"/>
    <s v="Yes"/>
    <s v="No"/>
    <m/>
    <x v="5"/>
    <x v="2"/>
    <x v="0"/>
    <m/>
    <x v="0"/>
    <x v="0"/>
  </r>
  <r>
    <s v="Kyle Higgins - Used Trade-In Product"/>
    <n v="9"/>
    <n v="5"/>
    <d v="2026-02-16T11:19:11"/>
    <n v="5219688"/>
    <s v="Used Trade-In Product"/>
    <m/>
    <s v="Kyle Higgins"/>
    <m/>
    <s v="kjhlego@gmail.com"/>
    <m/>
    <s v="Orlando;Florida;32819"/>
    <m/>
    <m/>
    <s v="No"/>
    <m/>
    <m/>
    <s v="kjhlego@gmail.com"/>
    <m/>
    <m/>
    <m/>
    <m/>
    <m/>
    <m/>
    <m/>
    <m/>
    <m/>
    <d v="2026-02-16T13:55:15"/>
    <d v="2026-02-16T14:17:28"/>
    <m/>
    <s v="1141954"/>
    <m/>
    <m/>
    <m/>
    <m/>
    <m/>
    <m/>
    <m/>
    <m/>
    <m/>
    <m/>
    <m/>
    <m/>
    <m/>
    <m/>
    <m/>
    <m/>
    <m/>
    <m/>
    <m/>
    <m/>
    <m/>
    <m/>
    <s v="https://bnh.lightning.force.com/001WP00000t3FFsYAM"/>
    <m/>
    <m/>
    <m/>
    <m/>
    <m/>
    <m/>
    <m/>
    <m/>
    <m/>
    <m/>
    <m/>
    <m/>
    <m/>
    <m/>
    <m/>
    <m/>
    <m/>
    <m/>
    <m/>
    <m/>
    <m/>
    <m/>
    <m/>
    <m/>
    <m/>
    <m/>
    <m/>
    <m/>
    <m/>
    <m/>
    <m/>
    <m/>
    <m/>
    <m/>
    <m/>
    <m/>
    <m/>
    <m/>
    <s v="CAD"/>
    <m/>
    <s v="No"/>
    <s v="Sergio Jonusas"/>
    <s v="Sergio Jonusas"/>
    <d v="2026-02-16T11:19:55"/>
    <s v="Promoter"/>
    <s v="Closed"/>
    <m/>
    <m/>
    <s v="Yes"/>
    <m/>
    <m/>
    <m/>
    <m/>
    <m/>
    <m/>
    <m/>
    <m/>
    <m/>
    <m/>
    <m/>
    <m/>
    <m/>
    <m/>
    <m/>
    <m/>
    <s v="Easy to submit and got what I was promised."/>
    <m/>
    <m/>
    <m/>
    <m/>
    <s v="N/A"/>
    <m/>
    <m/>
    <m/>
    <m/>
    <m/>
    <m/>
    <m/>
    <m/>
    <m/>
    <m/>
    <m/>
    <m/>
    <m/>
    <m/>
    <m/>
    <m/>
    <m/>
    <m/>
    <m/>
    <m/>
    <m/>
    <m/>
    <m/>
    <m/>
    <m/>
    <m/>
    <m/>
    <m/>
    <m/>
    <m/>
    <m/>
    <m/>
    <m/>
    <m/>
    <m/>
    <m/>
    <m/>
    <m/>
    <m/>
    <m/>
    <m/>
    <m/>
    <m/>
    <m/>
    <m/>
    <m/>
    <m/>
    <m/>
    <m/>
    <m/>
    <m/>
    <m/>
    <m/>
    <m/>
    <m/>
    <m/>
    <m/>
    <m/>
    <m/>
    <m/>
    <m/>
    <m/>
    <m/>
    <m/>
    <m/>
    <m/>
    <m/>
    <m/>
    <m/>
    <m/>
    <m/>
    <m/>
    <m/>
    <m/>
    <m/>
    <m/>
    <m/>
    <m/>
    <m/>
    <m/>
    <m/>
    <m/>
    <s v="Easy to submit and got what I was promised."/>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s v="N/A"/>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9"/>
    <x v="0"/>
    <m/>
    <x v="0"/>
    <x v="0"/>
  </r>
  <r>
    <s v="Glen Davidson - Used Trade-In Product"/>
    <n v="9"/>
    <n v="4"/>
    <d v="2026-02-13T17:13:57"/>
    <n v="5215883"/>
    <s v="Used Trade-In Product"/>
    <m/>
    <s v="Glen Davidson"/>
    <m/>
    <s v="drummerg3@yahoo.com"/>
    <m/>
    <s v="Ypsilanti;Michigan;48197"/>
    <s v="Ypsilanti;Michigan;48197"/>
    <s v="8 years 3 months"/>
    <s v="Yes"/>
    <m/>
    <m/>
    <s v="drummerg3@yahoo.com"/>
    <s v="99"/>
    <m/>
    <m/>
    <m/>
    <m/>
    <m/>
    <m/>
    <m/>
    <m/>
    <d v="2026-02-18T12:09:40"/>
    <d v="2026-01-06T12:50:45"/>
    <m/>
    <s v="1131407"/>
    <m/>
    <m/>
    <m/>
    <m/>
    <m/>
    <m/>
    <m/>
    <m/>
    <m/>
    <m/>
    <m/>
    <m/>
    <m/>
    <m/>
    <m/>
    <m/>
    <m/>
    <m/>
    <m/>
    <m/>
    <m/>
    <m/>
    <s v="https://bnh.lightning.force.com/0011a00000lR8Y7AAK"/>
    <m/>
    <m/>
    <m/>
    <m/>
    <m/>
    <m/>
    <m/>
    <m/>
    <m/>
    <m/>
    <m/>
    <m/>
    <m/>
    <m/>
    <m/>
    <m/>
    <m/>
    <m/>
    <m/>
    <m/>
    <m/>
    <m/>
    <m/>
    <m/>
    <m/>
    <m/>
    <m/>
    <m/>
    <m/>
    <m/>
    <m/>
    <m/>
    <m/>
    <m/>
    <m/>
    <m/>
    <m/>
    <m/>
    <s v="CAD"/>
    <m/>
    <s v="No"/>
    <s v="Efrat Malachi,Avraham Schwartz,Reina Caba"/>
    <s v="Reina Caba"/>
    <d v="2026-02-13T17:10:50"/>
    <s v="Promoter"/>
    <s v="Closed"/>
    <d v="2026-02-18T12:09:28"/>
    <s v="Reina Caba (reinac@bhphoto.com)"/>
    <s v="Yes"/>
    <m/>
    <m/>
    <m/>
    <m/>
    <m/>
    <m/>
    <m/>
    <m/>
    <m/>
    <m/>
    <m/>
    <m/>
    <m/>
    <m/>
    <m/>
    <m/>
    <s v="Very easy to find product and get a quote. Takes less than 3-4 minutes."/>
    <m/>
    <m/>
    <m/>
    <m/>
    <s v="Price received for lens was a little lower than expected, especially since it was barely used, like new, and included the aftermarket lens hood. I know you have to make a profit, but at the same time, I think I could’ve gotten at least $25 more."/>
    <m/>
    <m/>
    <m/>
    <m/>
    <m/>
    <m/>
    <m/>
    <m/>
    <m/>
    <m/>
    <m/>
    <m/>
    <m/>
    <m/>
    <m/>
    <m/>
    <m/>
    <m/>
    <m/>
    <m/>
    <m/>
    <m/>
    <m/>
    <m/>
    <m/>
    <m/>
    <m/>
    <m/>
    <m/>
    <m/>
    <m/>
    <m/>
    <m/>
    <m/>
    <m/>
    <m/>
    <m/>
    <m/>
    <m/>
    <m/>
    <m/>
    <m/>
    <m/>
    <m/>
    <m/>
    <m/>
    <m/>
    <m/>
    <m/>
    <m/>
    <m/>
    <m/>
    <m/>
    <m/>
    <m/>
    <m/>
    <m/>
    <m/>
    <m/>
    <m/>
    <m/>
    <m/>
    <m/>
    <m/>
    <m/>
    <m/>
    <m/>
    <m/>
    <m/>
    <m/>
    <m/>
    <m/>
    <m/>
    <m/>
    <m/>
    <m/>
    <m/>
    <m/>
    <m/>
    <m/>
    <m/>
    <m/>
    <s v="Very easy to find product and get a quote. Takes less than 3-4 minutes."/>
    <s v="Price received for lens was a little lower than expected, especially since it was barely used, like new, and included the aftermarket lens hood. I know you have to make a profit, but at the same time, I think I could’ve gotten at least $25 mo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4"/>
    <n v="4"/>
    <n v="4"/>
    <n v="5"/>
    <m/>
    <m/>
    <m/>
    <m/>
    <m/>
    <m/>
    <m/>
    <m/>
    <m/>
    <m/>
    <m/>
    <m/>
    <m/>
    <m/>
    <m/>
    <m/>
    <m/>
    <m/>
    <m/>
    <m/>
    <m/>
    <m/>
    <m/>
    <m/>
    <m/>
    <m/>
    <m/>
    <m/>
    <m/>
    <m/>
    <m/>
    <m/>
    <m/>
    <m/>
    <m/>
    <m/>
    <m/>
    <m/>
    <m/>
    <m/>
    <m/>
    <m/>
    <m/>
    <m/>
    <m/>
    <m/>
    <m/>
    <m/>
    <m/>
    <m/>
    <m/>
    <m/>
    <m/>
    <m/>
    <m/>
    <m/>
    <m/>
    <m/>
    <m/>
    <m/>
    <m/>
    <m/>
    <m/>
    <m/>
    <m/>
    <m/>
    <m/>
    <m/>
    <m/>
    <m/>
    <m/>
    <m/>
    <m/>
    <m/>
    <m/>
    <m/>
    <m/>
    <m/>
    <m/>
    <m/>
    <m/>
    <m/>
    <m/>
    <m/>
    <m/>
    <m/>
    <m/>
    <m/>
    <m/>
    <m/>
    <m/>
    <m/>
    <m/>
    <m/>
    <m/>
    <m/>
    <m/>
    <m/>
    <m/>
    <m/>
    <m/>
    <s v="Trade In &gt; Overall Process &gt;, Used &gt; Pricing &gt;"/>
    <s v="Trade In &gt; Overall Process &gt;, Trade In &gt; Quote Price &gt;, Trade In &gt; Timeliness of Quote &gt;"/>
    <m/>
    <m/>
    <s v="Trade In &gt; Overall Process &gt; (Positive), Used &gt; Pricing &gt; (Negative)"/>
    <s v="Trade In &gt; Overall Process &gt; (Positive), Trade In &gt; Quote Price &gt; (Negative), Trade In &gt; Timeliness of Quote &gt; (Positive)"/>
    <s v="Yes"/>
    <s v="No"/>
    <m/>
    <x v="0"/>
    <x v="8"/>
    <x v="0"/>
    <m/>
    <x v="0"/>
    <x v="0"/>
  </r>
  <r>
    <s v="Troy Nelson - Used Trade-In Product"/>
    <n v="10"/>
    <n v="5"/>
    <d v="2026-02-13T16:03:41"/>
    <n v="5215787"/>
    <s v="Used Trade-In Product"/>
    <m/>
    <s v="Troy Nelson"/>
    <m/>
    <s v="troy@aeawave.org"/>
    <m/>
    <s v="Brunswick;Georgia;31520"/>
    <m/>
    <s v="15 years 7 months"/>
    <s v="Yes"/>
    <m/>
    <m/>
    <s v="troy@aeawave.org"/>
    <s v="187"/>
    <m/>
    <m/>
    <m/>
    <m/>
    <m/>
    <m/>
    <m/>
    <m/>
    <d v="2026-02-16T13:56:23"/>
    <d v="2026-02-11T12:57:57"/>
    <m/>
    <s v="1135630"/>
    <m/>
    <m/>
    <m/>
    <m/>
    <m/>
    <m/>
    <m/>
    <m/>
    <m/>
    <m/>
    <m/>
    <m/>
    <m/>
    <m/>
    <m/>
    <m/>
    <m/>
    <m/>
    <m/>
    <m/>
    <m/>
    <m/>
    <s v="https://bnh.lightning.force.com/001Hs00005n4LC3IAM"/>
    <m/>
    <m/>
    <m/>
    <m/>
    <m/>
    <m/>
    <m/>
    <m/>
    <m/>
    <m/>
    <m/>
    <m/>
    <m/>
    <m/>
    <m/>
    <m/>
    <m/>
    <m/>
    <m/>
    <m/>
    <m/>
    <m/>
    <m/>
    <m/>
    <m/>
    <m/>
    <m/>
    <m/>
    <m/>
    <m/>
    <m/>
    <m/>
    <m/>
    <m/>
    <m/>
    <m/>
    <m/>
    <m/>
    <s v="CAD"/>
    <m/>
    <s v="No"/>
    <s v="Sergio Jonusas"/>
    <s v="Sergio Jonusas"/>
    <d v="2026-02-13T16:03:37"/>
    <s v="Promoter"/>
    <s v="Closed"/>
    <m/>
    <m/>
    <s v="Yes"/>
    <m/>
    <m/>
    <m/>
    <m/>
    <m/>
    <m/>
    <m/>
    <m/>
    <m/>
    <m/>
    <m/>
    <m/>
    <m/>
    <m/>
    <m/>
    <m/>
    <s v="Had a great experience on the sell of my items"/>
    <m/>
    <m/>
    <m/>
    <m/>
    <m/>
    <m/>
    <m/>
    <m/>
    <m/>
    <m/>
    <m/>
    <m/>
    <m/>
    <m/>
    <m/>
    <m/>
    <m/>
    <m/>
    <m/>
    <m/>
    <m/>
    <m/>
    <m/>
    <m/>
    <m/>
    <m/>
    <m/>
    <m/>
    <m/>
    <m/>
    <m/>
    <m/>
    <m/>
    <m/>
    <m/>
    <m/>
    <m/>
    <m/>
    <m/>
    <m/>
    <m/>
    <m/>
    <m/>
    <m/>
    <m/>
    <m/>
    <m/>
    <m/>
    <m/>
    <m/>
    <m/>
    <m/>
    <m/>
    <m/>
    <m/>
    <m/>
    <m/>
    <m/>
    <m/>
    <m/>
    <m/>
    <m/>
    <m/>
    <m/>
    <m/>
    <m/>
    <m/>
    <m/>
    <m/>
    <m/>
    <m/>
    <m/>
    <m/>
    <m/>
    <m/>
    <m/>
    <m/>
    <m/>
    <m/>
    <m/>
    <m/>
    <m/>
    <m/>
    <m/>
    <m/>
    <m/>
    <m/>
    <s v="Had a great experience on the sell of my item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Satisfaction &gt;, Trade In &gt; Overall Process &gt;"/>
    <m/>
    <m/>
    <s v="B&amp;H &gt; Satisfaction &gt; (Positive)"/>
    <s v="B&amp;H &gt; Satisfaction &gt; (Positive), Trade In &gt; Overall Process &gt; (Positive)"/>
    <s v="Yes"/>
    <s v="No"/>
    <m/>
    <x v="23"/>
    <x v="0"/>
    <x v="0"/>
    <m/>
    <x v="0"/>
    <x v="0"/>
  </r>
  <r>
    <s v="Anderson Humphrey - Used Trade-In Product"/>
    <n v="10"/>
    <n v="5"/>
    <d v="2026-02-13T15:58:40"/>
    <n v="5215774"/>
    <s v="Used Trade-In Product"/>
    <m/>
    <s v="Anderson Humphrey"/>
    <m/>
    <s v="ajthumph@aol.com"/>
    <m/>
    <s v="Dayton;Ohio;45431"/>
    <m/>
    <m/>
    <s v="No"/>
    <m/>
    <m/>
    <s v="ajthumph@aol.com"/>
    <m/>
    <m/>
    <m/>
    <m/>
    <m/>
    <m/>
    <m/>
    <m/>
    <m/>
    <d v="2026-02-16T14:59:10"/>
    <d v="2026-02-13T13:04:06"/>
    <m/>
    <s v="1138864"/>
    <m/>
    <m/>
    <m/>
    <m/>
    <m/>
    <m/>
    <m/>
    <m/>
    <m/>
    <m/>
    <m/>
    <m/>
    <m/>
    <m/>
    <m/>
    <m/>
    <m/>
    <m/>
    <m/>
    <m/>
    <m/>
    <m/>
    <s v="https://bnh.lightning.force.com/0018X000038DWdoQAG"/>
    <m/>
    <m/>
    <m/>
    <m/>
    <m/>
    <m/>
    <m/>
    <m/>
    <m/>
    <m/>
    <m/>
    <m/>
    <m/>
    <m/>
    <m/>
    <m/>
    <m/>
    <m/>
    <m/>
    <m/>
    <m/>
    <m/>
    <m/>
    <m/>
    <m/>
    <m/>
    <m/>
    <m/>
    <m/>
    <m/>
    <m/>
    <m/>
    <m/>
    <m/>
    <m/>
    <m/>
    <m/>
    <m/>
    <s v="CAD"/>
    <m/>
    <s v="No"/>
    <s v="Nick Badame"/>
    <s v="Nick Badame"/>
    <d v="2026-02-13T15:58:02"/>
    <s v="Promoter"/>
    <s v="Closed"/>
    <m/>
    <m/>
    <s v="Yes"/>
    <m/>
    <m/>
    <m/>
    <m/>
    <m/>
    <m/>
    <m/>
    <m/>
    <m/>
    <m/>
    <m/>
    <m/>
    <m/>
    <m/>
    <m/>
    <m/>
    <s v="Awesome process and awesome sale associate!"/>
    <m/>
    <m/>
    <m/>
    <m/>
    <s v="Nothing to dislike about B&amp;H"/>
    <m/>
    <m/>
    <m/>
    <m/>
    <m/>
    <m/>
    <m/>
    <m/>
    <m/>
    <m/>
    <m/>
    <m/>
    <m/>
    <m/>
    <m/>
    <m/>
    <m/>
    <m/>
    <m/>
    <m/>
    <m/>
    <m/>
    <m/>
    <m/>
    <m/>
    <m/>
    <m/>
    <m/>
    <m/>
    <m/>
    <m/>
    <m/>
    <m/>
    <m/>
    <m/>
    <m/>
    <m/>
    <m/>
    <m/>
    <m/>
    <m/>
    <m/>
    <m/>
    <m/>
    <m/>
    <m/>
    <m/>
    <m/>
    <m/>
    <m/>
    <m/>
    <m/>
    <m/>
    <m/>
    <m/>
    <m/>
    <m/>
    <m/>
    <m/>
    <m/>
    <m/>
    <m/>
    <m/>
    <m/>
    <m/>
    <m/>
    <m/>
    <m/>
    <m/>
    <m/>
    <m/>
    <m/>
    <m/>
    <m/>
    <m/>
    <m/>
    <m/>
    <m/>
    <m/>
    <m/>
    <m/>
    <m/>
    <s v="Awesome process and awesome sale associate!"/>
    <s v="Nothing to dislike about B&amp;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Overall Satisfaction &gt;, Trade In &gt; Overall Process &gt;"/>
    <s v="B&amp;H &gt; Satisfaction &gt;, People &gt; Overall Satisfaction &gt;, Trade In &gt; Overall Process &gt;"/>
    <m/>
    <m/>
    <s v="People &gt; Overall Satisfaction &gt; (Positive), Trade In &gt; Overall Process &gt; (Positive)"/>
    <s v="B&amp;H &gt; Satisfaction &gt; (Positive), People &gt; Overall Satisfaction &gt; (Positive), Trade In &gt; Overall Process &gt; (Positive)"/>
    <s v="Yes"/>
    <s v="No"/>
    <m/>
    <x v="5"/>
    <x v="2"/>
    <x v="0"/>
    <m/>
    <x v="0"/>
    <x v="0"/>
  </r>
  <r>
    <s v="Alan Hinkel - Used Trade-In Product"/>
    <n v="10"/>
    <n v="5"/>
    <d v="2026-02-13T15:41:18"/>
    <n v="5215738"/>
    <s v="Used Trade-In Product"/>
    <m/>
    <s v="Alan Hinkel"/>
    <m/>
    <s v="alh3833@gmail.com"/>
    <m/>
    <s v="West Bend;Wisconsin;53090"/>
    <s v="West Bend;Wisconsin;53090"/>
    <s v="14 years 5 months"/>
    <s v="Yes"/>
    <m/>
    <m/>
    <s v="alh3833@gmail.com"/>
    <s v="173"/>
    <m/>
    <m/>
    <m/>
    <m/>
    <m/>
    <m/>
    <m/>
    <m/>
    <d v="2026-02-16T14:55:21"/>
    <d v="2026-02-12T12:55:43"/>
    <m/>
    <s v="1140114"/>
    <m/>
    <m/>
    <m/>
    <m/>
    <m/>
    <m/>
    <m/>
    <m/>
    <m/>
    <m/>
    <m/>
    <m/>
    <m/>
    <m/>
    <m/>
    <m/>
    <m/>
    <m/>
    <m/>
    <m/>
    <m/>
    <m/>
    <s v="https://bnh.lightning.force.com/0012L00001H50EbQAJ"/>
    <m/>
    <m/>
    <m/>
    <m/>
    <m/>
    <m/>
    <m/>
    <m/>
    <m/>
    <m/>
    <m/>
    <m/>
    <m/>
    <m/>
    <m/>
    <m/>
    <m/>
    <m/>
    <m/>
    <m/>
    <m/>
    <m/>
    <m/>
    <m/>
    <m/>
    <m/>
    <m/>
    <m/>
    <m/>
    <m/>
    <m/>
    <m/>
    <m/>
    <m/>
    <m/>
    <m/>
    <m/>
    <m/>
    <s v="CAD"/>
    <m/>
    <s v="No"/>
    <s v="Nick Badame"/>
    <s v="Nick Badame"/>
    <d v="2026-02-13T15:38:57"/>
    <s v="Promoter"/>
    <s v="Closed"/>
    <m/>
    <m/>
    <s v="Yes"/>
    <m/>
    <m/>
    <m/>
    <m/>
    <m/>
    <m/>
    <m/>
    <m/>
    <m/>
    <m/>
    <m/>
    <m/>
    <m/>
    <m/>
    <m/>
    <m/>
    <s v="It was a seamless process.  Excellent communication. Quote was easy to obtain online.  I was very satisfied with the quotes I received.  Shipping was easy using pre-printed labels provided by B&amp;H.  Payment was prompt.  I would not hesitate to do this again."/>
    <m/>
    <m/>
    <m/>
    <m/>
    <s v="Nothing comes to mind."/>
    <m/>
    <m/>
    <m/>
    <m/>
    <m/>
    <m/>
    <m/>
    <m/>
    <m/>
    <m/>
    <m/>
    <m/>
    <m/>
    <m/>
    <m/>
    <m/>
    <m/>
    <m/>
    <m/>
    <m/>
    <m/>
    <m/>
    <m/>
    <m/>
    <m/>
    <m/>
    <m/>
    <m/>
    <m/>
    <m/>
    <m/>
    <m/>
    <m/>
    <m/>
    <m/>
    <m/>
    <m/>
    <m/>
    <m/>
    <m/>
    <m/>
    <m/>
    <m/>
    <m/>
    <m/>
    <m/>
    <m/>
    <m/>
    <m/>
    <m/>
    <m/>
    <m/>
    <m/>
    <m/>
    <m/>
    <m/>
    <m/>
    <m/>
    <m/>
    <m/>
    <m/>
    <m/>
    <m/>
    <m/>
    <m/>
    <m/>
    <m/>
    <m/>
    <m/>
    <m/>
    <m/>
    <m/>
    <m/>
    <m/>
    <m/>
    <m/>
    <m/>
    <m/>
    <m/>
    <m/>
    <m/>
    <m/>
    <s v="It was a seamless process.  Excellent communication. Quote was easy to obtain online.  I was very satisfied with the quotes I received.  Shipping was easy using pre-printed labels provided by B&amp;H.  Payment was prompt.  I would not hesitate to do this again."/>
    <s v="Nothing comes to min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Timeliness of Payment &gt;, Used &gt; Description &gt;"/>
    <s v="Trade In &gt; Overall Process &gt;, Trade In &gt; Timeliness of Payment &gt;"/>
    <m/>
    <m/>
    <s v="Trade In &gt; Overall Process &gt; (Positive), Trade In &gt; Timeliness of Payment &gt; (Positive), Used &gt; Description &gt; (Positive)"/>
    <s v="Trade In &gt; Overall Process &gt; (Positive), Trade In &gt; Timeliness of Payment &gt; (Positive)"/>
    <s v="Yes"/>
    <s v="Yes"/>
    <m/>
    <x v="0"/>
    <x v="27"/>
    <x v="7"/>
    <m/>
    <x v="0"/>
    <x v="0"/>
  </r>
  <r>
    <s v="Mark Turek - Used Trade-In Product"/>
    <n v="10"/>
    <n v="5"/>
    <d v="2026-02-13T15:09:29"/>
    <n v="5215681"/>
    <s v="Used Trade-In Product"/>
    <m/>
    <s v="Mark Turek"/>
    <m/>
    <s v="mjturek156@gmail.com"/>
    <m/>
    <s v="Meriden;Connecticut;06450"/>
    <s v="Meriden;Connecticut;06450"/>
    <s v="4 years 2 months"/>
    <s v="Yes"/>
    <m/>
    <m/>
    <s v="mjturek156@gmail.com"/>
    <s v="50"/>
    <m/>
    <m/>
    <m/>
    <m/>
    <m/>
    <m/>
    <m/>
    <m/>
    <d v="2026-02-16T14:04:56"/>
    <d v="2026-02-13T13:05:19"/>
    <m/>
    <s v="1139392"/>
    <m/>
    <m/>
    <m/>
    <m/>
    <m/>
    <m/>
    <m/>
    <m/>
    <m/>
    <m/>
    <m/>
    <m/>
    <m/>
    <m/>
    <m/>
    <m/>
    <m/>
    <m/>
    <m/>
    <m/>
    <m/>
    <m/>
    <s v="https://bnh.lightning.force.com/0012L00001JS4YZQA1"/>
    <m/>
    <m/>
    <m/>
    <m/>
    <m/>
    <m/>
    <m/>
    <m/>
    <m/>
    <m/>
    <m/>
    <m/>
    <m/>
    <m/>
    <m/>
    <m/>
    <m/>
    <m/>
    <m/>
    <m/>
    <m/>
    <m/>
    <m/>
    <m/>
    <m/>
    <m/>
    <m/>
    <m/>
    <m/>
    <m/>
    <m/>
    <m/>
    <m/>
    <m/>
    <m/>
    <m/>
    <m/>
    <m/>
    <s v="CAD"/>
    <m/>
    <s v="No"/>
    <s v="Sergio Jonusas"/>
    <s v="Sergio Jonusas"/>
    <d v="2026-02-13T15:08:48"/>
    <s v="Promoter"/>
    <s v="Closed"/>
    <m/>
    <m/>
    <s v="Yes"/>
    <m/>
    <m/>
    <m/>
    <m/>
    <m/>
    <m/>
    <m/>
    <m/>
    <m/>
    <m/>
    <m/>
    <m/>
    <m/>
    <m/>
    <m/>
    <m/>
    <s v="It was a flawless transaction."/>
    <m/>
    <m/>
    <m/>
    <m/>
    <s v="N/A"/>
    <m/>
    <m/>
    <m/>
    <m/>
    <m/>
    <m/>
    <m/>
    <m/>
    <m/>
    <m/>
    <m/>
    <m/>
    <m/>
    <m/>
    <m/>
    <m/>
    <m/>
    <m/>
    <m/>
    <m/>
    <m/>
    <m/>
    <m/>
    <m/>
    <m/>
    <m/>
    <m/>
    <m/>
    <m/>
    <m/>
    <m/>
    <m/>
    <m/>
    <m/>
    <m/>
    <m/>
    <m/>
    <m/>
    <m/>
    <m/>
    <m/>
    <m/>
    <m/>
    <m/>
    <m/>
    <m/>
    <m/>
    <m/>
    <m/>
    <m/>
    <m/>
    <m/>
    <m/>
    <m/>
    <m/>
    <m/>
    <m/>
    <m/>
    <m/>
    <m/>
    <m/>
    <m/>
    <m/>
    <m/>
    <m/>
    <m/>
    <m/>
    <m/>
    <m/>
    <m/>
    <m/>
    <m/>
    <m/>
    <m/>
    <m/>
    <m/>
    <m/>
    <m/>
    <m/>
    <m/>
    <m/>
    <m/>
    <s v="It was a flawless transaction."/>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5"/>
    <x v="0"/>
    <x v="0"/>
    <m/>
    <x v="0"/>
    <x v="0"/>
  </r>
  <r>
    <s v="Jarred Rensvold - Used Trade-In Product"/>
    <n v="10"/>
    <n v="5"/>
    <d v="2026-02-13T15:09:26"/>
    <n v="5215677"/>
    <s v="Used Trade-In Product"/>
    <m/>
    <s v="Jarred Rensvold"/>
    <m/>
    <s v="rensvold@gmail.com"/>
    <m/>
    <s v="Spokane;Washington;99201"/>
    <m/>
    <s v="8 years 3 months"/>
    <s v="No"/>
    <m/>
    <m/>
    <s v="rensvold@gmail.com"/>
    <s v="99"/>
    <m/>
    <m/>
    <m/>
    <m/>
    <m/>
    <m/>
    <m/>
    <m/>
    <d v="2026-02-16T14:49:58"/>
    <d v="2026-02-13T13:08:39"/>
    <m/>
    <s v="1141200"/>
    <m/>
    <m/>
    <m/>
    <m/>
    <m/>
    <m/>
    <m/>
    <m/>
    <m/>
    <m/>
    <m/>
    <m/>
    <m/>
    <m/>
    <m/>
    <m/>
    <m/>
    <m/>
    <m/>
    <m/>
    <m/>
    <m/>
    <s v="https://bnh.lightning.force.com/001WP00000scvBLYAY"/>
    <m/>
    <m/>
    <m/>
    <m/>
    <m/>
    <m/>
    <m/>
    <m/>
    <m/>
    <m/>
    <m/>
    <m/>
    <m/>
    <m/>
    <m/>
    <m/>
    <m/>
    <m/>
    <m/>
    <m/>
    <m/>
    <m/>
    <m/>
    <m/>
    <m/>
    <m/>
    <m/>
    <m/>
    <m/>
    <m/>
    <m/>
    <m/>
    <m/>
    <m/>
    <m/>
    <m/>
    <m/>
    <m/>
    <s v="CAD"/>
    <m/>
    <s v="No"/>
    <s v="Nick Badame"/>
    <s v="Nick Badame"/>
    <d v="2026-02-13T15:07:58"/>
    <s v="Promoter"/>
    <s v="Closed"/>
    <m/>
    <m/>
    <s v="Yes"/>
    <m/>
    <m/>
    <m/>
    <m/>
    <m/>
    <m/>
    <m/>
    <m/>
    <m/>
    <m/>
    <m/>
    <m/>
    <m/>
    <m/>
    <m/>
    <m/>
    <s v="The process was fast and easy, and B&amp;H gave a fair price for my gear (as opposed to MBP). I will definitely try to sell to B&amp;H again."/>
    <m/>
    <m/>
    <m/>
    <m/>
    <s v="I have no dislikes about my experience!"/>
    <m/>
    <m/>
    <m/>
    <m/>
    <m/>
    <m/>
    <m/>
    <m/>
    <m/>
    <m/>
    <m/>
    <m/>
    <m/>
    <m/>
    <m/>
    <m/>
    <m/>
    <m/>
    <m/>
    <m/>
    <m/>
    <m/>
    <m/>
    <m/>
    <m/>
    <m/>
    <m/>
    <m/>
    <m/>
    <m/>
    <m/>
    <m/>
    <m/>
    <m/>
    <m/>
    <m/>
    <m/>
    <m/>
    <m/>
    <m/>
    <m/>
    <m/>
    <m/>
    <m/>
    <m/>
    <m/>
    <m/>
    <m/>
    <m/>
    <m/>
    <m/>
    <m/>
    <m/>
    <m/>
    <m/>
    <m/>
    <m/>
    <m/>
    <m/>
    <m/>
    <m/>
    <m/>
    <m/>
    <m/>
    <m/>
    <m/>
    <m/>
    <m/>
    <m/>
    <m/>
    <m/>
    <m/>
    <m/>
    <m/>
    <m/>
    <m/>
    <m/>
    <m/>
    <m/>
    <m/>
    <m/>
    <m/>
    <s v="The process was fast and easy, and B&amp;H gave a fair price for my gear (as opposed to MBP). I will definitely try to sell to B&amp;H again."/>
    <s v="I have no dislikes about my experie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Pricing &gt;"/>
    <s v="B&amp;H &gt; Competitor Mentions &gt;, B&amp;H &gt; Loyalty &gt;, B&amp;H &gt; Satisfaction &gt;, Trade In &gt; Overall Process &gt;, Trade In &gt; Quote Price &gt;"/>
    <m/>
    <m/>
    <s v="Pricing &gt; Value for Money &gt; (Positive), Trade In &gt; Overall Process &gt; (Positive), Trade In &gt; Quote Price &gt; (Positive), Used &gt; Pricing &gt; (Positive)"/>
    <s v="B&amp;H &gt; Competitor Mentions &gt; (Positive), B&amp;H &gt; Loyalty &gt; (Positive), B&amp;H &gt; Satisfaction &gt; (Positive), Trade In &gt; Overall Process &gt; (Positive), Trade In &gt; Quote Price &gt; (Positive)"/>
    <s v="Yes"/>
    <s v="Yes"/>
    <m/>
    <x v="0"/>
    <x v="15"/>
    <x v="0"/>
    <m/>
    <x v="0"/>
    <x v="0"/>
  </r>
  <r>
    <s v="James Glass - Used Trade-In Product"/>
    <n v="9"/>
    <n v="4"/>
    <d v="2026-02-13T12:33:24"/>
    <n v="5215212"/>
    <s v="Used Trade-In Product"/>
    <m/>
    <s v="James Glass"/>
    <m/>
    <s v="jfglass42@bellsouth.net"/>
    <m/>
    <s v="Tybee Island;Georgia;31328"/>
    <s v="Tybee Island;Georgia;31328"/>
    <s v="18 years 10 months"/>
    <s v="No"/>
    <m/>
    <m/>
    <s v="jfglass42@bellsouth.net"/>
    <s v="226"/>
    <m/>
    <m/>
    <m/>
    <m/>
    <m/>
    <m/>
    <m/>
    <m/>
    <d v="2026-02-16T09:34:17"/>
    <d v="2026-02-12T12:54:21"/>
    <m/>
    <s v="1128047"/>
    <m/>
    <m/>
    <m/>
    <m/>
    <m/>
    <m/>
    <m/>
    <m/>
    <m/>
    <m/>
    <m/>
    <m/>
    <m/>
    <m/>
    <m/>
    <m/>
    <m/>
    <m/>
    <m/>
    <m/>
    <m/>
    <m/>
    <s v="https://bnh.lightning.force.com/0018X00003TuXN0QAN"/>
    <m/>
    <m/>
    <m/>
    <m/>
    <m/>
    <m/>
    <m/>
    <m/>
    <m/>
    <m/>
    <m/>
    <m/>
    <m/>
    <m/>
    <m/>
    <m/>
    <m/>
    <m/>
    <m/>
    <m/>
    <m/>
    <m/>
    <m/>
    <m/>
    <m/>
    <m/>
    <m/>
    <m/>
    <m/>
    <m/>
    <m/>
    <m/>
    <m/>
    <m/>
    <m/>
    <m/>
    <m/>
    <m/>
    <s v="CAD"/>
    <m/>
    <s v="No"/>
    <s v="Aine Hoye"/>
    <s v="Aine Hoye"/>
    <d v="2026-02-13T12:33:09"/>
    <s v="Promoter"/>
    <s v="Closed"/>
    <m/>
    <m/>
    <s v="Yes"/>
    <m/>
    <m/>
    <m/>
    <m/>
    <m/>
    <m/>
    <m/>
    <m/>
    <m/>
    <m/>
    <m/>
    <m/>
    <m/>
    <m/>
    <m/>
    <m/>
    <s v="The generous quote."/>
    <m/>
    <m/>
    <m/>
    <m/>
    <s v="Time for check to arrive."/>
    <m/>
    <m/>
    <m/>
    <m/>
    <m/>
    <m/>
    <m/>
    <m/>
    <m/>
    <m/>
    <m/>
    <m/>
    <m/>
    <m/>
    <m/>
    <m/>
    <m/>
    <m/>
    <m/>
    <m/>
    <m/>
    <m/>
    <m/>
    <m/>
    <m/>
    <m/>
    <m/>
    <m/>
    <m/>
    <m/>
    <m/>
    <m/>
    <m/>
    <m/>
    <m/>
    <m/>
    <m/>
    <m/>
    <m/>
    <m/>
    <m/>
    <m/>
    <m/>
    <m/>
    <m/>
    <m/>
    <m/>
    <m/>
    <m/>
    <m/>
    <m/>
    <m/>
    <m/>
    <m/>
    <m/>
    <m/>
    <m/>
    <m/>
    <m/>
    <m/>
    <m/>
    <m/>
    <m/>
    <m/>
    <m/>
    <m/>
    <m/>
    <m/>
    <m/>
    <m/>
    <m/>
    <m/>
    <m/>
    <m/>
    <m/>
    <m/>
    <m/>
    <m/>
    <m/>
    <m/>
    <m/>
    <m/>
    <s v="The generous quote."/>
    <s v="Time for check to arriv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1"/>
    <n v="4"/>
    <n v="2"/>
    <n v="1"/>
    <m/>
    <m/>
    <m/>
    <m/>
    <m/>
    <m/>
    <m/>
    <m/>
    <m/>
    <m/>
    <m/>
    <m/>
    <m/>
    <m/>
    <m/>
    <m/>
    <m/>
    <m/>
    <m/>
    <m/>
    <m/>
    <m/>
    <m/>
    <m/>
    <m/>
    <m/>
    <m/>
    <m/>
    <m/>
    <m/>
    <m/>
    <m/>
    <m/>
    <m/>
    <m/>
    <m/>
    <m/>
    <m/>
    <m/>
    <m/>
    <m/>
    <m/>
    <m/>
    <m/>
    <m/>
    <m/>
    <m/>
    <m/>
    <m/>
    <m/>
    <m/>
    <m/>
    <m/>
    <m/>
    <m/>
    <m/>
    <m/>
    <m/>
    <m/>
    <m/>
    <m/>
    <m/>
    <m/>
    <m/>
    <m/>
    <m/>
    <m/>
    <m/>
    <m/>
    <m/>
    <m/>
    <m/>
    <m/>
    <m/>
    <m/>
    <m/>
    <m/>
    <m/>
    <m/>
    <m/>
    <m/>
    <m/>
    <m/>
    <m/>
    <m/>
    <m/>
    <m/>
    <m/>
    <m/>
    <m/>
    <m/>
    <m/>
    <m/>
    <m/>
    <m/>
    <m/>
    <m/>
    <m/>
    <m/>
    <m/>
    <m/>
    <s v="Trade In &gt; Overall Process &gt;"/>
    <s v="Trade In &gt; Quote Price &gt;, Trade In &gt; Timeliness of Payment &gt;"/>
    <m/>
    <m/>
    <s v="Trade In &gt; Overall Process &gt; (No opinion)"/>
    <s v="Trade In &gt; Quote Price &gt; (Positive), Trade In &gt; Timeliness of Payment &gt; (Negative)"/>
    <s v="Yes"/>
    <s v="Yes"/>
    <m/>
    <x v="10"/>
    <x v="11"/>
    <x v="0"/>
    <m/>
    <x v="0"/>
    <x v="0"/>
  </r>
  <r>
    <s v="Donovan Wallace - Used Trade-In Product"/>
    <n v="9"/>
    <n v="5"/>
    <d v="2026-02-13T12:07:14"/>
    <n v="5215124"/>
    <s v="Used Trade-In Product"/>
    <m/>
    <s v="Donovan Wallace"/>
    <m/>
    <s v="wesbriash@gmail.com"/>
    <m/>
    <s v="Saint Albans;New York;11412"/>
    <m/>
    <m/>
    <s v="No"/>
    <m/>
    <m/>
    <s v="wesbriash@gmail.com"/>
    <m/>
    <m/>
    <m/>
    <m/>
    <m/>
    <m/>
    <m/>
    <m/>
    <m/>
    <d v="2026-02-16T09:31:40"/>
    <d v="2026-02-13T13:04:50"/>
    <m/>
    <s v="1140455"/>
    <m/>
    <m/>
    <m/>
    <m/>
    <m/>
    <m/>
    <m/>
    <m/>
    <m/>
    <m/>
    <m/>
    <m/>
    <m/>
    <m/>
    <m/>
    <m/>
    <m/>
    <m/>
    <m/>
    <m/>
    <m/>
    <m/>
    <s v="https://bnh.lightning.force.com/0011a00000cjUbcAAE"/>
    <m/>
    <m/>
    <m/>
    <m/>
    <m/>
    <m/>
    <m/>
    <m/>
    <m/>
    <m/>
    <m/>
    <m/>
    <m/>
    <m/>
    <m/>
    <m/>
    <m/>
    <m/>
    <m/>
    <m/>
    <m/>
    <m/>
    <m/>
    <m/>
    <m/>
    <m/>
    <m/>
    <m/>
    <m/>
    <m/>
    <m/>
    <m/>
    <m/>
    <m/>
    <m/>
    <m/>
    <m/>
    <m/>
    <s v="CAD"/>
    <m/>
    <s v="No"/>
    <s v="Aine Hoye"/>
    <s v="Aine Hoye"/>
    <d v="2026-02-13T12:05:06"/>
    <s v="Promoter"/>
    <s v="Closed"/>
    <m/>
    <m/>
    <s v="Yes"/>
    <m/>
    <m/>
    <m/>
    <m/>
    <m/>
    <m/>
    <m/>
    <m/>
    <m/>
    <m/>
    <m/>
    <m/>
    <m/>
    <m/>
    <m/>
    <m/>
    <s v="Receiving internet price as quoted."/>
    <m/>
    <m/>
    <m/>
    <m/>
    <s v="Negotiating with B&amp;H representative re price quoted online."/>
    <m/>
    <m/>
    <m/>
    <m/>
    <m/>
    <m/>
    <m/>
    <m/>
    <m/>
    <m/>
    <m/>
    <m/>
    <m/>
    <m/>
    <m/>
    <m/>
    <m/>
    <m/>
    <m/>
    <m/>
    <m/>
    <m/>
    <m/>
    <m/>
    <m/>
    <m/>
    <m/>
    <m/>
    <m/>
    <m/>
    <m/>
    <m/>
    <m/>
    <m/>
    <m/>
    <m/>
    <m/>
    <m/>
    <m/>
    <m/>
    <m/>
    <m/>
    <m/>
    <m/>
    <m/>
    <m/>
    <m/>
    <m/>
    <m/>
    <m/>
    <m/>
    <m/>
    <m/>
    <m/>
    <m/>
    <m/>
    <m/>
    <m/>
    <m/>
    <m/>
    <m/>
    <m/>
    <m/>
    <m/>
    <m/>
    <m/>
    <m/>
    <m/>
    <m/>
    <m/>
    <m/>
    <m/>
    <m/>
    <m/>
    <m/>
    <m/>
    <m/>
    <m/>
    <m/>
    <m/>
    <m/>
    <m/>
    <s v="Receiving internet price as quoted."/>
    <s v="Negotiating with B&amp;H representative re price quoted onli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4"/>
    <n v="5"/>
    <n v="5"/>
    <m/>
    <m/>
    <m/>
    <m/>
    <m/>
    <m/>
    <m/>
    <m/>
    <m/>
    <m/>
    <m/>
    <m/>
    <m/>
    <m/>
    <m/>
    <m/>
    <m/>
    <m/>
    <m/>
    <m/>
    <m/>
    <m/>
    <m/>
    <m/>
    <m/>
    <m/>
    <m/>
    <m/>
    <m/>
    <m/>
    <m/>
    <m/>
    <m/>
    <m/>
    <m/>
    <m/>
    <m/>
    <m/>
    <m/>
    <m/>
    <m/>
    <m/>
    <m/>
    <m/>
    <m/>
    <m/>
    <m/>
    <m/>
    <m/>
    <m/>
    <m/>
    <m/>
    <m/>
    <m/>
    <m/>
    <m/>
    <m/>
    <m/>
    <m/>
    <m/>
    <m/>
    <m/>
    <m/>
    <m/>
    <m/>
    <m/>
    <m/>
    <m/>
    <m/>
    <m/>
    <m/>
    <m/>
    <m/>
    <m/>
    <m/>
    <m/>
    <m/>
    <m/>
    <m/>
    <m/>
    <m/>
    <m/>
    <m/>
    <m/>
    <m/>
    <m/>
    <m/>
    <m/>
    <m/>
    <m/>
    <m/>
    <m/>
    <m/>
    <m/>
    <m/>
    <m/>
    <m/>
    <m/>
    <m/>
    <m/>
    <m/>
    <s v="Trade In &gt; Quote Price &gt;, Used &gt; Pricing &gt;"/>
    <s v="Trade In &gt; Quote Price &gt;"/>
    <m/>
    <m/>
    <s v="Trade In &gt; Quote Price &gt; (No opinion), Used &gt; Pricing &gt; (No opinion)"/>
    <s v="Trade In &gt; Quote Price &gt; (Negative), Trade In &gt; Quote Price &gt; (Positive)"/>
    <s v="Yes"/>
    <s v="Yes"/>
    <m/>
    <x v="8"/>
    <x v="0"/>
    <x v="0"/>
    <m/>
    <x v="0"/>
    <x v="0"/>
  </r>
  <r>
    <s v="Paul Grankowski - Used Trade-In Product"/>
    <n v="10"/>
    <n v="5"/>
    <d v="2026-02-13T11:51:41"/>
    <n v="5215083"/>
    <s v="Used Trade-In Product"/>
    <m/>
    <s v="Paul Grankowski"/>
    <m/>
    <s v="pgtrombone@gmail.com"/>
    <m/>
    <s v="Ojai;California;93003"/>
    <s v="Ojai;California;93023"/>
    <s v="5 years 0 months"/>
    <s v="No"/>
    <m/>
    <m/>
    <s v="pgtrombone@gmail.com"/>
    <s v="60"/>
    <m/>
    <m/>
    <m/>
    <m/>
    <m/>
    <m/>
    <m/>
    <m/>
    <d v="2026-02-16T09:29:55"/>
    <d v="2026-02-13T13:06:12"/>
    <m/>
    <s v="1138203"/>
    <m/>
    <m/>
    <m/>
    <m/>
    <m/>
    <m/>
    <m/>
    <m/>
    <m/>
    <m/>
    <m/>
    <m/>
    <m/>
    <m/>
    <m/>
    <m/>
    <m/>
    <m/>
    <m/>
    <m/>
    <m/>
    <m/>
    <s v="https://bnh.lightning.force.com/0012L00001BOfmvQAD"/>
    <m/>
    <m/>
    <m/>
    <m/>
    <m/>
    <m/>
    <m/>
    <m/>
    <m/>
    <m/>
    <m/>
    <m/>
    <m/>
    <m/>
    <m/>
    <m/>
    <m/>
    <m/>
    <m/>
    <m/>
    <m/>
    <m/>
    <m/>
    <m/>
    <m/>
    <m/>
    <m/>
    <m/>
    <m/>
    <m/>
    <m/>
    <m/>
    <m/>
    <m/>
    <m/>
    <m/>
    <m/>
    <m/>
    <s v="CAD"/>
    <m/>
    <s v="No"/>
    <s v="Aine Hoye"/>
    <s v="Aine Hoye"/>
    <d v="2026-02-13T11:51:15"/>
    <s v="Promoter"/>
    <s v="Closed"/>
    <m/>
    <m/>
    <s v="Yes"/>
    <m/>
    <m/>
    <m/>
    <m/>
    <m/>
    <m/>
    <m/>
    <m/>
    <m/>
    <m/>
    <m/>
    <m/>
    <m/>
    <m/>
    <m/>
    <m/>
    <s v="Streamlined way to sell my unused gear. You have a process and it’s quite clear"/>
    <m/>
    <m/>
    <m/>
    <m/>
    <s v="Wish I could have received more money for the gear."/>
    <m/>
    <m/>
    <m/>
    <m/>
    <m/>
    <m/>
    <m/>
    <m/>
    <m/>
    <m/>
    <m/>
    <m/>
    <m/>
    <m/>
    <m/>
    <m/>
    <m/>
    <m/>
    <m/>
    <m/>
    <m/>
    <m/>
    <m/>
    <m/>
    <m/>
    <m/>
    <m/>
    <m/>
    <m/>
    <m/>
    <m/>
    <m/>
    <m/>
    <m/>
    <m/>
    <m/>
    <m/>
    <m/>
    <m/>
    <m/>
    <m/>
    <m/>
    <m/>
    <m/>
    <m/>
    <m/>
    <m/>
    <m/>
    <m/>
    <m/>
    <m/>
    <m/>
    <m/>
    <m/>
    <m/>
    <m/>
    <m/>
    <m/>
    <m/>
    <m/>
    <m/>
    <m/>
    <m/>
    <m/>
    <m/>
    <m/>
    <m/>
    <m/>
    <m/>
    <m/>
    <m/>
    <m/>
    <m/>
    <m/>
    <m/>
    <m/>
    <m/>
    <m/>
    <m/>
    <m/>
    <m/>
    <m/>
    <s v="Streamlined way to sell my unused gear. You have a process and it’s quite clear"/>
    <s v="Wish I could have received more money for the gea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Positive)"/>
    <s v="Trade In &gt; Overall Process &gt; (Positive), Trade In &gt; Quote Price &gt; (Negative)"/>
    <s v="Yes"/>
    <s v="No"/>
    <m/>
    <x v="25"/>
    <x v="8"/>
    <x v="0"/>
    <m/>
    <x v="0"/>
    <x v="0"/>
  </r>
  <r>
    <s v="Benito Lemus - Used Trade-In Product"/>
    <n v="10"/>
    <n v="5"/>
    <d v="2026-02-13T11:17:39"/>
    <n v="5214953"/>
    <s v="Used Trade-In Product"/>
    <m/>
    <s v="Benito Lemus"/>
    <m/>
    <s v="lemusbenito@gmail.com"/>
    <m/>
    <s v="Pasadena;California;91106"/>
    <s v="Pasadena;California;91106"/>
    <s v="1 years 4 months"/>
    <s v="No"/>
    <m/>
    <m/>
    <s v="lemusbenito@gmail.com"/>
    <s v="16"/>
    <m/>
    <m/>
    <m/>
    <m/>
    <m/>
    <m/>
    <m/>
    <m/>
    <d v="2026-02-16T09:22:36"/>
    <d v="2026-02-13T13:03:58"/>
    <m/>
    <s v="1137636"/>
    <m/>
    <m/>
    <m/>
    <m/>
    <m/>
    <m/>
    <m/>
    <m/>
    <m/>
    <m/>
    <m/>
    <m/>
    <m/>
    <m/>
    <m/>
    <m/>
    <m/>
    <m/>
    <m/>
    <m/>
    <m/>
    <m/>
    <s v="https://bnh.lightning.force.com/0018X00003URCKBQA5"/>
    <m/>
    <m/>
    <m/>
    <m/>
    <m/>
    <m/>
    <m/>
    <m/>
    <m/>
    <m/>
    <m/>
    <m/>
    <m/>
    <m/>
    <m/>
    <m/>
    <m/>
    <m/>
    <m/>
    <m/>
    <m/>
    <m/>
    <m/>
    <m/>
    <m/>
    <m/>
    <m/>
    <m/>
    <m/>
    <m/>
    <m/>
    <m/>
    <m/>
    <m/>
    <m/>
    <m/>
    <m/>
    <m/>
    <s v="CAD"/>
    <m/>
    <s v="No"/>
    <s v="Aine Hoye"/>
    <s v="Aine Hoye"/>
    <d v="2026-02-13T11:16:59"/>
    <s v="Promoter"/>
    <s v="Closed"/>
    <m/>
    <m/>
    <s v="Yes"/>
    <m/>
    <m/>
    <m/>
    <m/>
    <m/>
    <m/>
    <m/>
    <m/>
    <m/>
    <m/>
    <m/>
    <m/>
    <m/>
    <m/>
    <m/>
    <m/>
    <s v="Easy to get a quote and fast payment."/>
    <m/>
    <m/>
    <m/>
    <m/>
    <s v="NA"/>
    <m/>
    <m/>
    <m/>
    <m/>
    <m/>
    <m/>
    <m/>
    <m/>
    <m/>
    <m/>
    <m/>
    <m/>
    <m/>
    <m/>
    <m/>
    <m/>
    <m/>
    <m/>
    <m/>
    <m/>
    <m/>
    <m/>
    <m/>
    <m/>
    <m/>
    <m/>
    <m/>
    <m/>
    <m/>
    <m/>
    <m/>
    <m/>
    <m/>
    <m/>
    <m/>
    <m/>
    <m/>
    <m/>
    <m/>
    <m/>
    <m/>
    <m/>
    <m/>
    <m/>
    <m/>
    <m/>
    <m/>
    <m/>
    <m/>
    <m/>
    <m/>
    <m/>
    <m/>
    <m/>
    <m/>
    <m/>
    <m/>
    <m/>
    <m/>
    <m/>
    <m/>
    <m/>
    <m/>
    <m/>
    <m/>
    <m/>
    <m/>
    <m/>
    <m/>
    <m/>
    <m/>
    <m/>
    <m/>
    <m/>
    <m/>
    <m/>
    <m/>
    <m/>
    <m/>
    <m/>
    <m/>
    <m/>
    <s v="Easy to get a quote and fast payment."/>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Timeliness of Payment &gt;, Trade In &gt; Timeliness of Quote &gt;"/>
    <s v="Trade In &gt; Overall Process &gt;, Trade In &gt; Timeliness of Payment &gt;"/>
    <m/>
    <m/>
    <s v="Trade In &gt; Overall Process &gt; (Positive), Trade In &gt; Timeliness of Payment &gt; (Positive), Trade In &gt; Timeliness of Quote &gt; (Positive)"/>
    <s v="Trade In &gt; Overall Process &gt; (Positive), Trade In &gt; Timeliness of Payment &gt; (Positive)"/>
    <s v="Yes"/>
    <s v="No"/>
    <m/>
    <x v="0"/>
    <x v="0"/>
    <x v="0"/>
    <m/>
    <x v="0"/>
    <x v="0"/>
  </r>
  <r>
    <s v="James Bur - Used Trade-In Product"/>
    <n v="10"/>
    <n v="5"/>
    <d v="2026-02-13T11:00:39"/>
    <n v="5214876"/>
    <s v="Used Trade-In Product"/>
    <m/>
    <s v="James Bur"/>
    <m/>
    <s v="northstar4001@gmail.com"/>
    <m/>
    <s v="Levering;Michigan;49755"/>
    <s v="Levering;Michigan;49755"/>
    <s v="2 years 2 months"/>
    <s v="No"/>
    <m/>
    <m/>
    <s v="northstar4001@gmail.com"/>
    <s v="26"/>
    <m/>
    <m/>
    <m/>
    <m/>
    <m/>
    <m/>
    <m/>
    <m/>
    <d v="2026-02-16T09:12:37"/>
    <d v="2026-02-09T20:18:48"/>
    <m/>
    <s v="1141160"/>
    <m/>
    <m/>
    <m/>
    <m/>
    <m/>
    <m/>
    <m/>
    <m/>
    <m/>
    <m/>
    <m/>
    <m/>
    <m/>
    <m/>
    <m/>
    <m/>
    <m/>
    <m/>
    <m/>
    <m/>
    <m/>
    <m/>
    <s v="https://bnh.lightning.force.com/0018X00003PZJEGQA5"/>
    <m/>
    <m/>
    <m/>
    <m/>
    <m/>
    <m/>
    <m/>
    <m/>
    <m/>
    <m/>
    <m/>
    <m/>
    <m/>
    <m/>
    <m/>
    <m/>
    <m/>
    <m/>
    <m/>
    <m/>
    <m/>
    <m/>
    <m/>
    <m/>
    <m/>
    <m/>
    <m/>
    <m/>
    <m/>
    <m/>
    <m/>
    <m/>
    <m/>
    <m/>
    <m/>
    <m/>
    <m/>
    <m/>
    <s v="CAD"/>
    <m/>
    <s v="No"/>
    <s v="Aine Hoye"/>
    <s v="Aine Hoye"/>
    <d v="2026-02-13T10:52:01"/>
    <s v="Promoter"/>
    <s v="Closed"/>
    <m/>
    <m/>
    <s v="Yes"/>
    <m/>
    <m/>
    <m/>
    <m/>
    <m/>
    <m/>
    <m/>
    <m/>
    <m/>
    <m/>
    <m/>
    <m/>
    <m/>
    <m/>
    <m/>
    <m/>
    <s v="I liked how easy it was to do a trade-in."/>
    <m/>
    <m/>
    <m/>
    <m/>
    <s v="Nothing really."/>
    <m/>
    <m/>
    <m/>
    <m/>
    <m/>
    <m/>
    <m/>
    <m/>
    <m/>
    <m/>
    <m/>
    <m/>
    <m/>
    <m/>
    <m/>
    <m/>
    <m/>
    <m/>
    <m/>
    <m/>
    <m/>
    <m/>
    <m/>
    <m/>
    <m/>
    <m/>
    <m/>
    <m/>
    <m/>
    <m/>
    <m/>
    <m/>
    <m/>
    <m/>
    <m/>
    <m/>
    <m/>
    <m/>
    <m/>
    <m/>
    <m/>
    <m/>
    <m/>
    <m/>
    <m/>
    <m/>
    <m/>
    <m/>
    <m/>
    <m/>
    <m/>
    <m/>
    <m/>
    <m/>
    <m/>
    <m/>
    <m/>
    <m/>
    <m/>
    <m/>
    <m/>
    <m/>
    <m/>
    <m/>
    <m/>
    <m/>
    <m/>
    <m/>
    <m/>
    <m/>
    <m/>
    <m/>
    <m/>
    <m/>
    <m/>
    <m/>
    <m/>
    <m/>
    <m/>
    <m/>
    <m/>
    <m/>
    <s v="I liked how easy it was to do a trade-in."/>
    <s v="Nothing reall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Bob Brusky - Used Trade-In Product"/>
    <n v="10"/>
    <n v="4"/>
    <d v="2026-02-13T10:48:13"/>
    <n v="5214864"/>
    <s v="Used Trade-In Product"/>
    <m/>
    <s v="Bob Brusky"/>
    <m/>
    <s v="rmbrusky@gmail.com"/>
    <m/>
    <s v="Milwaukee;Wisconsin;53217"/>
    <m/>
    <s v="6 years 3 months"/>
    <s v="No"/>
    <m/>
    <m/>
    <s v="rmbrusky@gmail.com"/>
    <s v="75"/>
    <m/>
    <m/>
    <m/>
    <m/>
    <m/>
    <m/>
    <m/>
    <m/>
    <d v="2026-02-16T09:09:22"/>
    <d v="2026-02-13T13:05:25"/>
    <m/>
    <s v="1140051"/>
    <m/>
    <m/>
    <m/>
    <m/>
    <m/>
    <m/>
    <m/>
    <m/>
    <m/>
    <m/>
    <m/>
    <m/>
    <m/>
    <m/>
    <m/>
    <m/>
    <m/>
    <m/>
    <m/>
    <m/>
    <m/>
    <m/>
    <s v="https://bnh.lightning.force.com/001WP00000rujpTYAQ"/>
    <m/>
    <m/>
    <m/>
    <m/>
    <m/>
    <m/>
    <m/>
    <m/>
    <m/>
    <m/>
    <m/>
    <m/>
    <m/>
    <m/>
    <m/>
    <m/>
    <m/>
    <m/>
    <m/>
    <m/>
    <m/>
    <m/>
    <m/>
    <m/>
    <m/>
    <m/>
    <m/>
    <m/>
    <m/>
    <m/>
    <m/>
    <m/>
    <m/>
    <m/>
    <m/>
    <m/>
    <m/>
    <m/>
    <s v="CAD"/>
    <m/>
    <s v="No"/>
    <s v="Aine Hoye"/>
    <s v="Aine Hoye"/>
    <d v="2026-02-13T10:48:39"/>
    <s v="Promoter"/>
    <s v="Closed"/>
    <m/>
    <m/>
    <s v="Yes"/>
    <m/>
    <m/>
    <m/>
    <m/>
    <m/>
    <m/>
    <m/>
    <m/>
    <m/>
    <m/>
    <m/>
    <m/>
    <m/>
    <m/>
    <m/>
    <m/>
    <s v="Transaction ease"/>
    <m/>
    <m/>
    <m/>
    <m/>
    <m/>
    <m/>
    <m/>
    <m/>
    <m/>
    <m/>
    <m/>
    <m/>
    <m/>
    <m/>
    <m/>
    <m/>
    <m/>
    <m/>
    <m/>
    <m/>
    <m/>
    <m/>
    <m/>
    <m/>
    <m/>
    <m/>
    <m/>
    <m/>
    <m/>
    <m/>
    <m/>
    <m/>
    <m/>
    <m/>
    <m/>
    <m/>
    <m/>
    <m/>
    <m/>
    <m/>
    <m/>
    <m/>
    <m/>
    <m/>
    <m/>
    <m/>
    <m/>
    <m/>
    <m/>
    <m/>
    <m/>
    <m/>
    <m/>
    <m/>
    <m/>
    <m/>
    <m/>
    <m/>
    <m/>
    <m/>
    <m/>
    <m/>
    <m/>
    <m/>
    <m/>
    <m/>
    <m/>
    <m/>
    <m/>
    <m/>
    <m/>
    <m/>
    <m/>
    <m/>
    <m/>
    <m/>
    <m/>
    <m/>
    <m/>
    <m/>
    <m/>
    <m/>
    <m/>
    <m/>
    <m/>
    <m/>
    <m/>
    <s v="Transaction eas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No opinion)"/>
    <s v="Trade In &gt; Overall Process &gt; (Positive)"/>
    <s v="Yes"/>
    <s v="Yes"/>
    <m/>
    <x v="23"/>
    <x v="0"/>
    <x v="0"/>
    <m/>
    <x v="0"/>
    <x v="0"/>
  </r>
  <r>
    <s v="Laura Scattergood - Used Trade-In Product"/>
    <n v="10"/>
    <n v="5"/>
    <d v="2026-02-13T10:42:07"/>
    <n v="5214841"/>
    <s v="Used Trade-In Product"/>
    <m/>
    <s v="Laura Scattergood"/>
    <m/>
    <s v="lscattergood851@gmail.com"/>
    <m/>
    <s v="Chattanooga;Tennessee;37405"/>
    <m/>
    <m/>
    <s v="No"/>
    <m/>
    <m/>
    <s v="lscattergood851@gmail.com"/>
    <m/>
    <m/>
    <m/>
    <m/>
    <m/>
    <m/>
    <m/>
    <m/>
    <m/>
    <d v="2026-02-16T09:06:53"/>
    <d v="2026-02-13T13:07:25"/>
    <m/>
    <s v="1140749"/>
    <m/>
    <m/>
    <m/>
    <m/>
    <m/>
    <m/>
    <m/>
    <m/>
    <m/>
    <m/>
    <m/>
    <m/>
    <m/>
    <m/>
    <m/>
    <m/>
    <m/>
    <m/>
    <m/>
    <m/>
    <m/>
    <m/>
    <s v="https://bnh.lightning.force.com/001WP00000sJ6yxYAC"/>
    <m/>
    <m/>
    <m/>
    <m/>
    <m/>
    <m/>
    <m/>
    <m/>
    <m/>
    <m/>
    <m/>
    <m/>
    <m/>
    <m/>
    <m/>
    <m/>
    <m/>
    <m/>
    <m/>
    <m/>
    <m/>
    <m/>
    <m/>
    <m/>
    <m/>
    <m/>
    <m/>
    <m/>
    <m/>
    <m/>
    <m/>
    <m/>
    <m/>
    <m/>
    <m/>
    <m/>
    <m/>
    <m/>
    <s v="CAD"/>
    <m/>
    <s v="No"/>
    <s v="Aine Hoye"/>
    <s v="Aine Hoye"/>
    <d v="2026-02-13T10:42:04"/>
    <s v="Promoter"/>
    <s v="Closed"/>
    <m/>
    <m/>
    <s v="Yes"/>
    <m/>
    <m/>
    <m/>
    <m/>
    <m/>
    <m/>
    <m/>
    <m/>
    <m/>
    <m/>
    <m/>
    <m/>
    <m/>
    <m/>
    <m/>
    <m/>
    <s v="You guys are total professionals.  You know what you are doing.  Your system is fair and efficient."/>
    <m/>
    <m/>
    <m/>
    <m/>
    <m/>
    <m/>
    <m/>
    <m/>
    <m/>
    <m/>
    <m/>
    <m/>
    <m/>
    <m/>
    <m/>
    <m/>
    <m/>
    <m/>
    <m/>
    <m/>
    <m/>
    <m/>
    <m/>
    <m/>
    <m/>
    <m/>
    <m/>
    <m/>
    <m/>
    <m/>
    <m/>
    <m/>
    <m/>
    <m/>
    <m/>
    <m/>
    <m/>
    <m/>
    <m/>
    <m/>
    <m/>
    <m/>
    <m/>
    <m/>
    <m/>
    <m/>
    <m/>
    <m/>
    <m/>
    <m/>
    <m/>
    <m/>
    <m/>
    <m/>
    <m/>
    <m/>
    <m/>
    <m/>
    <m/>
    <m/>
    <m/>
    <m/>
    <m/>
    <m/>
    <m/>
    <m/>
    <m/>
    <m/>
    <m/>
    <m/>
    <m/>
    <m/>
    <m/>
    <m/>
    <m/>
    <m/>
    <m/>
    <m/>
    <m/>
    <m/>
    <m/>
    <m/>
    <m/>
    <m/>
    <m/>
    <m/>
    <m/>
    <s v="You guys are total professionals.  You know what you are doing.  Your system is fair and effici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Courtesy / Professional &gt;"/>
    <s v="People &gt; Courtesy / Professional &gt;, Trade In &gt; Overall Process &gt;"/>
    <m/>
    <m/>
    <s v="People &gt; Courtesy / Professional &gt; (Positive)"/>
    <s v="People &gt; Courtesy / Professional &gt; (Positive), Trade In &gt; Overall Process &gt; (Positive)"/>
    <s v="Yes"/>
    <s v="No"/>
    <m/>
    <x v="27"/>
    <x v="15"/>
    <x v="0"/>
    <m/>
    <x v="0"/>
    <x v="0"/>
  </r>
  <r>
    <s v="Kenneth Imler - Used Trade-In Product"/>
    <n v="10"/>
    <n v="5"/>
    <d v="2026-02-13T10:20:03"/>
    <n v="5214741"/>
    <s v="Used Trade-In Product"/>
    <m/>
    <s v="Kenneth Imler"/>
    <m/>
    <s v="imler1ken@gmail.com"/>
    <m/>
    <s v="Highlands Ranch;Colorado;80126"/>
    <m/>
    <m/>
    <s v="No"/>
    <m/>
    <m/>
    <s v="imler1ken@gmail.com"/>
    <m/>
    <m/>
    <m/>
    <m/>
    <m/>
    <m/>
    <m/>
    <m/>
    <m/>
    <d v="2026-02-16T09:04:54"/>
    <d v="2026-02-13T13:05:23"/>
    <m/>
    <s v="1139794"/>
    <m/>
    <m/>
    <m/>
    <m/>
    <m/>
    <m/>
    <m/>
    <m/>
    <m/>
    <m/>
    <m/>
    <m/>
    <m/>
    <m/>
    <m/>
    <m/>
    <m/>
    <m/>
    <m/>
    <m/>
    <m/>
    <m/>
    <s v="https://bnh.lightning.force.com/0011a00000WcWVHAA3"/>
    <m/>
    <m/>
    <m/>
    <m/>
    <m/>
    <m/>
    <m/>
    <m/>
    <m/>
    <m/>
    <m/>
    <m/>
    <m/>
    <m/>
    <m/>
    <m/>
    <m/>
    <m/>
    <m/>
    <m/>
    <m/>
    <m/>
    <m/>
    <m/>
    <m/>
    <m/>
    <m/>
    <m/>
    <m/>
    <m/>
    <m/>
    <m/>
    <m/>
    <m/>
    <m/>
    <m/>
    <m/>
    <m/>
    <s v="CAD"/>
    <m/>
    <s v="No"/>
    <s v="Aine Hoye"/>
    <s v="Aine Hoye"/>
    <d v="2026-02-13T10:20:15"/>
    <s v="Promoter"/>
    <s v="Closed"/>
    <m/>
    <m/>
    <s v="Yes"/>
    <m/>
    <m/>
    <m/>
    <m/>
    <m/>
    <m/>
    <m/>
    <m/>
    <m/>
    <m/>
    <m/>
    <m/>
    <m/>
    <m/>
    <m/>
    <m/>
    <s v="fast and efficient"/>
    <m/>
    <m/>
    <m/>
    <m/>
    <m/>
    <m/>
    <m/>
    <m/>
    <m/>
    <m/>
    <m/>
    <m/>
    <m/>
    <m/>
    <m/>
    <m/>
    <m/>
    <m/>
    <m/>
    <m/>
    <m/>
    <m/>
    <m/>
    <m/>
    <m/>
    <m/>
    <m/>
    <m/>
    <m/>
    <m/>
    <m/>
    <m/>
    <m/>
    <m/>
    <m/>
    <m/>
    <m/>
    <m/>
    <m/>
    <m/>
    <m/>
    <m/>
    <m/>
    <m/>
    <m/>
    <m/>
    <m/>
    <m/>
    <m/>
    <m/>
    <m/>
    <m/>
    <m/>
    <m/>
    <m/>
    <m/>
    <m/>
    <m/>
    <m/>
    <m/>
    <m/>
    <m/>
    <m/>
    <m/>
    <m/>
    <m/>
    <m/>
    <m/>
    <m/>
    <m/>
    <m/>
    <m/>
    <m/>
    <m/>
    <m/>
    <m/>
    <m/>
    <m/>
    <m/>
    <m/>
    <m/>
    <m/>
    <m/>
    <m/>
    <m/>
    <m/>
    <m/>
    <s v="fast and effici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Don Harlan - Used Trade-In Product"/>
    <n v="10"/>
    <n v="5"/>
    <d v="2026-02-13T06:55:51"/>
    <n v="5214141"/>
    <s v="Used Trade-In Product"/>
    <m/>
    <s v="Don Harlan"/>
    <m/>
    <s v="dmharlan@charter.net"/>
    <m/>
    <s v="Greer;South Carolina;29650"/>
    <s v="Greer;South Carolina;29650"/>
    <s v="5 years 11 months"/>
    <s v="No"/>
    <m/>
    <m/>
    <s v="dmharlan@charter.net"/>
    <s v="71"/>
    <m/>
    <m/>
    <m/>
    <m/>
    <m/>
    <m/>
    <m/>
    <m/>
    <d v="2026-02-13T10:47:59"/>
    <d v="2026-02-12T12:57:31"/>
    <m/>
    <s v="1140366"/>
    <m/>
    <m/>
    <m/>
    <m/>
    <m/>
    <m/>
    <m/>
    <m/>
    <m/>
    <m/>
    <m/>
    <m/>
    <m/>
    <m/>
    <m/>
    <m/>
    <m/>
    <m/>
    <m/>
    <m/>
    <m/>
    <m/>
    <s v="https://bnh.lightning.force.com/0012L000014JElkQAG"/>
    <m/>
    <m/>
    <m/>
    <m/>
    <m/>
    <m/>
    <m/>
    <m/>
    <m/>
    <m/>
    <m/>
    <m/>
    <m/>
    <m/>
    <m/>
    <m/>
    <m/>
    <m/>
    <m/>
    <m/>
    <m/>
    <m/>
    <m/>
    <m/>
    <m/>
    <m/>
    <m/>
    <m/>
    <m/>
    <m/>
    <m/>
    <m/>
    <m/>
    <m/>
    <m/>
    <m/>
    <m/>
    <m/>
    <s v="CAD"/>
    <m/>
    <s v="No"/>
    <s v="Freddy Gomez"/>
    <s v="Freddy Gomez"/>
    <d v="2026-02-13T06:54:51"/>
    <s v="Promoter"/>
    <s v="Closed"/>
    <m/>
    <m/>
    <s v="Yes"/>
    <m/>
    <m/>
    <m/>
    <m/>
    <m/>
    <m/>
    <m/>
    <m/>
    <m/>
    <m/>
    <m/>
    <m/>
    <m/>
    <m/>
    <m/>
    <m/>
    <s v="Grat Easy process gret price,"/>
    <m/>
    <m/>
    <m/>
    <m/>
    <s v="Nothing"/>
    <m/>
    <m/>
    <m/>
    <m/>
    <m/>
    <m/>
    <m/>
    <m/>
    <m/>
    <m/>
    <m/>
    <m/>
    <m/>
    <m/>
    <m/>
    <m/>
    <m/>
    <m/>
    <m/>
    <m/>
    <m/>
    <m/>
    <m/>
    <m/>
    <m/>
    <m/>
    <m/>
    <m/>
    <m/>
    <m/>
    <m/>
    <m/>
    <m/>
    <m/>
    <m/>
    <m/>
    <m/>
    <m/>
    <m/>
    <m/>
    <m/>
    <m/>
    <m/>
    <m/>
    <m/>
    <m/>
    <m/>
    <m/>
    <m/>
    <m/>
    <m/>
    <m/>
    <m/>
    <m/>
    <m/>
    <m/>
    <m/>
    <m/>
    <m/>
    <m/>
    <m/>
    <m/>
    <m/>
    <m/>
    <m/>
    <m/>
    <m/>
    <m/>
    <m/>
    <m/>
    <m/>
    <m/>
    <m/>
    <m/>
    <m/>
    <m/>
    <m/>
    <m/>
    <m/>
    <m/>
    <m/>
    <m/>
    <s v="Grat Easy process gret pric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Used &gt; Pricing &gt;"/>
    <s v="Trade In &gt; Overall Process &gt;, Trade In &gt; Quote Price &gt;"/>
    <m/>
    <m/>
    <s v="Trade In &gt; Overall Process &gt; (Positive), Used &gt; Pricing &gt; (Positive)"/>
    <s v="Trade In &gt; Overall Process &gt; (Positive), Trade In &gt; Quote Price &gt; (Positive)"/>
    <s v="Yes"/>
    <s v="No"/>
    <m/>
    <x v="0"/>
    <x v="28"/>
    <x v="0"/>
    <m/>
    <x v="0"/>
    <x v="0"/>
  </r>
  <r>
    <s v="Braden Boss - Used Trade-In Product"/>
    <n v="10"/>
    <n v="3"/>
    <d v="2026-02-12T18:43:27"/>
    <n v="5213344"/>
    <s v="Used Trade-In Product"/>
    <m/>
    <s v="Braden Boss"/>
    <m/>
    <s v="bradenboss@alpinedistrict.org"/>
    <m/>
    <s v="American Fork;Utah;84003"/>
    <s v="American Fork;Utah;84003"/>
    <s v="16 years 7 months"/>
    <s v="No"/>
    <m/>
    <m/>
    <s v="bradenboss@alpinedistrict.org"/>
    <s v="199"/>
    <m/>
    <m/>
    <m/>
    <m/>
    <m/>
    <m/>
    <m/>
    <m/>
    <d v="2026-02-18T17:49:11"/>
    <d v="2026-02-11T19:28:49"/>
    <m/>
    <s v="1140306"/>
    <m/>
    <m/>
    <m/>
    <m/>
    <m/>
    <m/>
    <m/>
    <m/>
    <m/>
    <m/>
    <m/>
    <m/>
    <m/>
    <m/>
    <m/>
    <m/>
    <m/>
    <m/>
    <m/>
    <m/>
    <m/>
    <m/>
    <s v="https://bnh.lightning.force.com/0011a00000rzyf1AAA"/>
    <m/>
    <m/>
    <m/>
    <m/>
    <m/>
    <m/>
    <m/>
    <m/>
    <m/>
    <m/>
    <m/>
    <m/>
    <m/>
    <m/>
    <m/>
    <m/>
    <m/>
    <m/>
    <m/>
    <m/>
    <m/>
    <m/>
    <m/>
    <m/>
    <m/>
    <m/>
    <m/>
    <m/>
    <m/>
    <m/>
    <m/>
    <m/>
    <m/>
    <m/>
    <m/>
    <m/>
    <m/>
    <m/>
    <s v="CAD"/>
    <m/>
    <s v="No"/>
    <s v="Emily Schreier,Avraham Schwartz,Reina Caba"/>
    <s v="Reina Caba"/>
    <d v="2026-02-12T18:39:54"/>
    <s v="Promoter"/>
    <s v="Closed"/>
    <d v="2026-02-18T17:49:07"/>
    <s v="Reina Caba (reinac@bhphoto.com)"/>
    <s v="Yes"/>
    <m/>
    <m/>
    <m/>
    <m/>
    <m/>
    <m/>
    <m/>
    <m/>
    <m/>
    <m/>
    <m/>
    <m/>
    <m/>
    <m/>
    <m/>
    <m/>
    <s v="I always love working with B&amp;H. Great prices. Great customer service, and the trade in experience was good."/>
    <m/>
    <m/>
    <m/>
    <m/>
    <s v="I feel like this is maybe my own fault, but at the same time very little information was provided. So I opted for a eGift Card instead of trade in credit, thinking I could use the EGC for an online transaction. Since I'm purchasing for a tax exempt organization, I couldn't use the EGC, which was a really big problem. I'm still trying to get things worked out, so we'll see how it all ends (fingers crossed). It would be extremely helpful to have more information about the payout options and how they can and can't be spent."/>
    <m/>
    <m/>
    <m/>
    <m/>
    <m/>
    <m/>
    <m/>
    <m/>
    <m/>
    <m/>
    <m/>
    <m/>
    <m/>
    <m/>
    <m/>
    <m/>
    <m/>
    <m/>
    <m/>
    <m/>
    <m/>
    <m/>
    <m/>
    <m/>
    <m/>
    <m/>
    <m/>
    <m/>
    <m/>
    <m/>
    <m/>
    <m/>
    <m/>
    <m/>
    <m/>
    <m/>
    <m/>
    <m/>
    <m/>
    <m/>
    <m/>
    <m/>
    <m/>
    <m/>
    <m/>
    <m/>
    <m/>
    <m/>
    <m/>
    <m/>
    <m/>
    <m/>
    <m/>
    <m/>
    <m/>
    <m/>
    <m/>
    <m/>
    <m/>
    <m/>
    <m/>
    <m/>
    <m/>
    <m/>
    <m/>
    <m/>
    <m/>
    <m/>
    <m/>
    <m/>
    <m/>
    <m/>
    <m/>
    <m/>
    <m/>
    <m/>
    <m/>
    <m/>
    <m/>
    <m/>
    <m/>
    <m/>
    <s v="I always love working with B&amp;H. Great prices. Great customer service, and the trade in experience was good."/>
    <s v="I feel like this is maybe my own fault, but at the same time very little information was provided. So I opted for a eGift Card instead of trade in credit, thinking I could use the EGC for an online transaction. Since I'm purchasing for a tax exempt organization, I couldn't use the EGC, which was a really big problem. I'm still trying to get things worked out, so we'll see how it all ends (fingers crossed). It would be extremely helpful to have more information about the payout options and how they can and can't be sp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2"/>
    <n v="4"/>
    <n v="4"/>
    <n v="4"/>
    <m/>
    <m/>
    <m/>
    <m/>
    <m/>
    <m/>
    <m/>
    <m/>
    <m/>
    <m/>
    <m/>
    <m/>
    <m/>
    <m/>
    <m/>
    <m/>
    <m/>
    <m/>
    <m/>
    <m/>
    <m/>
    <m/>
    <m/>
    <m/>
    <m/>
    <m/>
    <m/>
    <m/>
    <m/>
    <m/>
    <m/>
    <m/>
    <m/>
    <m/>
    <m/>
    <m/>
    <m/>
    <m/>
    <m/>
    <m/>
    <m/>
    <m/>
    <m/>
    <m/>
    <m/>
    <m/>
    <m/>
    <m/>
    <m/>
    <m/>
    <m/>
    <m/>
    <m/>
    <m/>
    <m/>
    <m/>
    <m/>
    <m/>
    <m/>
    <m/>
    <m/>
    <m/>
    <m/>
    <m/>
    <m/>
    <m/>
    <m/>
    <m/>
    <m/>
    <m/>
    <m/>
    <m/>
    <m/>
    <m/>
    <m/>
    <m/>
    <m/>
    <m/>
    <m/>
    <m/>
    <m/>
    <m/>
    <m/>
    <m/>
    <m/>
    <m/>
    <m/>
    <m/>
    <m/>
    <m/>
    <m/>
    <m/>
    <m/>
    <m/>
    <m/>
    <m/>
    <m/>
    <m/>
    <m/>
    <m/>
    <m/>
    <s v="Payment &gt; Tax Issues &gt;, People &gt; Overall Satisfaction &gt;, Pricing &gt; Value for Money &gt;, Used &gt; Description &gt;, Used &gt; Pricing &gt;, Website &gt; User Error &gt;"/>
    <s v="B&amp;H &gt; Satisfaction &gt;, Payment &gt; Online &gt;, Payment &gt; Tax Issues &gt;, People &gt; Overall Satisfaction &gt;, Pricing &gt; Value for Money &gt;, Trade In &gt; Overall Process &gt;"/>
    <m/>
    <m/>
    <s v="Payment &gt; Tax Issues &gt; (Negative), People &gt; Overall Satisfaction &gt; (Positive), Pricing &gt; Value for Money &gt; (Strongly positive), Used &gt; Description &gt; (Negative), Used &gt; Description &gt; (No opinion), Used &gt; Pricing &gt; (Strongly positive), Website &gt; User Error &gt; (Negative)"/>
    <s v="B&amp;H &gt; Satisfaction &gt; (Positive), Payment &gt; Online &gt; (Negative), Payment &gt; Tax Issues &gt; (Negative), People &gt; Overall Satisfaction &gt; (Positive), Pricing &gt; Value for Money &gt; (Positive), Trade In &gt; Overall Process &gt; (Negative), Trade In &gt; Overall Process &gt; (Positive)"/>
    <s v="Yes"/>
    <s v="Yes"/>
    <m/>
    <x v="16"/>
    <x v="6"/>
    <x v="10"/>
    <s v="Unclear of differences between trade-in credit and check (in general, different payout methods)"/>
    <x v="0"/>
    <x v="0"/>
  </r>
  <r>
    <s v="Joseph Salerno - Used Trade-In Product"/>
    <n v="10"/>
    <n v="5"/>
    <d v="2026-02-12T18:03:07"/>
    <n v="5213246"/>
    <s v="Used Trade-In Product"/>
    <m/>
    <s v="Joseph Salerno"/>
    <m/>
    <s v="jsalerno62@gmail.com"/>
    <m/>
    <s v="Wytheville;Virginia;24382"/>
    <m/>
    <s v="9 years 7 months"/>
    <s v="Yes"/>
    <m/>
    <m/>
    <s v="jsalerno62@gmail.com"/>
    <s v="115"/>
    <m/>
    <m/>
    <m/>
    <m/>
    <m/>
    <m/>
    <m/>
    <m/>
    <d v="2026-02-13T09:52:28"/>
    <d v="2026-02-12T19:28:56"/>
    <m/>
    <s v="1141032"/>
    <m/>
    <m/>
    <m/>
    <m/>
    <m/>
    <m/>
    <m/>
    <m/>
    <m/>
    <m/>
    <m/>
    <m/>
    <m/>
    <m/>
    <m/>
    <m/>
    <m/>
    <m/>
    <m/>
    <m/>
    <m/>
    <m/>
    <s v="https://bnh.lightning.force.com/0011a00000WHtaVAAT"/>
    <m/>
    <m/>
    <m/>
    <m/>
    <m/>
    <m/>
    <m/>
    <m/>
    <m/>
    <m/>
    <m/>
    <m/>
    <m/>
    <m/>
    <m/>
    <m/>
    <m/>
    <m/>
    <m/>
    <m/>
    <m/>
    <m/>
    <m/>
    <m/>
    <m/>
    <m/>
    <m/>
    <m/>
    <m/>
    <m/>
    <m/>
    <m/>
    <m/>
    <m/>
    <m/>
    <m/>
    <m/>
    <m/>
    <s v="CAD"/>
    <m/>
    <s v="No"/>
    <s v="Nick Badame"/>
    <s v="Nick Badame"/>
    <d v="2026-02-12T18:02:40"/>
    <s v="Promoter"/>
    <s v="Closed"/>
    <m/>
    <m/>
    <s v="Yes"/>
    <m/>
    <m/>
    <m/>
    <m/>
    <m/>
    <m/>
    <m/>
    <m/>
    <m/>
    <m/>
    <m/>
    <m/>
    <m/>
    <m/>
    <m/>
    <m/>
    <s v="the honesty of the tech"/>
    <m/>
    <m/>
    <m/>
    <m/>
    <s v="that my equipment outlived its worth"/>
    <m/>
    <m/>
    <m/>
    <m/>
    <m/>
    <m/>
    <m/>
    <m/>
    <m/>
    <m/>
    <m/>
    <m/>
    <m/>
    <m/>
    <m/>
    <m/>
    <m/>
    <m/>
    <m/>
    <m/>
    <m/>
    <m/>
    <m/>
    <m/>
    <m/>
    <m/>
    <m/>
    <m/>
    <m/>
    <m/>
    <m/>
    <m/>
    <m/>
    <m/>
    <m/>
    <m/>
    <m/>
    <m/>
    <m/>
    <m/>
    <m/>
    <m/>
    <m/>
    <m/>
    <m/>
    <m/>
    <m/>
    <m/>
    <m/>
    <m/>
    <m/>
    <m/>
    <m/>
    <m/>
    <m/>
    <m/>
    <m/>
    <m/>
    <m/>
    <m/>
    <m/>
    <m/>
    <m/>
    <m/>
    <m/>
    <m/>
    <m/>
    <m/>
    <m/>
    <m/>
    <m/>
    <m/>
    <m/>
    <m/>
    <m/>
    <m/>
    <m/>
    <m/>
    <m/>
    <m/>
    <m/>
    <m/>
    <s v="the honesty of the tech"/>
    <s v="that my equipment outlived its wort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People &gt; Courtesy / Professional &gt;"/>
    <m/>
    <m/>
    <m/>
    <s v="People &gt; Courtesy / Professional &gt; (Positive)"/>
    <s v="Yes"/>
    <s v="Yes"/>
    <m/>
    <x v="16"/>
    <x v="0"/>
    <x v="0"/>
    <m/>
    <x v="0"/>
    <x v="0"/>
  </r>
  <r>
    <s v="Eric Weber - Used Trade-In Product"/>
    <n v="10"/>
    <n v="5"/>
    <d v="2026-02-12T14:37:05"/>
    <n v="5212713"/>
    <s v="Used Trade-In Product"/>
    <m/>
    <s v="Eric Weber"/>
    <m/>
    <s v="ericweber1973@gmail.com"/>
    <m/>
    <s v="Woodbury;New York;11797"/>
    <s v="Woodbury;New York;11797"/>
    <s v="25 years 11 months"/>
    <s v="No"/>
    <m/>
    <m/>
    <s v="ericweber1973@gmail.com"/>
    <s v="311"/>
    <m/>
    <m/>
    <m/>
    <m/>
    <m/>
    <m/>
    <m/>
    <m/>
    <d v="2026-02-12T15:41:04"/>
    <d v="2026-02-12T15:24:35"/>
    <m/>
    <s v="1141933"/>
    <m/>
    <m/>
    <m/>
    <m/>
    <m/>
    <m/>
    <m/>
    <m/>
    <m/>
    <m/>
    <m/>
    <m/>
    <m/>
    <m/>
    <m/>
    <m/>
    <m/>
    <m/>
    <m/>
    <m/>
    <m/>
    <m/>
    <s v="https://bnh.lightning.force.com/0018X00003TueIFQAZ"/>
    <m/>
    <m/>
    <m/>
    <m/>
    <m/>
    <m/>
    <m/>
    <m/>
    <m/>
    <m/>
    <m/>
    <m/>
    <m/>
    <m/>
    <m/>
    <m/>
    <m/>
    <m/>
    <m/>
    <m/>
    <m/>
    <m/>
    <m/>
    <m/>
    <m/>
    <m/>
    <m/>
    <m/>
    <m/>
    <m/>
    <m/>
    <m/>
    <m/>
    <m/>
    <m/>
    <m/>
    <m/>
    <m/>
    <s v="CAD"/>
    <m/>
    <s v="No"/>
    <s v="Freddy Gomez"/>
    <s v="Freddy Gomez"/>
    <d v="2026-02-12T14:37:31"/>
    <s v="Promoter"/>
    <s v="Closed"/>
    <m/>
    <m/>
    <s v="Yes"/>
    <m/>
    <m/>
    <m/>
    <m/>
    <m/>
    <m/>
    <m/>
    <m/>
    <m/>
    <m/>
    <m/>
    <m/>
    <m/>
    <m/>
    <m/>
    <m/>
    <s v="Very easy process, fair pricing"/>
    <m/>
    <m/>
    <m/>
    <m/>
    <s v="not applicable"/>
    <m/>
    <m/>
    <m/>
    <m/>
    <m/>
    <m/>
    <m/>
    <m/>
    <m/>
    <m/>
    <m/>
    <m/>
    <m/>
    <m/>
    <m/>
    <m/>
    <m/>
    <m/>
    <m/>
    <m/>
    <m/>
    <m/>
    <m/>
    <m/>
    <m/>
    <m/>
    <m/>
    <m/>
    <m/>
    <m/>
    <m/>
    <m/>
    <m/>
    <m/>
    <m/>
    <m/>
    <m/>
    <m/>
    <m/>
    <m/>
    <m/>
    <m/>
    <m/>
    <m/>
    <m/>
    <m/>
    <m/>
    <m/>
    <m/>
    <m/>
    <m/>
    <m/>
    <m/>
    <m/>
    <m/>
    <m/>
    <m/>
    <m/>
    <m/>
    <m/>
    <m/>
    <m/>
    <m/>
    <m/>
    <m/>
    <m/>
    <m/>
    <m/>
    <m/>
    <m/>
    <m/>
    <m/>
    <m/>
    <m/>
    <m/>
    <m/>
    <m/>
    <m/>
    <m/>
    <m/>
    <m/>
    <m/>
    <s v="Very easy process, fair pricing"/>
    <s v="not applic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Used &gt; Pricing &gt;"/>
    <s v="Trade In &gt; Overall Process &gt;, Trade In &gt; Quote Price &gt;"/>
    <m/>
    <m/>
    <s v="Trade In &gt; Overall Process &gt; (Positive), Used &gt; Pricing &gt; (Positive)"/>
    <s v="Trade In &gt; Overall Process &gt; (Positive), Trade In &gt; Quote Price &gt; (Positive)"/>
    <s v="Yes"/>
    <s v="No"/>
    <m/>
    <x v="0"/>
    <x v="15"/>
    <x v="0"/>
    <m/>
    <x v="0"/>
    <x v="0"/>
  </r>
  <r>
    <s v="Crystal Means - Used Trade-In Product"/>
    <n v="10"/>
    <n v="4"/>
    <d v="2026-02-12T14:34:46"/>
    <n v="5212689"/>
    <s v="Used Trade-In Product"/>
    <m/>
    <s v="Crystal Means"/>
    <m/>
    <s v="gracephotographyva@gmail.com"/>
    <m/>
    <s v="Winchester;Virginia;22602"/>
    <m/>
    <m/>
    <s v="Yes"/>
    <m/>
    <m/>
    <s v="gracephotographyva@gmail.com"/>
    <m/>
    <m/>
    <m/>
    <m/>
    <m/>
    <m/>
    <m/>
    <m/>
    <m/>
    <d v="2026-02-12T15:48:03"/>
    <d v="2026-02-12T13:21:00"/>
    <m/>
    <s v="1142685"/>
    <m/>
    <m/>
    <m/>
    <m/>
    <m/>
    <m/>
    <m/>
    <m/>
    <m/>
    <m/>
    <m/>
    <m/>
    <m/>
    <m/>
    <m/>
    <m/>
    <m/>
    <m/>
    <m/>
    <m/>
    <m/>
    <m/>
    <s v="https://bnh.lightning.force.com/0011a00000adfYbAAI"/>
    <m/>
    <m/>
    <m/>
    <m/>
    <m/>
    <m/>
    <m/>
    <m/>
    <m/>
    <m/>
    <m/>
    <m/>
    <m/>
    <m/>
    <m/>
    <m/>
    <m/>
    <m/>
    <m/>
    <m/>
    <m/>
    <m/>
    <m/>
    <m/>
    <m/>
    <m/>
    <m/>
    <m/>
    <m/>
    <m/>
    <m/>
    <m/>
    <m/>
    <m/>
    <m/>
    <m/>
    <m/>
    <m/>
    <s v="CAD"/>
    <m/>
    <s v="No"/>
    <s v="Freddy Gomez"/>
    <s v="Freddy Gomez"/>
    <d v="2026-02-12T14:31:50"/>
    <s v="Promoter"/>
    <s v="Closed"/>
    <m/>
    <m/>
    <s v="Yes"/>
    <m/>
    <m/>
    <m/>
    <m/>
    <m/>
    <m/>
    <m/>
    <m/>
    <m/>
    <m/>
    <m/>
    <m/>
    <m/>
    <m/>
    <m/>
    <m/>
    <s v="Ease of acquiring the quote from beginning to end; quick turnaround."/>
    <m/>
    <m/>
    <m/>
    <m/>
    <s v="While I'm aware I was likely informed in the small print, I missed the detail that the trade in credit could not be used online until I received the email stating what my credit was and how to use it from there. I've requested change in how I receive the credit and am hopeful I can change it, but it did come as kind of a shock upon reading the email given I was planning to make the next purchase from it relatively quick to have in time for upcoming sessions."/>
    <m/>
    <m/>
    <m/>
    <m/>
    <m/>
    <m/>
    <m/>
    <m/>
    <m/>
    <m/>
    <m/>
    <m/>
    <m/>
    <m/>
    <m/>
    <m/>
    <m/>
    <m/>
    <m/>
    <m/>
    <m/>
    <m/>
    <m/>
    <m/>
    <m/>
    <m/>
    <m/>
    <m/>
    <m/>
    <m/>
    <m/>
    <m/>
    <m/>
    <m/>
    <m/>
    <m/>
    <m/>
    <m/>
    <m/>
    <m/>
    <m/>
    <m/>
    <m/>
    <m/>
    <m/>
    <m/>
    <m/>
    <m/>
    <m/>
    <m/>
    <m/>
    <m/>
    <m/>
    <m/>
    <m/>
    <m/>
    <m/>
    <m/>
    <m/>
    <m/>
    <m/>
    <m/>
    <m/>
    <m/>
    <m/>
    <m/>
    <m/>
    <m/>
    <m/>
    <m/>
    <m/>
    <m/>
    <m/>
    <m/>
    <m/>
    <m/>
    <m/>
    <m/>
    <m/>
    <m/>
    <m/>
    <m/>
    <s v="Ease of acquiring the quote from beginning to end; quick turnaround."/>
    <s v="While I'm aware I was likely informed in the small print, I missed the detail that the trade in credit could not be used online until I received the email stating what my credit was and how to use it from there. I've requested change in how I receive the credit and am hopeful I can change it, but it did come as kind of a shock upon reading the email given I was planning to make the next purchase from it relatively quick to have in time for upcoming sessio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4"/>
    <n v="5"/>
    <n v="3"/>
    <n v="5"/>
    <m/>
    <m/>
    <m/>
    <m/>
    <m/>
    <m/>
    <m/>
    <m/>
    <m/>
    <m/>
    <m/>
    <m/>
    <m/>
    <m/>
    <m/>
    <m/>
    <m/>
    <m/>
    <m/>
    <m/>
    <m/>
    <m/>
    <m/>
    <m/>
    <m/>
    <m/>
    <m/>
    <m/>
    <m/>
    <m/>
    <m/>
    <m/>
    <m/>
    <m/>
    <m/>
    <m/>
    <m/>
    <m/>
    <m/>
    <m/>
    <m/>
    <m/>
    <m/>
    <m/>
    <m/>
    <m/>
    <m/>
    <m/>
    <m/>
    <m/>
    <m/>
    <m/>
    <m/>
    <m/>
    <m/>
    <m/>
    <m/>
    <m/>
    <m/>
    <m/>
    <m/>
    <m/>
    <m/>
    <m/>
    <m/>
    <m/>
    <m/>
    <m/>
    <m/>
    <m/>
    <m/>
    <m/>
    <m/>
    <m/>
    <m/>
    <m/>
    <m/>
    <m/>
    <m/>
    <m/>
    <m/>
    <m/>
    <m/>
    <m/>
    <m/>
    <m/>
    <m/>
    <m/>
    <m/>
    <m/>
    <m/>
    <m/>
    <m/>
    <m/>
    <m/>
    <m/>
    <m/>
    <m/>
    <m/>
    <m/>
    <m/>
    <s v="Trade In &gt; Overall Process &gt;, Used &gt; Description &gt;"/>
    <s v="Trade In &gt; Overall Process &gt;, Trade In &gt; Timeliness of Payment &gt;, Trade In &gt; Timeliness of Quote &gt;"/>
    <m/>
    <m/>
    <s v="Trade In &gt; Overall Process &gt; (Positive), Used &gt; Description &gt; (Negative)"/>
    <s v="Trade In &gt; Overall Process &gt; (Negative), Trade In &gt; Overall Process &gt; (Positive), Trade In &gt; Timeliness of Payment &gt; (Negative), Trade In &gt; Timeliness of Quote &gt; (Positive)"/>
    <s v="Yes"/>
    <s v="Yes"/>
    <m/>
    <x v="13"/>
    <x v="29"/>
    <x v="0"/>
    <m/>
    <x v="0"/>
    <x v="0"/>
  </r>
  <r>
    <s v="Rhonda Carty - Used Trade-In Product"/>
    <n v="10"/>
    <n v="5"/>
    <d v="2026-02-12T14:28:45"/>
    <n v="5212655"/>
    <s v="Used Trade-In Product"/>
    <m/>
    <s v="Rhonda Carty"/>
    <m/>
    <s v="rhondawcarty@gmail.com"/>
    <m/>
    <s v="Chattanooga;Tennessee;37405"/>
    <s v="Chattanooga;Tennessee;37405"/>
    <s v="6 years 8 months"/>
    <s v="No"/>
    <m/>
    <m/>
    <s v="rhondawcarty@gmail.com"/>
    <s v="80"/>
    <m/>
    <m/>
    <m/>
    <m/>
    <m/>
    <m/>
    <m/>
    <m/>
    <d v="2026-02-12T15:48:50"/>
    <d v="2026-02-12T12:55:57"/>
    <m/>
    <s v="1138464"/>
    <m/>
    <m/>
    <m/>
    <m/>
    <m/>
    <m/>
    <m/>
    <m/>
    <m/>
    <m/>
    <m/>
    <m/>
    <m/>
    <m/>
    <m/>
    <m/>
    <m/>
    <m/>
    <m/>
    <m/>
    <m/>
    <m/>
    <s v="https://bnh.lightning.force.com/0012L0000101CIHQA2"/>
    <m/>
    <m/>
    <m/>
    <m/>
    <m/>
    <m/>
    <m/>
    <m/>
    <m/>
    <m/>
    <m/>
    <m/>
    <m/>
    <m/>
    <m/>
    <m/>
    <m/>
    <m/>
    <m/>
    <m/>
    <m/>
    <m/>
    <m/>
    <m/>
    <m/>
    <m/>
    <m/>
    <m/>
    <m/>
    <m/>
    <m/>
    <m/>
    <m/>
    <m/>
    <m/>
    <m/>
    <m/>
    <m/>
    <s v="CAD"/>
    <m/>
    <s v="No"/>
    <s v="Freddy Gomez"/>
    <s v="Freddy Gomez"/>
    <d v="2026-02-12T14:25:31"/>
    <s v="Promoter"/>
    <s v="Closed"/>
    <m/>
    <m/>
    <s v="Yes"/>
    <m/>
    <m/>
    <m/>
    <m/>
    <m/>
    <m/>
    <m/>
    <m/>
    <m/>
    <m/>
    <m/>
    <m/>
    <m/>
    <m/>
    <m/>
    <m/>
    <s v="The cost of shipping is paid for."/>
    <m/>
    <m/>
    <m/>
    <m/>
    <s v="N/a"/>
    <m/>
    <m/>
    <m/>
    <m/>
    <m/>
    <m/>
    <m/>
    <m/>
    <m/>
    <m/>
    <m/>
    <m/>
    <m/>
    <m/>
    <m/>
    <m/>
    <m/>
    <m/>
    <m/>
    <m/>
    <m/>
    <m/>
    <m/>
    <m/>
    <m/>
    <m/>
    <m/>
    <m/>
    <m/>
    <m/>
    <m/>
    <m/>
    <m/>
    <m/>
    <m/>
    <m/>
    <m/>
    <m/>
    <m/>
    <m/>
    <m/>
    <m/>
    <m/>
    <m/>
    <m/>
    <m/>
    <m/>
    <m/>
    <m/>
    <m/>
    <m/>
    <m/>
    <m/>
    <m/>
    <m/>
    <m/>
    <m/>
    <m/>
    <m/>
    <m/>
    <m/>
    <m/>
    <m/>
    <m/>
    <m/>
    <m/>
    <m/>
    <m/>
    <m/>
    <m/>
    <m/>
    <m/>
    <m/>
    <m/>
    <m/>
    <m/>
    <m/>
    <m/>
    <m/>
    <m/>
    <m/>
    <m/>
    <s v="The cost of shipping is paid for."/>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4"/>
    <n v="5"/>
    <n v="5"/>
    <n v="5"/>
    <m/>
    <m/>
    <m/>
    <m/>
    <m/>
    <m/>
    <m/>
    <m/>
    <m/>
    <m/>
    <m/>
    <m/>
    <m/>
    <m/>
    <m/>
    <m/>
    <m/>
    <m/>
    <m/>
    <m/>
    <m/>
    <m/>
    <m/>
    <m/>
    <m/>
    <m/>
    <m/>
    <m/>
    <m/>
    <m/>
    <m/>
    <m/>
    <m/>
    <m/>
    <m/>
    <m/>
    <m/>
    <m/>
    <m/>
    <m/>
    <m/>
    <m/>
    <m/>
    <m/>
    <m/>
    <m/>
    <m/>
    <m/>
    <m/>
    <m/>
    <m/>
    <m/>
    <m/>
    <m/>
    <m/>
    <m/>
    <m/>
    <m/>
    <m/>
    <m/>
    <m/>
    <m/>
    <m/>
    <m/>
    <m/>
    <m/>
    <m/>
    <m/>
    <m/>
    <m/>
    <m/>
    <m/>
    <m/>
    <m/>
    <m/>
    <m/>
    <m/>
    <m/>
    <m/>
    <m/>
    <m/>
    <m/>
    <m/>
    <m/>
    <m/>
    <m/>
    <m/>
    <m/>
    <m/>
    <m/>
    <m/>
    <m/>
    <m/>
    <m/>
    <m/>
    <m/>
    <m/>
    <m/>
    <m/>
    <m/>
    <m/>
    <s v="Pricing &gt; Delivery Fees &gt;"/>
    <s v="Pricing &gt; Delivery Fees &gt;, Trade In &gt; Overall Process &gt;"/>
    <m/>
    <m/>
    <s v="Pricing &gt; Delivery Fees &gt; (No opinion)"/>
    <s v="Pricing &gt; Delivery Fees &gt; (Positive), Trade In &gt; Overall Process &gt; (Positive)"/>
    <s v="Yes"/>
    <s v="Yes"/>
    <m/>
    <x v="21"/>
    <x v="0"/>
    <x v="0"/>
    <m/>
    <x v="0"/>
    <x v="0"/>
  </r>
  <r>
    <s v="Jimmy Toner - Used Trade-In Product"/>
    <n v="10"/>
    <n v="5"/>
    <d v="2026-02-12T14:28:39"/>
    <n v="5212675"/>
    <s v="Used Trade-In Product"/>
    <m/>
    <s v="Jimmy Toner"/>
    <m/>
    <s v="jttoner@gmail.com"/>
    <m/>
    <s v="North Dartmouth;Massachusetts;02747"/>
    <m/>
    <s v="9 years 4 months"/>
    <s v="No"/>
    <m/>
    <m/>
    <s v="jttoner@gmail.com"/>
    <s v="112"/>
    <m/>
    <m/>
    <m/>
    <m/>
    <m/>
    <m/>
    <m/>
    <m/>
    <d v="2026-02-12T15:49:41"/>
    <d v="2026-02-06T12:53:29"/>
    <m/>
    <s v="1137221"/>
    <m/>
    <m/>
    <m/>
    <m/>
    <m/>
    <m/>
    <m/>
    <m/>
    <m/>
    <m/>
    <m/>
    <m/>
    <m/>
    <m/>
    <m/>
    <m/>
    <m/>
    <m/>
    <m/>
    <m/>
    <m/>
    <m/>
    <s v="https://bnh.lightning.force.com/0011a00000YoETuAAN"/>
    <m/>
    <m/>
    <m/>
    <m/>
    <m/>
    <m/>
    <m/>
    <m/>
    <m/>
    <m/>
    <m/>
    <m/>
    <m/>
    <m/>
    <m/>
    <m/>
    <m/>
    <m/>
    <m/>
    <m/>
    <m/>
    <m/>
    <m/>
    <m/>
    <m/>
    <m/>
    <m/>
    <m/>
    <m/>
    <m/>
    <m/>
    <m/>
    <m/>
    <m/>
    <m/>
    <m/>
    <m/>
    <m/>
    <s v="CAD"/>
    <m/>
    <s v="No"/>
    <s v="Freddy Gomez"/>
    <s v="Freddy Gomez"/>
    <d v="2026-02-12T14:28:44"/>
    <s v="Promoter"/>
    <s v="Closed"/>
    <m/>
    <m/>
    <s v="Yes"/>
    <m/>
    <m/>
    <m/>
    <m/>
    <m/>
    <m/>
    <m/>
    <m/>
    <m/>
    <m/>
    <m/>
    <m/>
    <m/>
    <m/>
    <m/>
    <m/>
    <s v="Got quote, shipped lens to store and received money quickly"/>
    <m/>
    <m/>
    <m/>
    <m/>
    <s v="n"/>
    <m/>
    <m/>
    <m/>
    <m/>
    <m/>
    <m/>
    <m/>
    <m/>
    <m/>
    <m/>
    <m/>
    <m/>
    <m/>
    <m/>
    <m/>
    <m/>
    <m/>
    <m/>
    <m/>
    <m/>
    <m/>
    <m/>
    <m/>
    <m/>
    <m/>
    <m/>
    <m/>
    <m/>
    <m/>
    <m/>
    <m/>
    <m/>
    <m/>
    <m/>
    <m/>
    <m/>
    <m/>
    <m/>
    <m/>
    <m/>
    <m/>
    <m/>
    <m/>
    <m/>
    <m/>
    <m/>
    <m/>
    <m/>
    <m/>
    <m/>
    <m/>
    <m/>
    <m/>
    <m/>
    <m/>
    <m/>
    <m/>
    <m/>
    <m/>
    <m/>
    <m/>
    <m/>
    <m/>
    <m/>
    <m/>
    <m/>
    <m/>
    <m/>
    <m/>
    <m/>
    <m/>
    <m/>
    <m/>
    <m/>
    <m/>
    <m/>
    <m/>
    <m/>
    <m/>
    <m/>
    <m/>
    <m/>
    <s v="Got quote, shipped lens to store and received money quickly"/>
    <s v="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4"/>
    <s v="N/A"/>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Trade In &gt; Timeliness of Quote &gt;"/>
    <m/>
    <m/>
    <s v="Trade In &gt; Overall Process &gt; (Positive)"/>
    <s v="Trade In &gt; Overall Process &gt; (Positive), Trade In &gt; Timeliness of Payment &gt; (Positive), Trade In &gt; Timeliness of Quote &gt; (Positive)"/>
    <s v="Yes"/>
    <s v="No"/>
    <m/>
    <x v="25"/>
    <x v="12"/>
    <x v="0"/>
    <m/>
    <x v="0"/>
    <x v="0"/>
  </r>
  <r>
    <s v="Wynn Pickelsimer - Used Trade-In Product"/>
    <n v="10"/>
    <n v="5"/>
    <d v="2026-02-12T14:20:01"/>
    <n v="5212619"/>
    <s v="Used Trade-In Product"/>
    <m/>
    <s v="Wynn Pickelsimer"/>
    <m/>
    <s v="wpickel@cfl.rr.com"/>
    <m/>
    <s v="Casselberry;Florida;32707"/>
    <s v="Casselberry;Florida;32707"/>
    <s v="16 years 2 months"/>
    <s v="No"/>
    <m/>
    <m/>
    <s v="wpickel@cfl.rr.com"/>
    <s v="194"/>
    <m/>
    <m/>
    <m/>
    <m/>
    <m/>
    <m/>
    <m/>
    <m/>
    <d v="2026-02-12T15:54:24"/>
    <d v="2026-02-12T12:55:39"/>
    <m/>
    <s v="1139611"/>
    <m/>
    <m/>
    <m/>
    <m/>
    <m/>
    <m/>
    <m/>
    <m/>
    <m/>
    <m/>
    <m/>
    <m/>
    <m/>
    <m/>
    <m/>
    <m/>
    <m/>
    <m/>
    <m/>
    <m/>
    <m/>
    <m/>
    <s v="https://bnh.lightning.force.com/001WP00000qxqJMYAY"/>
    <m/>
    <m/>
    <m/>
    <m/>
    <m/>
    <m/>
    <m/>
    <m/>
    <m/>
    <m/>
    <m/>
    <m/>
    <m/>
    <m/>
    <m/>
    <m/>
    <m/>
    <m/>
    <m/>
    <m/>
    <m/>
    <m/>
    <m/>
    <m/>
    <m/>
    <m/>
    <m/>
    <m/>
    <m/>
    <m/>
    <m/>
    <m/>
    <m/>
    <m/>
    <m/>
    <m/>
    <m/>
    <m/>
    <s v="CAD"/>
    <m/>
    <s v="No"/>
    <s v="Freddy Gomez"/>
    <s v="Freddy Gomez"/>
    <d v="2026-02-12T14:16:07"/>
    <s v="Promoter"/>
    <s v="Closed"/>
    <m/>
    <m/>
    <s v="Yes"/>
    <m/>
    <m/>
    <m/>
    <m/>
    <m/>
    <m/>
    <m/>
    <m/>
    <m/>
    <m/>
    <m/>
    <m/>
    <m/>
    <m/>
    <m/>
    <m/>
    <s v="The service reps were very helpful. They explained the difference between my final payment and the original quote to my satisfaction. I have been dealing with B&amp;H Photo for many, many years. The equipment is fairly priced and arrives quickly. I highly recommend B&amp;H Photo!"/>
    <m/>
    <m/>
    <m/>
    <m/>
    <s v="Nothing. Very satisfied."/>
    <m/>
    <m/>
    <m/>
    <m/>
    <m/>
    <m/>
    <m/>
    <m/>
    <m/>
    <m/>
    <m/>
    <m/>
    <m/>
    <m/>
    <m/>
    <m/>
    <m/>
    <m/>
    <m/>
    <m/>
    <m/>
    <m/>
    <m/>
    <m/>
    <m/>
    <m/>
    <m/>
    <m/>
    <m/>
    <m/>
    <m/>
    <m/>
    <m/>
    <m/>
    <m/>
    <m/>
    <m/>
    <m/>
    <m/>
    <m/>
    <m/>
    <m/>
    <m/>
    <m/>
    <m/>
    <m/>
    <m/>
    <m/>
    <m/>
    <m/>
    <m/>
    <m/>
    <m/>
    <m/>
    <m/>
    <m/>
    <m/>
    <m/>
    <m/>
    <m/>
    <m/>
    <m/>
    <m/>
    <m/>
    <m/>
    <m/>
    <m/>
    <m/>
    <m/>
    <m/>
    <m/>
    <m/>
    <m/>
    <m/>
    <m/>
    <m/>
    <m/>
    <m/>
    <m/>
    <m/>
    <m/>
    <m/>
    <s v="The service reps were very helpful. They explained the difference between my final payment and the original quote to my satisfaction. I have been dealing with B&amp;H Photo for many, many years. The equipment is fairly priced and arrives quickly. I highly recommend B&amp;H Photo!"/>
    <s v="Nothing. Very satisfi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5"/>
    <n v="5"/>
    <n v="5"/>
    <m/>
    <m/>
    <m/>
    <m/>
    <m/>
    <m/>
    <m/>
    <m/>
    <m/>
    <m/>
    <m/>
    <m/>
    <m/>
    <m/>
    <m/>
    <m/>
    <m/>
    <m/>
    <m/>
    <m/>
    <m/>
    <m/>
    <m/>
    <m/>
    <m/>
    <m/>
    <m/>
    <m/>
    <m/>
    <m/>
    <m/>
    <m/>
    <m/>
    <m/>
    <m/>
    <m/>
    <m/>
    <m/>
    <m/>
    <m/>
    <m/>
    <m/>
    <m/>
    <m/>
    <m/>
    <m/>
    <m/>
    <m/>
    <m/>
    <m/>
    <m/>
    <m/>
    <m/>
    <m/>
    <m/>
    <m/>
    <m/>
    <m/>
    <m/>
    <m/>
    <m/>
    <m/>
    <m/>
    <m/>
    <m/>
    <m/>
    <m/>
    <m/>
    <m/>
    <m/>
    <m/>
    <m/>
    <m/>
    <m/>
    <m/>
    <m/>
    <m/>
    <m/>
    <m/>
    <m/>
    <m/>
    <m/>
    <m/>
    <m/>
    <m/>
    <m/>
    <m/>
    <m/>
    <m/>
    <m/>
    <m/>
    <m/>
    <m/>
    <m/>
    <m/>
    <m/>
    <m/>
    <m/>
    <m/>
    <m/>
    <m/>
    <s v="People &gt; Helpful / Efficient &gt;, Trade In &gt; Overall Process &gt;, Used &gt; Pricing &gt;, Warehouse Fulfillment &gt; Timeliness &gt;"/>
    <s v="B&amp;H &gt; Loyalty &gt;, B&amp;H &gt; Recommended &gt;, B&amp;H &gt; Satisfaction &gt;, People &gt; Helpful / Efficient &gt;, People &gt; Knowledge / Recommend &gt;, People &gt; Overall Satisfaction &gt;, Pricing &gt; Value for Money &gt;, Trade In &gt; Overall Process &gt;, Traffic &gt; Timeliness &gt;, Warehouse Fulfillment &gt; Timeliness &gt;"/>
    <m/>
    <s v="POSITIVE"/>
    <s v="People &gt; Helpful / Efficient &gt; (Strongly positive), Trade In &gt; Overall Process &gt; (Positive), Used &gt; Pricing &gt; (Positive), Warehouse Fulfillment &gt; Timeliness &gt; (Positive)"/>
    <s v="B&amp;H &gt; Loyalty &gt; (Positive), B&amp;H &gt; Recommended &gt; (Positive), B&amp;H &gt; Satisfaction &gt; (Positive), People &gt; Helpful / Efficient &gt; (Positive), People &gt; Knowledge / Recommend &gt; (Positive), People &gt; Overall Satisfaction &gt; (Positive), Pricing &gt; Value for Money &gt; (Positive), Trade In &gt; Overall Process &gt; (Positive), Traffic &gt; Timeliness &gt; (Positive), Warehouse Fulfillment &gt; Timeliness &gt; (Positive)"/>
    <s v="Yes"/>
    <s v="Yes"/>
    <m/>
    <x v="28"/>
    <x v="2"/>
    <x v="11"/>
    <m/>
    <x v="0"/>
    <x v="0"/>
  </r>
  <r>
    <s v="Joshua Lee - Used Trade-In Product"/>
    <n v="10"/>
    <n v="5"/>
    <d v="2026-02-12T12:38:54"/>
    <n v="5212332"/>
    <s v="Used Trade-In Product"/>
    <m/>
    <s v="Joshua Lee"/>
    <m/>
    <s v="joshjinlee12@gmail.com"/>
    <m/>
    <s v="Placentia;California;92870"/>
    <m/>
    <m/>
    <s v="No"/>
    <m/>
    <m/>
    <s v="joshjinlee12@gmail.com"/>
    <m/>
    <m/>
    <m/>
    <m/>
    <m/>
    <m/>
    <m/>
    <m/>
    <m/>
    <d v="2026-02-12T16:53:01"/>
    <d v="2026-02-06T12:53:57"/>
    <m/>
    <s v="1136888"/>
    <m/>
    <m/>
    <m/>
    <m/>
    <m/>
    <m/>
    <m/>
    <m/>
    <m/>
    <m/>
    <m/>
    <m/>
    <m/>
    <m/>
    <m/>
    <m/>
    <m/>
    <m/>
    <m/>
    <m/>
    <m/>
    <m/>
    <s v="https://bnh.lightning.force.com/001WP00000q0dVTYAY"/>
    <m/>
    <m/>
    <m/>
    <m/>
    <m/>
    <m/>
    <m/>
    <m/>
    <m/>
    <m/>
    <m/>
    <m/>
    <m/>
    <m/>
    <m/>
    <m/>
    <m/>
    <m/>
    <m/>
    <m/>
    <m/>
    <m/>
    <m/>
    <m/>
    <m/>
    <m/>
    <m/>
    <m/>
    <m/>
    <m/>
    <m/>
    <m/>
    <m/>
    <m/>
    <m/>
    <m/>
    <m/>
    <m/>
    <s v="CAD"/>
    <m/>
    <s v="No"/>
    <s v="Freddy Gomez"/>
    <s v="Freddy Gomez"/>
    <d v="2026-02-12T12:35:28"/>
    <s v="Promoter"/>
    <s v="Closed"/>
    <m/>
    <m/>
    <s v="Yes"/>
    <m/>
    <m/>
    <m/>
    <m/>
    <m/>
    <m/>
    <m/>
    <m/>
    <m/>
    <m/>
    <m/>
    <m/>
    <m/>
    <m/>
    <m/>
    <m/>
    <s v="The experience as smooth, effortless, and I did not have to do more than I needed and received a more than fair price for my used gear. Always will buy and sell from B&amp;H. Thank you!"/>
    <m/>
    <m/>
    <m/>
    <m/>
    <s v="N/A"/>
    <m/>
    <m/>
    <m/>
    <m/>
    <m/>
    <m/>
    <m/>
    <m/>
    <m/>
    <m/>
    <m/>
    <m/>
    <m/>
    <m/>
    <m/>
    <m/>
    <m/>
    <m/>
    <m/>
    <m/>
    <m/>
    <m/>
    <m/>
    <m/>
    <m/>
    <m/>
    <m/>
    <m/>
    <m/>
    <m/>
    <m/>
    <m/>
    <m/>
    <m/>
    <m/>
    <m/>
    <m/>
    <m/>
    <m/>
    <m/>
    <m/>
    <m/>
    <m/>
    <m/>
    <m/>
    <m/>
    <m/>
    <m/>
    <m/>
    <m/>
    <m/>
    <m/>
    <m/>
    <m/>
    <m/>
    <m/>
    <m/>
    <m/>
    <m/>
    <m/>
    <m/>
    <m/>
    <m/>
    <m/>
    <m/>
    <m/>
    <m/>
    <m/>
    <m/>
    <m/>
    <m/>
    <m/>
    <m/>
    <m/>
    <m/>
    <m/>
    <m/>
    <m/>
    <m/>
    <m/>
    <m/>
    <m/>
    <s v="The experience as smooth, effortless, and I did not have to do more than I needed and received a more than fair price for my used gear. Always will buy and sell from B&amp;H. Thank you!"/>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B&amp;H &gt; Reliable / Trustworthy &gt;, B&amp;H &gt; Satisfaction &gt;, Trade In &gt; Overall Process &gt;, Trade In &gt; Quote Price &gt;"/>
    <m/>
    <m/>
    <s v="Pricing &gt; Value for Money &gt; (Positive), Trade In &gt; Quote Price &gt; (Positive), Used &gt; Pricing &gt; (Positive)"/>
    <s v="B&amp;H &gt; Reliable / Trustworthy &gt; (Positive), B&amp;H &gt; Satisfaction &gt; (Positive), Trade In &gt; Overall Process &gt; (Positive), Trade In &gt; Quote Price &gt; (Positive)"/>
    <s v="Yes"/>
    <s v="No"/>
    <m/>
    <x v="5"/>
    <x v="0"/>
    <x v="0"/>
    <m/>
    <x v="0"/>
    <x v="0"/>
  </r>
  <r>
    <s v="Kelly Lem - Used Trade-In Product"/>
    <n v="10"/>
    <n v="5"/>
    <d v="2026-02-12T12:19:08"/>
    <n v="5212245"/>
    <s v="Used Trade-In Product"/>
    <m/>
    <s v="Kelly Lem"/>
    <m/>
    <s v="kblem23@gmail.com"/>
    <m/>
    <s v="Redwood City;California;94065"/>
    <s v="Redwood City;California;94065"/>
    <s v="17 years 6 months"/>
    <s v="No"/>
    <m/>
    <m/>
    <s v="kblem23@gmail.com"/>
    <s v="210"/>
    <m/>
    <m/>
    <m/>
    <m/>
    <m/>
    <m/>
    <m/>
    <m/>
    <d v="2026-02-12T16:56:37"/>
    <d v="2026-02-12T12:56:41"/>
    <m/>
    <s v="1137556"/>
    <m/>
    <m/>
    <m/>
    <m/>
    <m/>
    <m/>
    <m/>
    <m/>
    <m/>
    <m/>
    <m/>
    <m/>
    <m/>
    <m/>
    <m/>
    <m/>
    <m/>
    <m/>
    <m/>
    <m/>
    <m/>
    <m/>
    <s v="https://bnh.lightning.force.com/0011a00000WHvYCAA1"/>
    <m/>
    <m/>
    <m/>
    <m/>
    <m/>
    <m/>
    <m/>
    <m/>
    <m/>
    <m/>
    <m/>
    <m/>
    <m/>
    <m/>
    <m/>
    <m/>
    <m/>
    <m/>
    <m/>
    <m/>
    <m/>
    <m/>
    <m/>
    <m/>
    <m/>
    <m/>
    <m/>
    <m/>
    <m/>
    <m/>
    <m/>
    <m/>
    <m/>
    <m/>
    <m/>
    <m/>
    <m/>
    <m/>
    <s v="CAD"/>
    <m/>
    <s v="No"/>
    <s v="Freddy Gomez"/>
    <s v="Freddy Gomez"/>
    <d v="2026-02-12T12:05:04"/>
    <s v="Promoter"/>
    <s v="Closed"/>
    <m/>
    <m/>
    <s v="Yes"/>
    <m/>
    <m/>
    <m/>
    <m/>
    <m/>
    <m/>
    <m/>
    <m/>
    <m/>
    <m/>
    <m/>
    <m/>
    <m/>
    <m/>
    <m/>
    <m/>
    <s v="I've done this a half dozen times and it's always gone smoothly.  Never a hiccup or problem."/>
    <m/>
    <m/>
    <m/>
    <m/>
    <s v="Not really a dislike, but getting more money back for the item would always be nice."/>
    <m/>
    <m/>
    <m/>
    <m/>
    <m/>
    <m/>
    <m/>
    <m/>
    <m/>
    <m/>
    <m/>
    <m/>
    <m/>
    <m/>
    <m/>
    <m/>
    <m/>
    <m/>
    <m/>
    <m/>
    <m/>
    <m/>
    <m/>
    <m/>
    <m/>
    <m/>
    <m/>
    <m/>
    <m/>
    <m/>
    <m/>
    <m/>
    <m/>
    <m/>
    <m/>
    <m/>
    <m/>
    <m/>
    <m/>
    <m/>
    <m/>
    <m/>
    <m/>
    <m/>
    <m/>
    <m/>
    <m/>
    <m/>
    <m/>
    <m/>
    <m/>
    <m/>
    <m/>
    <m/>
    <m/>
    <m/>
    <m/>
    <m/>
    <m/>
    <m/>
    <m/>
    <m/>
    <m/>
    <m/>
    <m/>
    <m/>
    <m/>
    <m/>
    <m/>
    <m/>
    <m/>
    <m/>
    <m/>
    <m/>
    <m/>
    <m/>
    <m/>
    <m/>
    <m/>
    <m/>
    <m/>
    <m/>
    <s v="I've done this a half dozen times and it's always gone smoothly.  Never a hiccup or problem."/>
    <s v="Not really a dislike, but getting more money back for the item would always be n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n v="4"/>
    <m/>
    <m/>
    <m/>
    <m/>
    <m/>
    <m/>
    <m/>
    <m/>
    <m/>
    <m/>
    <m/>
    <m/>
    <m/>
    <m/>
    <m/>
    <m/>
    <m/>
    <m/>
    <m/>
    <m/>
    <m/>
    <m/>
    <m/>
    <m/>
    <m/>
    <m/>
    <m/>
    <m/>
    <m/>
    <m/>
    <m/>
    <m/>
    <m/>
    <m/>
    <m/>
    <m/>
    <m/>
    <m/>
    <m/>
    <m/>
    <m/>
    <m/>
    <m/>
    <m/>
    <m/>
    <m/>
    <m/>
    <m/>
    <m/>
    <m/>
    <m/>
    <m/>
    <m/>
    <m/>
    <m/>
    <m/>
    <m/>
    <m/>
    <m/>
    <m/>
    <m/>
    <m/>
    <m/>
    <m/>
    <m/>
    <m/>
    <m/>
    <m/>
    <m/>
    <m/>
    <m/>
    <m/>
    <m/>
    <m/>
    <m/>
    <m/>
    <m/>
    <m/>
    <m/>
    <m/>
    <m/>
    <m/>
    <m/>
    <m/>
    <m/>
    <m/>
    <m/>
    <m/>
    <m/>
    <m/>
    <m/>
    <m/>
    <m/>
    <m/>
    <m/>
    <m/>
    <m/>
    <m/>
    <m/>
    <m/>
    <m/>
    <m/>
    <s v="Trade In &gt; Overall Process &gt;, Trade In &gt; Quote Price &gt;"/>
    <m/>
    <m/>
    <m/>
    <s v="Trade In &gt; Overall Process &gt; (Positive), Trade In &gt; Quote Price &gt; (Negative)"/>
    <s v="Yes"/>
    <s v="No"/>
    <m/>
    <x v="5"/>
    <x v="0"/>
    <x v="0"/>
    <m/>
    <x v="0"/>
    <x v="0"/>
  </r>
  <r>
    <s v="Hung-Chieh Kuo - Used Trade-In Product"/>
    <n v="10"/>
    <n v="4"/>
    <d v="2026-02-12T12:03:03"/>
    <n v="5212240"/>
    <s v="Used Trade-In Product"/>
    <m/>
    <s v="Hung-Chieh Kuo"/>
    <m/>
    <s v="kenny0930@hotmail.com"/>
    <m/>
    <s v="Durham;North Carolina;27713"/>
    <m/>
    <m/>
    <s v="No"/>
    <m/>
    <m/>
    <s v="kenny0930@hotmail.com"/>
    <m/>
    <m/>
    <m/>
    <m/>
    <m/>
    <m/>
    <m/>
    <m/>
    <m/>
    <d v="2026-02-12T13:48:42"/>
    <d v="2026-02-11T12:58:26"/>
    <m/>
    <s v="1138466"/>
    <m/>
    <m/>
    <m/>
    <m/>
    <m/>
    <m/>
    <m/>
    <m/>
    <m/>
    <m/>
    <m/>
    <m/>
    <m/>
    <m/>
    <m/>
    <m/>
    <m/>
    <m/>
    <m/>
    <m/>
    <m/>
    <m/>
    <s v="https://bnh.lightning.force.com/0012L00000xNnViQAK"/>
    <m/>
    <m/>
    <m/>
    <m/>
    <m/>
    <m/>
    <m/>
    <m/>
    <m/>
    <m/>
    <m/>
    <m/>
    <m/>
    <m/>
    <m/>
    <m/>
    <m/>
    <m/>
    <m/>
    <m/>
    <m/>
    <m/>
    <m/>
    <m/>
    <m/>
    <m/>
    <m/>
    <m/>
    <m/>
    <m/>
    <m/>
    <m/>
    <m/>
    <m/>
    <m/>
    <m/>
    <m/>
    <m/>
    <s v="CAD"/>
    <m/>
    <s v="No"/>
    <s v="Efrat Malachi"/>
    <s v="Efrat Malachi"/>
    <d v="2026-02-12T12:03:23"/>
    <s v="Promoter"/>
    <s v="Closed"/>
    <m/>
    <m/>
    <s v="Yes"/>
    <m/>
    <m/>
    <m/>
    <m/>
    <m/>
    <m/>
    <m/>
    <m/>
    <m/>
    <m/>
    <m/>
    <m/>
    <m/>
    <m/>
    <m/>
    <m/>
    <s v="Instant quote."/>
    <m/>
    <m/>
    <m/>
    <m/>
    <s v="There is no direct deposit option."/>
    <m/>
    <m/>
    <m/>
    <m/>
    <m/>
    <m/>
    <m/>
    <m/>
    <m/>
    <m/>
    <m/>
    <m/>
    <m/>
    <m/>
    <m/>
    <m/>
    <m/>
    <m/>
    <m/>
    <m/>
    <m/>
    <m/>
    <m/>
    <m/>
    <m/>
    <m/>
    <m/>
    <m/>
    <m/>
    <m/>
    <m/>
    <m/>
    <m/>
    <m/>
    <m/>
    <m/>
    <m/>
    <m/>
    <m/>
    <m/>
    <m/>
    <m/>
    <m/>
    <m/>
    <m/>
    <m/>
    <m/>
    <m/>
    <m/>
    <m/>
    <m/>
    <m/>
    <m/>
    <m/>
    <m/>
    <m/>
    <m/>
    <m/>
    <m/>
    <m/>
    <m/>
    <m/>
    <m/>
    <m/>
    <m/>
    <m/>
    <m/>
    <m/>
    <m/>
    <m/>
    <m/>
    <m/>
    <m/>
    <m/>
    <m/>
    <m/>
    <m/>
    <m/>
    <m/>
    <m/>
    <m/>
    <m/>
    <s v="Instant quote."/>
    <s v="There is no direct deposit op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3"/>
    <s v="N/A"/>
    <n v="3"/>
    <n v="1"/>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Quote &gt;"/>
    <m/>
    <m/>
    <s v="Trade In &gt; Overall Process &gt; (No opinion)"/>
    <s v="Trade In &gt; Overall Process &gt; (Negative), Trade In &gt; Timeliness of Quote &gt; (Positive)"/>
    <s v="Yes"/>
    <s v="Yes"/>
    <m/>
    <x v="13"/>
    <x v="0"/>
    <x v="0"/>
    <m/>
    <x v="0"/>
    <x v="0"/>
  </r>
  <r>
    <s v="Amanda Barry - Used Trade-In Product"/>
    <n v="10"/>
    <n v="5"/>
    <d v="2026-02-12T11:51:09"/>
    <n v="5212193"/>
    <s v="Used Trade-In Product"/>
    <m/>
    <s v="Amanda Barry"/>
    <m/>
    <s v="alulustiles@yahoo.com"/>
    <m/>
    <s v="Del Mar;California;92014"/>
    <s v="Del Mar;California;92014"/>
    <s v="7 years 3 months"/>
    <s v="No"/>
    <m/>
    <m/>
    <s v="alulustiles@yahoo.com"/>
    <s v="87"/>
    <m/>
    <m/>
    <m/>
    <m/>
    <m/>
    <m/>
    <m/>
    <m/>
    <d v="2026-02-12T13:30:30"/>
    <d v="2026-02-12T12:54:24"/>
    <m/>
    <s v="1136635"/>
    <m/>
    <m/>
    <m/>
    <m/>
    <m/>
    <m/>
    <m/>
    <m/>
    <m/>
    <m/>
    <m/>
    <m/>
    <m/>
    <m/>
    <m/>
    <m/>
    <m/>
    <m/>
    <m/>
    <m/>
    <m/>
    <m/>
    <s v="https://bnh.lightning.force.com/0012L00001BOVAFQA5"/>
    <m/>
    <m/>
    <m/>
    <m/>
    <m/>
    <m/>
    <m/>
    <m/>
    <m/>
    <m/>
    <m/>
    <m/>
    <m/>
    <m/>
    <m/>
    <m/>
    <m/>
    <m/>
    <m/>
    <m/>
    <m/>
    <m/>
    <m/>
    <m/>
    <m/>
    <m/>
    <m/>
    <m/>
    <m/>
    <m/>
    <m/>
    <m/>
    <m/>
    <m/>
    <m/>
    <m/>
    <m/>
    <m/>
    <s v="CAD"/>
    <m/>
    <s v="No"/>
    <s v="Efrat Malachi"/>
    <s v="Efrat Malachi"/>
    <d v="2026-02-12T11:50:51"/>
    <s v="Promoter"/>
    <s v="Closed"/>
    <m/>
    <m/>
    <s v="Yes"/>
    <m/>
    <m/>
    <m/>
    <m/>
    <m/>
    <m/>
    <m/>
    <m/>
    <m/>
    <m/>
    <m/>
    <m/>
    <m/>
    <m/>
    <m/>
    <m/>
    <s v="It is a very easy experience. I don’t have to worry about haggling when you receive my item."/>
    <m/>
    <m/>
    <m/>
    <m/>
    <s v="I wish you paid more used gear."/>
    <m/>
    <m/>
    <m/>
    <m/>
    <m/>
    <m/>
    <m/>
    <m/>
    <m/>
    <m/>
    <m/>
    <m/>
    <m/>
    <m/>
    <m/>
    <m/>
    <m/>
    <m/>
    <m/>
    <m/>
    <m/>
    <m/>
    <m/>
    <m/>
    <m/>
    <m/>
    <m/>
    <m/>
    <m/>
    <m/>
    <m/>
    <m/>
    <m/>
    <m/>
    <m/>
    <m/>
    <m/>
    <m/>
    <m/>
    <m/>
    <m/>
    <m/>
    <m/>
    <m/>
    <m/>
    <m/>
    <m/>
    <m/>
    <m/>
    <m/>
    <m/>
    <m/>
    <m/>
    <m/>
    <m/>
    <m/>
    <m/>
    <m/>
    <m/>
    <m/>
    <m/>
    <m/>
    <m/>
    <m/>
    <m/>
    <m/>
    <m/>
    <m/>
    <m/>
    <m/>
    <m/>
    <m/>
    <m/>
    <m/>
    <m/>
    <m/>
    <m/>
    <m/>
    <m/>
    <m/>
    <m/>
    <m/>
    <s v="It is a very easy experience. I don’t have to worry about haggling when you receive my item."/>
    <s v="I wish you paid more used gea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Trade In &gt; Quote Price &gt;"/>
    <m/>
    <m/>
    <m/>
    <s v="Trade In &gt; Overall Process &gt; (Positive), Trade In &gt; Quote Price &gt; (Negative)"/>
    <s v="Yes"/>
    <s v="No"/>
    <m/>
    <x v="0"/>
    <x v="8"/>
    <x v="0"/>
    <m/>
    <x v="0"/>
    <x v="0"/>
  </r>
  <r>
    <s v="Austin Corbett - Used Trade-In Product"/>
    <n v="10"/>
    <n v="5"/>
    <d v="2026-02-12T11:49:58"/>
    <n v="5212194"/>
    <s v="Used Trade-In Product"/>
    <m/>
    <s v="Austin Corbett"/>
    <m/>
    <s v="austin@pointtopointphoto.com"/>
    <m/>
    <s v="Flagstaff;Arizona;86001"/>
    <m/>
    <s v="11 months"/>
    <s v="No"/>
    <m/>
    <m/>
    <s v="austin@pointtopointphoto.com"/>
    <s v="11"/>
    <m/>
    <m/>
    <m/>
    <m/>
    <m/>
    <m/>
    <m/>
    <m/>
    <d v="2026-02-12T13:29:57"/>
    <d v="2026-02-12T12:57:36"/>
    <m/>
    <s v="1138780"/>
    <m/>
    <m/>
    <m/>
    <m/>
    <m/>
    <m/>
    <m/>
    <m/>
    <m/>
    <m/>
    <m/>
    <m/>
    <m/>
    <m/>
    <m/>
    <m/>
    <m/>
    <m/>
    <m/>
    <m/>
    <m/>
    <m/>
    <s v="https://bnh.lightning.force.com/001WP00000r3xOZYAY"/>
    <m/>
    <m/>
    <m/>
    <m/>
    <m/>
    <m/>
    <m/>
    <m/>
    <m/>
    <m/>
    <m/>
    <m/>
    <m/>
    <m/>
    <m/>
    <m/>
    <m/>
    <m/>
    <m/>
    <m/>
    <m/>
    <m/>
    <m/>
    <m/>
    <m/>
    <m/>
    <m/>
    <m/>
    <m/>
    <m/>
    <m/>
    <m/>
    <m/>
    <m/>
    <m/>
    <m/>
    <m/>
    <m/>
    <s v="CAD"/>
    <m/>
    <s v="No"/>
    <s v="Efrat Malachi"/>
    <s v="Efrat Malachi"/>
    <d v="2026-02-12T11:50:51"/>
    <s v="Promoter"/>
    <s v="Closed"/>
    <m/>
    <m/>
    <s v="Yes"/>
    <m/>
    <m/>
    <m/>
    <m/>
    <m/>
    <m/>
    <m/>
    <m/>
    <m/>
    <m/>
    <m/>
    <m/>
    <m/>
    <m/>
    <m/>
    <m/>
    <s v="Easy to use and got my payment quickly!"/>
    <m/>
    <m/>
    <m/>
    <m/>
    <s v="Nothing, B&amp;H is the best!"/>
    <m/>
    <m/>
    <m/>
    <m/>
    <m/>
    <m/>
    <m/>
    <m/>
    <m/>
    <m/>
    <m/>
    <m/>
    <m/>
    <m/>
    <m/>
    <m/>
    <m/>
    <m/>
    <m/>
    <m/>
    <m/>
    <m/>
    <m/>
    <m/>
    <m/>
    <m/>
    <m/>
    <m/>
    <m/>
    <m/>
    <m/>
    <m/>
    <m/>
    <m/>
    <m/>
    <m/>
    <m/>
    <m/>
    <m/>
    <m/>
    <m/>
    <m/>
    <m/>
    <m/>
    <m/>
    <m/>
    <m/>
    <m/>
    <m/>
    <m/>
    <m/>
    <m/>
    <m/>
    <m/>
    <m/>
    <m/>
    <m/>
    <m/>
    <m/>
    <m/>
    <m/>
    <m/>
    <m/>
    <m/>
    <m/>
    <m/>
    <m/>
    <m/>
    <m/>
    <m/>
    <m/>
    <m/>
    <m/>
    <m/>
    <m/>
    <m/>
    <m/>
    <m/>
    <m/>
    <m/>
    <m/>
    <m/>
    <s v="Easy to use and got my payment quickly!"/>
    <s v="Nothing, B&amp;H is the bes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ayment &gt; Ease Of Use &gt;, Trade In &gt; Timeliness of Payment &gt;"/>
    <s v="Trade In &gt; Overall Process &gt;, Trade In &gt; Timeliness of Payment &gt;"/>
    <m/>
    <m/>
    <s v="Payment &gt; Ease Of Use &gt; (Positive), Trade In &gt; Timeliness of Payment &gt; (Positive)"/>
    <s v="Trade In &gt; Overall Process &gt; (Positive), Trade In &gt; Timeliness of Payment &gt; (Positive)"/>
    <s v="Yes"/>
    <s v="Yes"/>
    <m/>
    <x v="0"/>
    <x v="12"/>
    <x v="0"/>
    <m/>
    <x v="0"/>
    <x v="0"/>
  </r>
  <r>
    <s v="Peter Szpakowski - Used Trade-In Product"/>
    <n v="10"/>
    <n v="5"/>
    <d v="2026-02-12T11:25:25"/>
    <n v="5212115"/>
    <s v="Used Trade-In Product"/>
    <m/>
    <s v="Peter Szpakowski"/>
    <m/>
    <s v="pjs211971@gmail.com"/>
    <m/>
    <s v="Haslet;Texas;76052"/>
    <s v="Haslet;Texas;76052"/>
    <s v="17 years 1 months"/>
    <s v="Yes"/>
    <m/>
    <m/>
    <s v="pjs211971@gmail.com"/>
    <s v="205"/>
    <m/>
    <m/>
    <m/>
    <m/>
    <m/>
    <m/>
    <m/>
    <m/>
    <d v="2026-02-12T13:39:50"/>
    <d v="2026-02-03T12:53:41"/>
    <m/>
    <s v="1136589"/>
    <m/>
    <m/>
    <m/>
    <m/>
    <m/>
    <m/>
    <m/>
    <m/>
    <m/>
    <m/>
    <m/>
    <m/>
    <m/>
    <m/>
    <m/>
    <m/>
    <m/>
    <m/>
    <m/>
    <m/>
    <m/>
    <m/>
    <s v="https://bnh.lightning.force.com/0018X00003PEB2pQAH"/>
    <m/>
    <m/>
    <m/>
    <m/>
    <m/>
    <m/>
    <m/>
    <m/>
    <m/>
    <m/>
    <m/>
    <m/>
    <m/>
    <m/>
    <m/>
    <m/>
    <m/>
    <m/>
    <m/>
    <m/>
    <m/>
    <m/>
    <m/>
    <m/>
    <m/>
    <m/>
    <m/>
    <m/>
    <m/>
    <m/>
    <m/>
    <m/>
    <m/>
    <m/>
    <m/>
    <m/>
    <m/>
    <m/>
    <s v="CAD"/>
    <m/>
    <s v="No"/>
    <s v="Aine Hoye"/>
    <s v="Aine Hoye"/>
    <d v="2026-02-12T11:25:08"/>
    <s v="Promoter"/>
    <s v="Closed"/>
    <m/>
    <m/>
    <s v="Yes"/>
    <m/>
    <m/>
    <m/>
    <m/>
    <m/>
    <m/>
    <m/>
    <m/>
    <m/>
    <m/>
    <m/>
    <m/>
    <m/>
    <m/>
    <m/>
    <m/>
    <s v="Took a little while but I understand you are busy. The process was smooth and did not have to do any extra work."/>
    <m/>
    <m/>
    <m/>
    <m/>
    <s v="Took a while to get a check."/>
    <m/>
    <m/>
    <m/>
    <m/>
    <m/>
    <m/>
    <m/>
    <m/>
    <m/>
    <m/>
    <m/>
    <m/>
    <m/>
    <m/>
    <m/>
    <m/>
    <m/>
    <m/>
    <m/>
    <m/>
    <m/>
    <m/>
    <m/>
    <m/>
    <m/>
    <m/>
    <m/>
    <m/>
    <m/>
    <m/>
    <m/>
    <m/>
    <m/>
    <m/>
    <m/>
    <m/>
    <m/>
    <m/>
    <m/>
    <m/>
    <m/>
    <m/>
    <m/>
    <m/>
    <m/>
    <m/>
    <m/>
    <m/>
    <m/>
    <m/>
    <m/>
    <m/>
    <m/>
    <m/>
    <m/>
    <m/>
    <m/>
    <m/>
    <m/>
    <m/>
    <m/>
    <m/>
    <m/>
    <m/>
    <m/>
    <m/>
    <m/>
    <m/>
    <m/>
    <m/>
    <m/>
    <m/>
    <m/>
    <m/>
    <m/>
    <m/>
    <m/>
    <m/>
    <m/>
    <m/>
    <m/>
    <m/>
    <s v="Took a little while but I understand you are busy. The process was smooth and did not have to do any extra work."/>
    <s v="Took a while to get a che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4"/>
    <n v="4"/>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Positive)"/>
    <s v="Trade In &gt; Overall Process &gt; (Positive), Trade In &gt; Timeliness of Payment &gt; (Negative)"/>
    <s v="Yes"/>
    <s v="Yes"/>
    <m/>
    <x v="5"/>
    <x v="11"/>
    <x v="0"/>
    <m/>
    <x v="0"/>
    <x v="0"/>
  </r>
  <r>
    <s v="Kory Kleinsasser - Used Trade-In Product"/>
    <n v="10"/>
    <n v="5"/>
    <d v="2026-02-12T10:36:32"/>
    <n v="5211949"/>
    <s v="Used Trade-In Product"/>
    <m/>
    <s v="Kory Kleinsasser"/>
    <m/>
    <s v="kory@waiteparkchurch.org"/>
    <m/>
    <s v="Minneapolis;Minnesota;55418"/>
    <m/>
    <s v="11 years 6 months"/>
    <s v="No"/>
    <m/>
    <m/>
    <s v="kory@waiteparkchurch.org"/>
    <s v="138"/>
    <m/>
    <m/>
    <m/>
    <m/>
    <m/>
    <m/>
    <m/>
    <m/>
    <d v="2026-02-12T14:00:54"/>
    <d v="2026-02-12T12:55:29"/>
    <m/>
    <s v="1139058"/>
    <m/>
    <m/>
    <m/>
    <m/>
    <m/>
    <m/>
    <m/>
    <m/>
    <m/>
    <m/>
    <m/>
    <m/>
    <m/>
    <m/>
    <m/>
    <m/>
    <m/>
    <m/>
    <m/>
    <m/>
    <m/>
    <m/>
    <s v="https://bnh.lightning.force.com/001WP00000oxmqJYAQ"/>
    <m/>
    <m/>
    <m/>
    <m/>
    <m/>
    <m/>
    <m/>
    <m/>
    <m/>
    <m/>
    <m/>
    <m/>
    <m/>
    <m/>
    <m/>
    <m/>
    <m/>
    <m/>
    <m/>
    <m/>
    <m/>
    <m/>
    <m/>
    <m/>
    <m/>
    <m/>
    <m/>
    <m/>
    <m/>
    <m/>
    <m/>
    <m/>
    <m/>
    <m/>
    <m/>
    <m/>
    <m/>
    <m/>
    <s v="CAD"/>
    <m/>
    <s v="No"/>
    <s v="Andrea Garcia"/>
    <s v="Andrea Garcia"/>
    <d v="2026-02-12T10:34:54"/>
    <s v="Promoter"/>
    <s v="Closed"/>
    <m/>
    <m/>
    <s v="Yes"/>
    <m/>
    <m/>
    <m/>
    <m/>
    <m/>
    <m/>
    <m/>
    <m/>
    <m/>
    <m/>
    <m/>
    <m/>
    <m/>
    <m/>
    <m/>
    <m/>
    <s v="I was pleasantly surprised at how quick getting a quote was, and then I honestly expected to get less for my equipment than the original quote since I didn't have all of the accessories with it. Just a good experience all around."/>
    <m/>
    <m/>
    <m/>
    <m/>
    <s v="There was one piece of equipment that I was not able to sell on B&amp;H, but I can't say I'm too disappointed. It makes sense that B&amp;H would only buy what they felt they could sell."/>
    <m/>
    <m/>
    <m/>
    <m/>
    <m/>
    <m/>
    <m/>
    <m/>
    <m/>
    <m/>
    <m/>
    <m/>
    <m/>
    <m/>
    <m/>
    <m/>
    <m/>
    <m/>
    <m/>
    <m/>
    <m/>
    <m/>
    <m/>
    <m/>
    <m/>
    <m/>
    <m/>
    <m/>
    <m/>
    <m/>
    <m/>
    <m/>
    <m/>
    <m/>
    <m/>
    <m/>
    <m/>
    <m/>
    <m/>
    <m/>
    <m/>
    <m/>
    <m/>
    <m/>
    <m/>
    <m/>
    <m/>
    <m/>
    <m/>
    <m/>
    <m/>
    <m/>
    <m/>
    <m/>
    <m/>
    <m/>
    <m/>
    <m/>
    <m/>
    <m/>
    <m/>
    <m/>
    <m/>
    <m/>
    <m/>
    <m/>
    <m/>
    <m/>
    <m/>
    <m/>
    <m/>
    <m/>
    <m/>
    <m/>
    <m/>
    <m/>
    <m/>
    <m/>
    <m/>
    <m/>
    <m/>
    <m/>
    <s v="I was pleasantly surprised at how quick getting a quote was, and then I honestly expected to get less for my equipment than the original quote since I didn't have all of the accessories with it. Just a good experience all around."/>
    <s v="There was one piece of equipment that I was not able to sell on B&amp;H, but I can't say I'm too disappointed. It makes sense that B&amp;H would only buy what they felt they could se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Trade In &gt; Overall Process &gt;, Trade In &gt; Timeliness of Quote &gt;"/>
    <s v="Trade In &gt; Overall Process &gt;, Trade In &gt; Quote Price &gt;, Trade In &gt; Timeliness of Quote &gt;"/>
    <m/>
    <m/>
    <s v="B&amp;H &gt; Satisfaction &gt; (Positive), Trade In &gt; Overall Process &gt; (Negative), Trade In &gt; Timeliness of Quote &gt; (Negative)"/>
    <s v="Trade In &gt; Overall Process &gt; (Negative), Trade In &gt; Overall Process &gt; (Positive), Trade In &gt; Quote Price &gt; (Positive), Trade In &gt; Timeliness of Quote &gt; (Positive)"/>
    <s v="Yes"/>
    <s v="Yes"/>
    <m/>
    <x v="13"/>
    <x v="18"/>
    <x v="5"/>
    <m/>
    <x v="0"/>
    <x v="0"/>
  </r>
  <r>
    <s v="Howard Williams - Used Trade-In Product"/>
    <n v="10"/>
    <n v="5"/>
    <d v="2026-02-12T10:29:50"/>
    <n v="5211922"/>
    <s v="Used Trade-In Product"/>
    <m/>
    <s v="Howard Williams"/>
    <m/>
    <s v="speed98@goeaston.net"/>
    <m/>
    <s v="Easton;Maryland;21601"/>
    <s v="Easton;Maryland;21601"/>
    <s v="14 years 1 months"/>
    <s v="Yes"/>
    <m/>
    <m/>
    <s v="speed98@goeaston.net"/>
    <s v="169"/>
    <m/>
    <m/>
    <m/>
    <m/>
    <m/>
    <m/>
    <m/>
    <m/>
    <d v="2026-02-12T13:56:36"/>
    <d v="2026-02-12T12:57:15"/>
    <m/>
    <s v="1140425"/>
    <m/>
    <m/>
    <m/>
    <m/>
    <m/>
    <m/>
    <m/>
    <m/>
    <m/>
    <m/>
    <m/>
    <m/>
    <m/>
    <m/>
    <m/>
    <m/>
    <m/>
    <m/>
    <m/>
    <m/>
    <m/>
    <m/>
    <s v="https://bnh.lightning.force.com/0012L00001EUY8VQAX"/>
    <m/>
    <m/>
    <m/>
    <m/>
    <m/>
    <m/>
    <m/>
    <m/>
    <m/>
    <m/>
    <m/>
    <m/>
    <m/>
    <m/>
    <m/>
    <m/>
    <m/>
    <m/>
    <m/>
    <m/>
    <m/>
    <m/>
    <m/>
    <m/>
    <m/>
    <m/>
    <m/>
    <m/>
    <m/>
    <m/>
    <m/>
    <m/>
    <m/>
    <m/>
    <m/>
    <m/>
    <m/>
    <m/>
    <s v="CAD"/>
    <m/>
    <s v="No"/>
    <s v="Andrea Garcia"/>
    <s v="Andrea Garcia"/>
    <d v="2026-02-12T10:28:50"/>
    <s v="Promoter"/>
    <s v="Closed"/>
    <m/>
    <m/>
    <s v="Yes"/>
    <m/>
    <m/>
    <m/>
    <m/>
    <m/>
    <m/>
    <m/>
    <m/>
    <m/>
    <m/>
    <m/>
    <m/>
    <m/>
    <m/>
    <m/>
    <m/>
    <s v="Customer  service"/>
    <m/>
    <m/>
    <m/>
    <m/>
    <s v="None"/>
    <m/>
    <m/>
    <m/>
    <m/>
    <m/>
    <m/>
    <m/>
    <m/>
    <m/>
    <m/>
    <m/>
    <m/>
    <m/>
    <m/>
    <m/>
    <m/>
    <m/>
    <m/>
    <m/>
    <m/>
    <m/>
    <m/>
    <m/>
    <m/>
    <m/>
    <m/>
    <m/>
    <m/>
    <m/>
    <m/>
    <m/>
    <m/>
    <m/>
    <m/>
    <m/>
    <m/>
    <m/>
    <m/>
    <m/>
    <m/>
    <m/>
    <m/>
    <m/>
    <m/>
    <m/>
    <m/>
    <m/>
    <m/>
    <m/>
    <m/>
    <m/>
    <m/>
    <m/>
    <m/>
    <m/>
    <m/>
    <m/>
    <m/>
    <m/>
    <m/>
    <m/>
    <m/>
    <m/>
    <m/>
    <m/>
    <m/>
    <m/>
    <m/>
    <m/>
    <m/>
    <m/>
    <m/>
    <m/>
    <m/>
    <m/>
    <m/>
    <m/>
    <m/>
    <m/>
    <m/>
    <m/>
    <m/>
    <s v="Customer  service"/>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People &gt; Overall Satisfaction &gt;"/>
    <m/>
    <m/>
    <m/>
    <s v="People &gt; Overall Satisfaction &gt; (Positive)"/>
    <s v="Yes"/>
    <s v="Yes"/>
    <m/>
    <x v="7"/>
    <x v="0"/>
    <x v="0"/>
    <m/>
    <x v="0"/>
    <x v="0"/>
  </r>
  <r>
    <s v="Erika Maru - Used Trade-In Product"/>
    <n v="6"/>
    <n v="3"/>
    <d v="2026-02-12T10:25:01"/>
    <n v="5211889"/>
    <s v="Used Trade-In Product"/>
    <m/>
    <s v="Erika Maru"/>
    <m/>
    <s v="emaru1990@mail.com"/>
    <m/>
    <s v="Pasadena;California;91101"/>
    <m/>
    <s v="1 years 8 months"/>
    <s v="No"/>
    <m/>
    <m/>
    <s v="emaru1990@mail.com"/>
    <s v="20"/>
    <m/>
    <m/>
    <m/>
    <m/>
    <m/>
    <m/>
    <m/>
    <m/>
    <d v="2026-02-15T13:13:23"/>
    <d v="2026-02-12T12:55:52"/>
    <m/>
    <s v="1139230"/>
    <m/>
    <m/>
    <m/>
    <m/>
    <m/>
    <m/>
    <m/>
    <m/>
    <m/>
    <m/>
    <m/>
    <m/>
    <m/>
    <m/>
    <m/>
    <m/>
    <m/>
    <m/>
    <m/>
    <m/>
    <m/>
    <m/>
    <s v="https://bnh.lightning.force.com/001WP00000qWykqYAC"/>
    <m/>
    <m/>
    <m/>
    <m/>
    <m/>
    <m/>
    <m/>
    <m/>
    <m/>
    <m/>
    <m/>
    <m/>
    <m/>
    <m/>
    <m/>
    <m/>
    <m/>
    <m/>
    <m/>
    <m/>
    <m/>
    <m/>
    <m/>
    <m/>
    <m/>
    <m/>
    <m/>
    <m/>
    <m/>
    <m/>
    <m/>
    <m/>
    <m/>
    <m/>
    <m/>
    <m/>
    <m/>
    <m/>
    <s v="CAD"/>
    <m/>
    <s v="No"/>
    <s v="Andrea Garcia,Avraham Schwartz,Reina Caba"/>
    <s v="Reina Caba"/>
    <d v="2026-02-12T10:20:50"/>
    <s v="Detractor "/>
    <s v="Closed"/>
    <d v="2026-02-15T13:13:19"/>
    <s v="Reina Caba (reinac@bhphoto.com)"/>
    <s v="Yes"/>
    <m/>
    <m/>
    <m/>
    <m/>
    <m/>
    <m/>
    <m/>
    <m/>
    <m/>
    <m/>
    <m/>
    <m/>
    <m/>
    <m/>
    <m/>
    <m/>
    <s v="The fact that they will buy your used equipment."/>
    <m/>
    <m/>
    <m/>
    <m/>
    <s v="The price quoted for my camera was below satisfaction, since it was still like new and cost over $200. I feel I got less for what I originally paid for the camera, but I was satisfied to finally sell it since I wasn’t using it."/>
    <m/>
    <m/>
    <m/>
    <m/>
    <m/>
    <m/>
    <m/>
    <m/>
    <m/>
    <m/>
    <m/>
    <m/>
    <m/>
    <m/>
    <m/>
    <m/>
    <m/>
    <m/>
    <m/>
    <m/>
    <m/>
    <m/>
    <m/>
    <m/>
    <m/>
    <m/>
    <m/>
    <m/>
    <m/>
    <m/>
    <m/>
    <m/>
    <m/>
    <m/>
    <m/>
    <m/>
    <m/>
    <m/>
    <m/>
    <m/>
    <m/>
    <m/>
    <m/>
    <m/>
    <m/>
    <m/>
    <m/>
    <m/>
    <m/>
    <m/>
    <m/>
    <m/>
    <m/>
    <m/>
    <m/>
    <m/>
    <m/>
    <m/>
    <m/>
    <m/>
    <m/>
    <m/>
    <m/>
    <m/>
    <m/>
    <m/>
    <m/>
    <m/>
    <m/>
    <m/>
    <m/>
    <m/>
    <m/>
    <m/>
    <m/>
    <m/>
    <m/>
    <m/>
    <m/>
    <m/>
    <m/>
    <m/>
    <s v="The fact that they will buy your used equipment."/>
    <s v="The price quoted for my camera was below satisfaction, since it was still like new and cost over $200. I feel I got less for what I originally paid for the camera, but I was satisfied to finally sell it since I wasn’t using i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3"/>
    <n v="3"/>
    <m/>
    <m/>
    <m/>
    <m/>
    <m/>
    <m/>
    <n v="3"/>
    <n v="2"/>
    <n v="3"/>
    <n v="3"/>
    <m/>
    <m/>
    <m/>
    <m/>
    <m/>
    <m/>
    <m/>
    <m/>
    <m/>
    <m/>
    <m/>
    <m/>
    <m/>
    <m/>
    <m/>
    <m/>
    <m/>
    <m/>
    <m/>
    <m/>
    <m/>
    <m/>
    <m/>
    <m/>
    <m/>
    <m/>
    <m/>
    <m/>
    <m/>
    <m/>
    <m/>
    <m/>
    <m/>
    <m/>
    <m/>
    <m/>
    <m/>
    <m/>
    <m/>
    <m/>
    <m/>
    <m/>
    <m/>
    <m/>
    <m/>
    <m/>
    <m/>
    <m/>
    <m/>
    <m/>
    <m/>
    <m/>
    <m/>
    <m/>
    <m/>
    <m/>
    <m/>
    <m/>
    <m/>
    <m/>
    <m/>
    <m/>
    <m/>
    <m/>
    <m/>
    <m/>
    <m/>
    <m/>
    <m/>
    <m/>
    <m/>
    <m/>
    <m/>
    <m/>
    <m/>
    <m/>
    <m/>
    <m/>
    <m/>
    <m/>
    <m/>
    <m/>
    <m/>
    <m/>
    <m/>
    <m/>
    <m/>
    <m/>
    <m/>
    <m/>
    <m/>
    <m/>
    <m/>
    <m/>
    <m/>
    <m/>
    <m/>
    <m/>
    <m/>
    <m/>
    <m/>
    <s v="Trade In &gt; Quote Price &gt;, Used &gt; Description &gt;, Used &gt; Pricing &gt;"/>
    <s v="Trade In &gt; Overall Process &gt;, Trade In &gt; Quote Price &gt;"/>
    <m/>
    <m/>
    <s v="Trade In &gt; Quote Price &gt; (Negative), Used &gt; Description &gt; (Positive), Used &gt; Pricing &gt; (Negative)"/>
    <s v="Trade In &gt; Overall Process &gt; (Positive), Trade In &gt; Quote Price &gt; (Negative)"/>
    <s v="Yes"/>
    <s v="Yes"/>
    <m/>
    <x v="29"/>
    <x v="0"/>
    <x v="0"/>
    <m/>
    <x v="0"/>
    <x v="0"/>
  </r>
  <r>
    <s v="Cheri Myers - Used Trade-In Product"/>
    <n v="10"/>
    <n v="5"/>
    <d v="2026-02-12T10:23:26"/>
    <n v="5211900"/>
    <s v="Used Trade-In Product"/>
    <m/>
    <s v="Cheri Myers"/>
    <m/>
    <s v="cherimyers3@gmail.com"/>
    <m/>
    <s v="South Lyon;Michigan;48178"/>
    <m/>
    <m/>
    <s v="No"/>
    <m/>
    <m/>
    <s v="cherimyers3@gmail.com"/>
    <m/>
    <m/>
    <m/>
    <m/>
    <m/>
    <m/>
    <m/>
    <m/>
    <m/>
    <d v="2026-02-12T13:54:16"/>
    <d v="2026-02-12T12:54:34"/>
    <m/>
    <s v="1137821"/>
    <m/>
    <m/>
    <m/>
    <m/>
    <m/>
    <m/>
    <m/>
    <m/>
    <m/>
    <m/>
    <m/>
    <m/>
    <m/>
    <m/>
    <m/>
    <m/>
    <m/>
    <m/>
    <m/>
    <m/>
    <m/>
    <m/>
    <s v="https://bnh.lightning.force.com/001WP00000qayTTYAY"/>
    <m/>
    <m/>
    <m/>
    <m/>
    <m/>
    <m/>
    <m/>
    <m/>
    <m/>
    <m/>
    <m/>
    <m/>
    <m/>
    <m/>
    <m/>
    <m/>
    <m/>
    <m/>
    <m/>
    <m/>
    <m/>
    <m/>
    <m/>
    <m/>
    <m/>
    <m/>
    <m/>
    <m/>
    <m/>
    <m/>
    <m/>
    <m/>
    <m/>
    <m/>
    <m/>
    <m/>
    <m/>
    <m/>
    <s v="CAD"/>
    <m/>
    <s v="No"/>
    <s v="Andrea Garcia"/>
    <s v="Andrea Garcia"/>
    <d v="2026-02-12T10:22:19"/>
    <s v="Promoter"/>
    <s v="Closed"/>
    <m/>
    <m/>
    <s v="Yes"/>
    <m/>
    <m/>
    <m/>
    <m/>
    <m/>
    <m/>
    <m/>
    <m/>
    <m/>
    <m/>
    <m/>
    <m/>
    <m/>
    <m/>
    <m/>
    <m/>
    <s v="Was an easy experience and I appreciated the fact I received the amount I was quoted.  I half expected (and would have declined) a lesser quote once the items were evaluated.  Thank you!"/>
    <m/>
    <m/>
    <m/>
    <m/>
    <s v="Nothing"/>
    <m/>
    <m/>
    <m/>
    <m/>
    <m/>
    <m/>
    <m/>
    <m/>
    <m/>
    <m/>
    <m/>
    <m/>
    <m/>
    <m/>
    <m/>
    <m/>
    <m/>
    <m/>
    <m/>
    <m/>
    <m/>
    <m/>
    <m/>
    <m/>
    <m/>
    <m/>
    <m/>
    <m/>
    <m/>
    <m/>
    <m/>
    <m/>
    <m/>
    <m/>
    <m/>
    <m/>
    <m/>
    <m/>
    <m/>
    <m/>
    <m/>
    <m/>
    <m/>
    <m/>
    <m/>
    <m/>
    <m/>
    <m/>
    <m/>
    <m/>
    <m/>
    <m/>
    <m/>
    <m/>
    <m/>
    <m/>
    <m/>
    <m/>
    <m/>
    <m/>
    <m/>
    <m/>
    <m/>
    <m/>
    <m/>
    <m/>
    <m/>
    <m/>
    <m/>
    <m/>
    <m/>
    <m/>
    <m/>
    <m/>
    <m/>
    <m/>
    <m/>
    <m/>
    <m/>
    <m/>
    <m/>
    <m/>
    <s v="Was an easy experience and I appreciated the fact I received the amount I was quoted.  I half expected (and would have declined) a lesser quote once the items were evaluated.  Thank you!"/>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s v="Trade In &gt; Quote Price &gt;"/>
    <m/>
    <m/>
    <s v="Pricing &gt; Value for Money &gt; (Negative), Trade In &gt; Overall Process &gt; (Negative), Trade In &gt; Overall Process &gt; (Positive)"/>
    <s v="Trade In &gt; Quote Price &gt; (Positive)"/>
    <s v="Yes"/>
    <s v="Yes"/>
    <m/>
    <x v="0"/>
    <x v="9"/>
    <x v="0"/>
    <m/>
    <x v="0"/>
    <x v="0"/>
  </r>
  <r>
    <s v="Jetson Andres - Used Trade-In Product"/>
    <n v="10"/>
    <n v="5"/>
    <d v="2026-02-12T10:04:15"/>
    <n v="5211800"/>
    <s v="Used Trade-In Product"/>
    <m/>
    <s v="Jetson Andres"/>
    <m/>
    <s v="jetsonandres@gmail.com"/>
    <m/>
    <s v="Fresno;California;93727"/>
    <s v="Fresno;California;93727"/>
    <s v="10 years 1 months"/>
    <s v="No"/>
    <m/>
    <m/>
    <s v="jetsonandres@gmail.com"/>
    <s v="121"/>
    <m/>
    <m/>
    <m/>
    <m/>
    <m/>
    <m/>
    <m/>
    <m/>
    <d v="2026-02-12T14:06:22"/>
    <d v="2026-02-12T12:56:50"/>
    <m/>
    <s v="1137778"/>
    <m/>
    <m/>
    <m/>
    <m/>
    <m/>
    <m/>
    <m/>
    <m/>
    <m/>
    <m/>
    <m/>
    <m/>
    <m/>
    <m/>
    <m/>
    <m/>
    <m/>
    <m/>
    <m/>
    <m/>
    <m/>
    <m/>
    <s v="https://bnh.lightning.force.com/0011a00000JKDCIAA5"/>
    <m/>
    <m/>
    <m/>
    <m/>
    <m/>
    <m/>
    <m/>
    <m/>
    <m/>
    <m/>
    <m/>
    <m/>
    <m/>
    <m/>
    <m/>
    <m/>
    <m/>
    <m/>
    <m/>
    <m/>
    <m/>
    <m/>
    <m/>
    <m/>
    <m/>
    <m/>
    <m/>
    <m/>
    <m/>
    <m/>
    <m/>
    <m/>
    <m/>
    <m/>
    <m/>
    <m/>
    <m/>
    <m/>
    <s v="CAD"/>
    <m/>
    <s v="No"/>
    <s v="Emily Schreier"/>
    <s v="Emily Schreier"/>
    <d v="2026-02-12T10:04:08"/>
    <s v="Promoter"/>
    <s v="Closed"/>
    <m/>
    <m/>
    <s v="Yes"/>
    <m/>
    <m/>
    <m/>
    <m/>
    <m/>
    <m/>
    <m/>
    <m/>
    <m/>
    <m/>
    <m/>
    <m/>
    <m/>
    <m/>
    <m/>
    <m/>
    <s v="Ease of use"/>
    <m/>
    <m/>
    <m/>
    <m/>
    <s v="Maybe higher quote"/>
    <m/>
    <m/>
    <m/>
    <m/>
    <m/>
    <m/>
    <m/>
    <m/>
    <m/>
    <m/>
    <m/>
    <m/>
    <m/>
    <m/>
    <m/>
    <m/>
    <m/>
    <m/>
    <m/>
    <m/>
    <m/>
    <m/>
    <m/>
    <m/>
    <m/>
    <m/>
    <m/>
    <m/>
    <m/>
    <m/>
    <m/>
    <m/>
    <m/>
    <m/>
    <m/>
    <m/>
    <m/>
    <m/>
    <m/>
    <m/>
    <m/>
    <m/>
    <m/>
    <m/>
    <m/>
    <m/>
    <m/>
    <m/>
    <m/>
    <m/>
    <m/>
    <m/>
    <m/>
    <m/>
    <m/>
    <m/>
    <m/>
    <m/>
    <m/>
    <m/>
    <m/>
    <m/>
    <m/>
    <m/>
    <m/>
    <m/>
    <m/>
    <m/>
    <m/>
    <m/>
    <m/>
    <m/>
    <m/>
    <m/>
    <m/>
    <m/>
    <m/>
    <m/>
    <m/>
    <m/>
    <m/>
    <m/>
    <s v="Ease of use"/>
    <s v="Maybe higher quo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Quote Price &gt;"/>
    <s v="Trade In &gt; Overall Process &gt;, Trade In &gt; Quote Price &gt;"/>
    <m/>
    <m/>
    <s v="Trade In &gt; Overall Process &gt; (Negative), Trade In &gt; Quote Price &gt; (Negative)"/>
    <s v="Trade In &gt; Overall Process &gt; (Positive), Trade In &gt; Quote Price &gt; (Negative)"/>
    <s v="Yes"/>
    <s v="Yes"/>
    <m/>
    <x v="5"/>
    <x v="8"/>
    <x v="0"/>
    <m/>
    <x v="0"/>
    <x v="0"/>
  </r>
  <r>
    <s v="James Pan - Used Trade-In Product"/>
    <n v="10"/>
    <n v="5"/>
    <d v="2026-02-12T10:02:32"/>
    <n v="5211784"/>
    <s v="Used Trade-In Product"/>
    <m/>
    <s v="James Pan"/>
    <m/>
    <s v="james155156@hotmail.com"/>
    <m/>
    <s v="Flushing;New York;11354"/>
    <m/>
    <m/>
    <s v="No"/>
    <m/>
    <m/>
    <s v="james155156@hotmail.com"/>
    <m/>
    <m/>
    <m/>
    <m/>
    <m/>
    <m/>
    <m/>
    <m/>
    <m/>
    <d v="2026-02-12T14:05:22"/>
    <d v="2026-02-12T12:55:18"/>
    <m/>
    <s v="1142774"/>
    <m/>
    <m/>
    <m/>
    <m/>
    <m/>
    <m/>
    <m/>
    <m/>
    <m/>
    <m/>
    <m/>
    <m/>
    <m/>
    <m/>
    <m/>
    <m/>
    <m/>
    <m/>
    <m/>
    <m/>
    <m/>
    <m/>
    <s v="https://bnh.lightning.force.com/001WP00000tXmucYAC"/>
    <m/>
    <m/>
    <m/>
    <m/>
    <m/>
    <m/>
    <m/>
    <m/>
    <m/>
    <m/>
    <m/>
    <m/>
    <m/>
    <m/>
    <m/>
    <m/>
    <m/>
    <m/>
    <m/>
    <m/>
    <m/>
    <m/>
    <m/>
    <m/>
    <m/>
    <m/>
    <m/>
    <m/>
    <m/>
    <m/>
    <m/>
    <m/>
    <m/>
    <m/>
    <m/>
    <m/>
    <m/>
    <m/>
    <s v="CAD"/>
    <m/>
    <s v="No"/>
    <s v="Emily Schreier"/>
    <s v="Emily Schreier"/>
    <d v="2026-02-12T10:01:49"/>
    <s v="Promoter"/>
    <s v="Closed"/>
    <m/>
    <m/>
    <s v="Yes"/>
    <m/>
    <m/>
    <m/>
    <m/>
    <m/>
    <m/>
    <m/>
    <m/>
    <m/>
    <m/>
    <m/>
    <m/>
    <m/>
    <m/>
    <m/>
    <m/>
    <s v="Good nice any quick pay"/>
    <m/>
    <m/>
    <m/>
    <m/>
    <s v="Just not easy to find the store."/>
    <m/>
    <m/>
    <m/>
    <m/>
    <m/>
    <m/>
    <m/>
    <m/>
    <m/>
    <m/>
    <m/>
    <m/>
    <m/>
    <m/>
    <m/>
    <m/>
    <m/>
    <m/>
    <m/>
    <m/>
    <m/>
    <m/>
    <m/>
    <m/>
    <m/>
    <m/>
    <m/>
    <m/>
    <m/>
    <m/>
    <m/>
    <m/>
    <m/>
    <m/>
    <m/>
    <m/>
    <m/>
    <m/>
    <m/>
    <m/>
    <m/>
    <m/>
    <m/>
    <m/>
    <m/>
    <m/>
    <m/>
    <m/>
    <m/>
    <m/>
    <m/>
    <m/>
    <m/>
    <m/>
    <m/>
    <m/>
    <m/>
    <m/>
    <m/>
    <m/>
    <m/>
    <m/>
    <m/>
    <m/>
    <m/>
    <m/>
    <m/>
    <m/>
    <m/>
    <m/>
    <m/>
    <m/>
    <m/>
    <m/>
    <m/>
    <m/>
    <m/>
    <m/>
    <m/>
    <m/>
    <m/>
    <m/>
    <s v="Good nice any quick pay"/>
    <s v="Just not easy to find the sto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Timeliness of Payment &gt;"/>
    <s v="Store &gt; Signage &gt;, Trade In &gt; Overall Process &gt;, Trade In &gt; Timeliness of Payment &gt;"/>
    <m/>
    <m/>
    <s v="Trade In &gt; Timeliness of Payment &gt; (Positive)"/>
    <s v="Store &gt; Signage &gt; (Negative), Trade In &gt; Overall Process &gt; (Positive), Trade In &gt; Timeliness of Payment &gt; (Positive)"/>
    <s v="Yes"/>
    <s v="No"/>
    <m/>
    <x v="7"/>
    <x v="12"/>
    <x v="0"/>
    <m/>
    <x v="0"/>
    <x v="0"/>
  </r>
  <r>
    <s v="Amanda Pfannenstiel - Used Trade-In Product"/>
    <n v="10"/>
    <n v="5"/>
    <d v="2026-02-12T00:54:02"/>
    <n v="5210969"/>
    <s v="Used Trade-In Product"/>
    <m/>
    <s v="Amanda Pfannenstiel"/>
    <m/>
    <s v="leaonna85@gmail.com"/>
    <m/>
    <s v="Aberdeen;South Dakota;57401"/>
    <m/>
    <s v="2 years 4 months"/>
    <s v="No"/>
    <m/>
    <m/>
    <s v="leaonna85@gmail.com"/>
    <s v="28"/>
    <m/>
    <m/>
    <m/>
    <m/>
    <m/>
    <m/>
    <m/>
    <m/>
    <d v="2026-02-12T15:24:18"/>
    <d v="2026-02-10T12:53:18"/>
    <m/>
    <s v="1140246"/>
    <m/>
    <m/>
    <m/>
    <m/>
    <m/>
    <m/>
    <m/>
    <m/>
    <m/>
    <m/>
    <m/>
    <m/>
    <m/>
    <m/>
    <m/>
    <m/>
    <m/>
    <m/>
    <m/>
    <m/>
    <m/>
    <m/>
    <s v="https://bnh.lightning.force.com/001Hs00005pRrbTIAS"/>
    <m/>
    <m/>
    <m/>
    <m/>
    <m/>
    <m/>
    <m/>
    <m/>
    <m/>
    <m/>
    <m/>
    <m/>
    <m/>
    <m/>
    <m/>
    <m/>
    <m/>
    <m/>
    <m/>
    <m/>
    <m/>
    <m/>
    <m/>
    <m/>
    <m/>
    <m/>
    <m/>
    <m/>
    <m/>
    <m/>
    <m/>
    <m/>
    <m/>
    <m/>
    <m/>
    <m/>
    <m/>
    <m/>
    <s v="CAD"/>
    <m/>
    <s v="No"/>
    <s v="Sergio Jonusas"/>
    <s v="Sergio Jonusas"/>
    <d v="2026-02-12T00:50:48"/>
    <s v="Promoter"/>
    <s v="Closed"/>
    <m/>
    <m/>
    <s v="Yes"/>
    <m/>
    <m/>
    <m/>
    <m/>
    <m/>
    <m/>
    <m/>
    <m/>
    <m/>
    <m/>
    <m/>
    <m/>
    <m/>
    <m/>
    <m/>
    <m/>
    <s v="The ease of getting a quote online."/>
    <m/>
    <m/>
    <m/>
    <m/>
    <s v="Having to purchase a label on my own to be able to send my items fully insured instead of using the free label provided."/>
    <m/>
    <m/>
    <m/>
    <m/>
    <m/>
    <m/>
    <m/>
    <m/>
    <m/>
    <m/>
    <m/>
    <m/>
    <m/>
    <m/>
    <m/>
    <m/>
    <m/>
    <m/>
    <m/>
    <m/>
    <m/>
    <m/>
    <m/>
    <m/>
    <m/>
    <m/>
    <m/>
    <m/>
    <m/>
    <m/>
    <m/>
    <m/>
    <m/>
    <m/>
    <m/>
    <m/>
    <m/>
    <m/>
    <m/>
    <m/>
    <m/>
    <m/>
    <m/>
    <m/>
    <m/>
    <m/>
    <m/>
    <m/>
    <m/>
    <m/>
    <m/>
    <m/>
    <m/>
    <m/>
    <m/>
    <m/>
    <m/>
    <m/>
    <m/>
    <m/>
    <m/>
    <m/>
    <m/>
    <m/>
    <m/>
    <m/>
    <m/>
    <m/>
    <m/>
    <m/>
    <m/>
    <m/>
    <m/>
    <m/>
    <m/>
    <m/>
    <m/>
    <m/>
    <m/>
    <m/>
    <m/>
    <m/>
    <s v="The ease of getting a quote online."/>
    <s v="Having to purchase a label on my own to be able to send my items fully insured instead of using the free label provid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3"/>
    <n v="5"/>
    <n v="4"/>
    <m/>
    <m/>
    <m/>
    <m/>
    <m/>
    <m/>
    <m/>
    <m/>
    <m/>
    <m/>
    <m/>
    <m/>
    <m/>
    <m/>
    <m/>
    <m/>
    <m/>
    <m/>
    <m/>
    <m/>
    <m/>
    <m/>
    <m/>
    <m/>
    <m/>
    <m/>
    <m/>
    <m/>
    <m/>
    <m/>
    <m/>
    <m/>
    <m/>
    <m/>
    <m/>
    <m/>
    <m/>
    <m/>
    <m/>
    <m/>
    <m/>
    <m/>
    <m/>
    <m/>
    <m/>
    <m/>
    <m/>
    <m/>
    <m/>
    <m/>
    <m/>
    <m/>
    <m/>
    <m/>
    <m/>
    <m/>
    <m/>
    <m/>
    <m/>
    <m/>
    <m/>
    <m/>
    <m/>
    <m/>
    <m/>
    <m/>
    <m/>
    <m/>
    <m/>
    <m/>
    <m/>
    <m/>
    <m/>
    <m/>
    <m/>
    <m/>
    <m/>
    <m/>
    <m/>
    <m/>
    <m/>
    <m/>
    <m/>
    <m/>
    <m/>
    <m/>
    <m/>
    <m/>
    <m/>
    <m/>
    <m/>
    <m/>
    <m/>
    <m/>
    <m/>
    <m/>
    <m/>
    <m/>
    <m/>
    <m/>
    <m/>
    <s v="Trade In &gt; Overall Process &gt;, Used &gt; Description &gt;"/>
    <s v="Pricing &gt; Delivery Fees &gt;, Trade In &gt; Overall Process &gt;"/>
    <m/>
    <m/>
    <s v="Trade In &gt; Overall Process &gt; (No opinion), Used &gt; Description &gt; (Negative)"/>
    <s v="Pricing &gt; Delivery Fees &gt; (Negative), Trade In &gt; Overall Process &gt; (Positive)"/>
    <s v="Yes"/>
    <s v="Yes"/>
    <m/>
    <x v="13"/>
    <x v="30"/>
    <x v="0"/>
    <m/>
    <x v="0"/>
    <x v="0"/>
  </r>
  <r>
    <s v="Donald Gilbert - Used Trade-In Product"/>
    <n v="10"/>
    <n v="5"/>
    <d v="2026-02-11T23:57:40"/>
    <n v="5210932"/>
    <s v="Used Trade-In Product"/>
    <m/>
    <s v="Donald Gilbert"/>
    <m/>
    <s v="donnybg47@gmail.com"/>
    <m/>
    <s v="Maple Heights;Ohio;44137"/>
    <s v="Maple Heights;Ohio;44137"/>
    <s v="10 years 6 months"/>
    <s v="Yes"/>
    <m/>
    <m/>
    <s v="donnybg47@gmail.com"/>
    <s v="126"/>
    <m/>
    <m/>
    <m/>
    <m/>
    <m/>
    <m/>
    <m/>
    <m/>
    <d v="2026-02-16T14:09:02"/>
    <d v="2026-02-11T12:58:10"/>
    <m/>
    <s v="1139650"/>
    <m/>
    <m/>
    <m/>
    <m/>
    <m/>
    <m/>
    <m/>
    <m/>
    <m/>
    <m/>
    <m/>
    <m/>
    <m/>
    <m/>
    <m/>
    <m/>
    <m/>
    <m/>
    <m/>
    <m/>
    <m/>
    <m/>
    <s v="https://bnh.lightning.force.com/001Hs00005W1kjuIAB"/>
    <m/>
    <m/>
    <m/>
    <m/>
    <m/>
    <m/>
    <m/>
    <m/>
    <m/>
    <m/>
    <m/>
    <m/>
    <m/>
    <m/>
    <m/>
    <m/>
    <m/>
    <m/>
    <m/>
    <m/>
    <m/>
    <m/>
    <m/>
    <m/>
    <m/>
    <m/>
    <m/>
    <m/>
    <m/>
    <m/>
    <m/>
    <m/>
    <m/>
    <m/>
    <m/>
    <m/>
    <m/>
    <m/>
    <s v="CAD"/>
    <m/>
    <s v="No"/>
    <s v="Sergio Jonusas"/>
    <s v="Sergio Jonusas"/>
    <d v="2026-02-11T23:54:13"/>
    <s v="Promoter"/>
    <s v="Closed"/>
    <m/>
    <m/>
    <s v="Yes"/>
    <m/>
    <m/>
    <m/>
    <m/>
    <m/>
    <m/>
    <m/>
    <m/>
    <m/>
    <m/>
    <m/>
    <m/>
    <m/>
    <m/>
    <m/>
    <m/>
    <s v="Easy to make a purchase with the BH credit card and nice savings on price. Products that were used that I received looked and worked close brand new."/>
    <m/>
    <m/>
    <m/>
    <m/>
    <s v="elapsed time to evaluate my trade in products."/>
    <m/>
    <m/>
    <m/>
    <m/>
    <m/>
    <m/>
    <m/>
    <m/>
    <m/>
    <m/>
    <m/>
    <m/>
    <m/>
    <m/>
    <m/>
    <m/>
    <m/>
    <m/>
    <m/>
    <m/>
    <m/>
    <m/>
    <m/>
    <m/>
    <m/>
    <m/>
    <m/>
    <m/>
    <m/>
    <m/>
    <m/>
    <m/>
    <m/>
    <m/>
    <m/>
    <m/>
    <m/>
    <m/>
    <m/>
    <m/>
    <m/>
    <m/>
    <m/>
    <m/>
    <m/>
    <m/>
    <m/>
    <m/>
    <m/>
    <m/>
    <m/>
    <m/>
    <m/>
    <m/>
    <m/>
    <m/>
    <m/>
    <m/>
    <m/>
    <m/>
    <m/>
    <m/>
    <m/>
    <m/>
    <m/>
    <m/>
    <m/>
    <m/>
    <m/>
    <m/>
    <m/>
    <m/>
    <m/>
    <m/>
    <m/>
    <m/>
    <m/>
    <m/>
    <m/>
    <m/>
    <m/>
    <m/>
    <s v="Easy to make a purchase with the BH credit card and nice savings on price. Products that were used that I received looked and worked close brand new."/>
    <s v="elapsed time to evaluate my trade in product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B&amp;H &gt; Satisfaction &gt;, Pricing &gt; Value for Money &gt;, Trade In &gt; Overall Process &gt;, Used &gt; Pricing &gt;"/>
    <s v="B&amp;H &gt; Satisfaction &gt;, Trade In &gt; Overall Process &gt;, Trade In &gt; Timeliness of Quote &gt;, Used &gt; Pricing &gt;, Used &gt; Product Quality &gt;"/>
    <m/>
    <m/>
    <s v="B&amp;H &gt; Satisfaction &gt; (Positive), Pricing &gt; Value for Money &gt; (Positive), Trade In &gt; Overall Process &gt; (Positive), Used &gt; Pricing &gt; (Positive)"/>
    <s v="B&amp;H &gt; Satisfaction &gt; (Positive), Trade In &gt; Overall Process &gt; (Positive), Trade In &gt; Timeliness of Quote &gt; (Negative), Used &gt; Pricing &gt; (Positive), Used &gt; Product Quality &gt; (Positive)"/>
    <s v="Yes"/>
    <s v="Yes"/>
    <m/>
    <x v="30"/>
    <x v="4"/>
    <x v="0"/>
    <m/>
    <x v="0"/>
    <x v="0"/>
  </r>
  <r>
    <s v="Duane Swank - Used Trade-In Product"/>
    <n v="9"/>
    <n v="5"/>
    <d v="2026-02-11T23:34:19"/>
    <n v="5210909"/>
    <s v="Used Trade-In Product"/>
    <m/>
    <s v="Duane Swank"/>
    <m/>
    <s v="duanpol@aol.com"/>
    <m/>
    <s v="Milwaukee;Wisconsin;53224"/>
    <m/>
    <s v="2 years 7 months"/>
    <s v="No"/>
    <m/>
    <m/>
    <s v="duanpol@aol.com"/>
    <s v="31"/>
    <m/>
    <m/>
    <m/>
    <m/>
    <m/>
    <m/>
    <m/>
    <m/>
    <d v="2026-02-16T14:09:38"/>
    <d v="2026-02-11T13:00:58"/>
    <m/>
    <s v="1137987"/>
    <m/>
    <m/>
    <m/>
    <m/>
    <m/>
    <m/>
    <m/>
    <m/>
    <m/>
    <m/>
    <m/>
    <m/>
    <m/>
    <m/>
    <m/>
    <m/>
    <m/>
    <m/>
    <m/>
    <m/>
    <m/>
    <m/>
    <s v="https://bnh.lightning.force.com/001WP00000qgkkBYAQ"/>
    <m/>
    <m/>
    <m/>
    <m/>
    <m/>
    <m/>
    <m/>
    <m/>
    <m/>
    <m/>
    <m/>
    <m/>
    <m/>
    <m/>
    <m/>
    <m/>
    <m/>
    <m/>
    <m/>
    <m/>
    <m/>
    <m/>
    <m/>
    <m/>
    <m/>
    <m/>
    <m/>
    <m/>
    <m/>
    <m/>
    <m/>
    <m/>
    <m/>
    <m/>
    <m/>
    <m/>
    <m/>
    <m/>
    <s v="CAD"/>
    <m/>
    <s v="No"/>
    <s v="Sergio Jonusas"/>
    <s v="Sergio Jonusas"/>
    <d v="2026-02-11T23:32:57"/>
    <s v="Promoter"/>
    <s v="Closed"/>
    <m/>
    <m/>
    <s v="Yes"/>
    <m/>
    <m/>
    <m/>
    <m/>
    <m/>
    <m/>
    <m/>
    <m/>
    <m/>
    <m/>
    <m/>
    <m/>
    <m/>
    <m/>
    <m/>
    <m/>
    <s v="Fair price, relatively fast process"/>
    <m/>
    <m/>
    <m/>
    <m/>
    <m/>
    <m/>
    <m/>
    <m/>
    <m/>
    <m/>
    <m/>
    <m/>
    <m/>
    <m/>
    <m/>
    <m/>
    <m/>
    <m/>
    <m/>
    <m/>
    <m/>
    <m/>
    <m/>
    <m/>
    <m/>
    <m/>
    <m/>
    <m/>
    <m/>
    <m/>
    <m/>
    <m/>
    <m/>
    <m/>
    <m/>
    <m/>
    <m/>
    <m/>
    <m/>
    <m/>
    <m/>
    <m/>
    <m/>
    <m/>
    <m/>
    <m/>
    <m/>
    <m/>
    <m/>
    <m/>
    <m/>
    <m/>
    <m/>
    <m/>
    <m/>
    <m/>
    <m/>
    <m/>
    <m/>
    <m/>
    <m/>
    <m/>
    <m/>
    <m/>
    <m/>
    <m/>
    <m/>
    <m/>
    <m/>
    <m/>
    <m/>
    <m/>
    <m/>
    <m/>
    <m/>
    <m/>
    <m/>
    <m/>
    <m/>
    <m/>
    <m/>
    <m/>
    <m/>
    <m/>
    <m/>
    <m/>
    <m/>
    <s v="Fair price, relatively fast proc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Pricing &gt;"/>
    <s v="Trade In &gt; Overall Process &gt;, Trade In &gt; Quote Price &gt;"/>
    <m/>
    <m/>
    <s v="Pricing &gt; Value for Money &gt; (Positive), Trade In &gt; Overall Process &gt; (Positive), Trade In &gt; Quote Price &gt; (Positive), Used &gt; Pricing &gt; (Positive)"/>
    <s v="Trade In &gt; Overall Process &gt; (Positive), Trade In &gt; Quote Price &gt; (Positive)"/>
    <s v="Yes"/>
    <s v="No"/>
    <m/>
    <x v="0"/>
    <x v="15"/>
    <x v="0"/>
    <m/>
    <x v="0"/>
    <x v="0"/>
  </r>
  <r>
    <s v="Anthony Stone - Used Trade-In Product"/>
    <n v="9"/>
    <n v="4"/>
    <d v="2026-02-11T23:13:17"/>
    <n v="5210882"/>
    <s v="Used Trade-In Product"/>
    <m/>
    <s v="Anthony Stone"/>
    <m/>
    <s v="amstonephoto@gmail.com"/>
    <m/>
    <s v="Greer;South Carolina;29650"/>
    <m/>
    <m/>
    <s v="No"/>
    <m/>
    <m/>
    <s v="amstonephoto@gmail.com"/>
    <m/>
    <m/>
    <m/>
    <m/>
    <m/>
    <m/>
    <m/>
    <m/>
    <m/>
    <d v="2026-02-16T14:11:45"/>
    <d v="2026-02-11T12:57:42"/>
    <m/>
    <s v="1136386"/>
    <m/>
    <m/>
    <m/>
    <m/>
    <m/>
    <m/>
    <m/>
    <m/>
    <m/>
    <m/>
    <m/>
    <m/>
    <m/>
    <m/>
    <m/>
    <m/>
    <m/>
    <m/>
    <m/>
    <m/>
    <m/>
    <m/>
    <s v="https://bnh.lightning.force.com/0011a00000j4RKVAA2"/>
    <m/>
    <m/>
    <m/>
    <m/>
    <m/>
    <m/>
    <m/>
    <m/>
    <m/>
    <m/>
    <m/>
    <m/>
    <m/>
    <m/>
    <m/>
    <m/>
    <m/>
    <m/>
    <m/>
    <m/>
    <m/>
    <m/>
    <m/>
    <m/>
    <m/>
    <m/>
    <m/>
    <m/>
    <m/>
    <m/>
    <m/>
    <m/>
    <m/>
    <m/>
    <m/>
    <m/>
    <m/>
    <m/>
    <s v="CAD"/>
    <m/>
    <s v="No"/>
    <s v="Sergio Jonusas"/>
    <s v="Sergio Jonusas"/>
    <d v="2026-02-11T23:12:11"/>
    <s v="Promoter"/>
    <s v="Closed"/>
    <m/>
    <m/>
    <s v="Yes"/>
    <m/>
    <m/>
    <m/>
    <m/>
    <m/>
    <m/>
    <m/>
    <m/>
    <m/>
    <m/>
    <m/>
    <m/>
    <m/>
    <m/>
    <m/>
    <m/>
    <s v="Thank you for the accurate information and good communication about my items since I was helping a friend sell items from an estate."/>
    <m/>
    <m/>
    <m/>
    <m/>
    <s v="I wish there was a little more value given for the hard camera case."/>
    <m/>
    <m/>
    <m/>
    <m/>
    <m/>
    <m/>
    <m/>
    <m/>
    <m/>
    <m/>
    <m/>
    <m/>
    <m/>
    <m/>
    <m/>
    <m/>
    <m/>
    <m/>
    <m/>
    <m/>
    <m/>
    <m/>
    <m/>
    <m/>
    <m/>
    <m/>
    <m/>
    <m/>
    <m/>
    <m/>
    <m/>
    <m/>
    <m/>
    <m/>
    <m/>
    <m/>
    <m/>
    <m/>
    <m/>
    <m/>
    <m/>
    <m/>
    <m/>
    <m/>
    <m/>
    <m/>
    <m/>
    <m/>
    <m/>
    <m/>
    <m/>
    <m/>
    <m/>
    <m/>
    <m/>
    <m/>
    <m/>
    <m/>
    <m/>
    <m/>
    <m/>
    <m/>
    <m/>
    <m/>
    <m/>
    <m/>
    <m/>
    <m/>
    <m/>
    <m/>
    <m/>
    <m/>
    <m/>
    <m/>
    <m/>
    <m/>
    <m/>
    <m/>
    <m/>
    <m/>
    <m/>
    <m/>
    <s v="Thank you for the accurate information and good communication about my items since I was helping a friend sell items from an estate."/>
    <s v="I wish there was a little more value given for the hard camera cas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n v="5"/>
    <n v="5"/>
    <n v="5"/>
    <m/>
    <m/>
    <m/>
    <m/>
    <m/>
    <m/>
    <m/>
    <m/>
    <m/>
    <m/>
    <m/>
    <m/>
    <m/>
    <m/>
    <m/>
    <m/>
    <m/>
    <m/>
    <m/>
    <m/>
    <m/>
    <m/>
    <m/>
    <m/>
    <m/>
    <m/>
    <m/>
    <m/>
    <m/>
    <m/>
    <m/>
    <m/>
    <m/>
    <m/>
    <m/>
    <m/>
    <m/>
    <m/>
    <m/>
    <m/>
    <m/>
    <m/>
    <m/>
    <m/>
    <m/>
    <m/>
    <m/>
    <m/>
    <m/>
    <m/>
    <m/>
    <m/>
    <m/>
    <m/>
    <m/>
    <m/>
    <m/>
    <m/>
    <m/>
    <m/>
    <m/>
    <m/>
    <m/>
    <m/>
    <m/>
    <m/>
    <m/>
    <m/>
    <m/>
    <m/>
    <m/>
    <m/>
    <m/>
    <m/>
    <m/>
    <m/>
    <m/>
    <m/>
    <m/>
    <m/>
    <m/>
    <m/>
    <m/>
    <m/>
    <m/>
    <m/>
    <m/>
    <m/>
    <m/>
    <m/>
    <m/>
    <m/>
    <m/>
    <m/>
    <m/>
    <m/>
    <m/>
    <m/>
    <m/>
    <m/>
    <m/>
    <s v="Used &gt; Description &gt;, Used &gt; Product Quality &gt;"/>
    <s v="People &gt; Communication Skills &gt;, Trade In &gt; Quote Price &gt;, Used &gt; Description &gt;, Used &gt; Product Quality &gt;"/>
    <m/>
    <m/>
    <s v="Used &gt; Description &gt; (Positive), Used &gt; Product Quality &gt; (Positive)"/>
    <s v="People &gt; Communication Skills &gt; (Positive), Trade In &gt; Quote Price &gt; (Negative), Used &gt; Description &gt; (Positive), Used &gt; Product Quality &gt; (Positive)"/>
    <s v="Yes"/>
    <s v="No"/>
    <m/>
    <x v="31"/>
    <x v="8"/>
    <x v="0"/>
    <m/>
    <x v="0"/>
    <x v="0"/>
  </r>
  <r>
    <s v="Matt Blue - Used Trade-In Product"/>
    <n v="10"/>
    <n v="5"/>
    <d v="2026-02-11T21:06:55"/>
    <n v="5210660"/>
    <s v="Used Trade-In Product"/>
    <m/>
    <s v="Matt Blue"/>
    <m/>
    <s v="mrbmd2015@gmail.com"/>
    <m/>
    <s v="Olathe;Kansas;66062"/>
    <s v="Olathe;Kansas;66062"/>
    <s v="7 months"/>
    <s v="No"/>
    <m/>
    <m/>
    <s v="mrbmd2015@gmail.com"/>
    <s v="7"/>
    <m/>
    <m/>
    <m/>
    <m/>
    <m/>
    <m/>
    <m/>
    <m/>
    <d v="2026-02-12T09:00:50"/>
    <d v="2026-02-11T12:57:45"/>
    <m/>
    <s v="1138731"/>
    <m/>
    <m/>
    <m/>
    <m/>
    <m/>
    <m/>
    <m/>
    <m/>
    <m/>
    <m/>
    <m/>
    <m/>
    <m/>
    <m/>
    <m/>
    <m/>
    <m/>
    <m/>
    <m/>
    <m/>
    <m/>
    <m/>
    <s v="https://bnh.lightning.force.com/001Hs00005VK0e1IAD"/>
    <m/>
    <m/>
    <m/>
    <m/>
    <m/>
    <m/>
    <m/>
    <m/>
    <m/>
    <m/>
    <m/>
    <m/>
    <m/>
    <m/>
    <m/>
    <m/>
    <m/>
    <m/>
    <m/>
    <m/>
    <m/>
    <m/>
    <m/>
    <m/>
    <m/>
    <m/>
    <m/>
    <m/>
    <m/>
    <m/>
    <m/>
    <m/>
    <m/>
    <m/>
    <m/>
    <m/>
    <m/>
    <m/>
    <s v="CAD"/>
    <m/>
    <s v="No"/>
    <s v="Freddy Gomez"/>
    <s v="Freddy Gomez"/>
    <d v="2026-02-11T21:06:56"/>
    <s v="Promoter"/>
    <s v="Closed"/>
    <m/>
    <m/>
    <s v="Yes"/>
    <m/>
    <m/>
    <m/>
    <m/>
    <m/>
    <m/>
    <m/>
    <m/>
    <m/>
    <m/>
    <m/>
    <m/>
    <m/>
    <m/>
    <m/>
    <m/>
    <s v="easy"/>
    <m/>
    <m/>
    <m/>
    <m/>
    <s v="overall good experiance"/>
    <m/>
    <m/>
    <m/>
    <m/>
    <m/>
    <m/>
    <m/>
    <m/>
    <m/>
    <m/>
    <m/>
    <m/>
    <m/>
    <m/>
    <m/>
    <m/>
    <m/>
    <m/>
    <m/>
    <m/>
    <m/>
    <m/>
    <m/>
    <m/>
    <m/>
    <m/>
    <m/>
    <m/>
    <m/>
    <m/>
    <m/>
    <m/>
    <m/>
    <m/>
    <m/>
    <m/>
    <m/>
    <m/>
    <m/>
    <m/>
    <m/>
    <m/>
    <m/>
    <m/>
    <m/>
    <m/>
    <m/>
    <m/>
    <m/>
    <m/>
    <m/>
    <m/>
    <m/>
    <m/>
    <m/>
    <m/>
    <m/>
    <m/>
    <m/>
    <m/>
    <m/>
    <m/>
    <m/>
    <m/>
    <m/>
    <m/>
    <m/>
    <m/>
    <m/>
    <m/>
    <m/>
    <m/>
    <m/>
    <m/>
    <m/>
    <m/>
    <m/>
    <m/>
    <m/>
    <m/>
    <m/>
    <m/>
    <s v="easy"/>
    <s v="overall good experia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Satisfaction &gt;, Trade In &gt; Overall Process &gt;"/>
    <m/>
    <m/>
    <s v="B&amp;H &gt; Satisfaction &gt; (Positive)"/>
    <s v="B&amp;H &gt; Satisfaction &gt; (Positive), Trade In &gt; Overall Process &gt; (Positive)"/>
    <s v="Yes"/>
    <s v="No"/>
    <m/>
    <x v="0"/>
    <x v="0"/>
    <x v="0"/>
    <m/>
    <x v="0"/>
    <x v="0"/>
  </r>
  <r>
    <s v="Kathy Balzer - Used Trade-In Product"/>
    <n v="10"/>
    <n v="5"/>
    <d v="2026-02-11T19:36:35"/>
    <n v="5210332"/>
    <s v="Used Trade-In Product"/>
    <m/>
    <s v="Kathy Balzer"/>
    <m/>
    <s v="kbalzer@centurylink.net"/>
    <m/>
    <s v="Jonesborough;Tennessee;37659"/>
    <m/>
    <m/>
    <s v="No"/>
    <m/>
    <m/>
    <s v="kbalzer@centurylink.net"/>
    <m/>
    <m/>
    <m/>
    <m/>
    <m/>
    <m/>
    <m/>
    <m/>
    <m/>
    <d v="2026-02-12T11:49:19"/>
    <d v="2026-02-11T13:01:45"/>
    <m/>
    <s v="1139458"/>
    <m/>
    <m/>
    <m/>
    <m/>
    <m/>
    <m/>
    <m/>
    <m/>
    <m/>
    <m/>
    <m/>
    <m/>
    <m/>
    <m/>
    <m/>
    <m/>
    <m/>
    <m/>
    <m/>
    <m/>
    <m/>
    <m/>
    <s v="https://bnh.lightning.force.com/001WP00000rRQXlYAO"/>
    <m/>
    <m/>
    <m/>
    <m/>
    <m/>
    <m/>
    <m/>
    <m/>
    <m/>
    <m/>
    <m/>
    <m/>
    <m/>
    <m/>
    <m/>
    <m/>
    <m/>
    <m/>
    <m/>
    <m/>
    <m/>
    <m/>
    <m/>
    <m/>
    <m/>
    <m/>
    <m/>
    <m/>
    <m/>
    <m/>
    <m/>
    <m/>
    <m/>
    <m/>
    <m/>
    <m/>
    <m/>
    <m/>
    <s v="CAD"/>
    <m/>
    <s v="No"/>
    <s v="Freddy Gomez"/>
    <s v="Freddy Gomez"/>
    <d v="2026-02-11T19:34:33"/>
    <s v="Promoter"/>
    <s v="Closed"/>
    <m/>
    <m/>
    <s v="Yes"/>
    <m/>
    <m/>
    <m/>
    <m/>
    <m/>
    <m/>
    <m/>
    <m/>
    <m/>
    <m/>
    <m/>
    <m/>
    <m/>
    <m/>
    <m/>
    <m/>
    <s v="The ease of use of the website, filling out the form and printing the shipping label."/>
    <m/>
    <m/>
    <m/>
    <m/>
    <s v="Nothing. Everything went smoothly. Couldn’t  have asked for anything to go any better!"/>
    <m/>
    <m/>
    <m/>
    <m/>
    <m/>
    <m/>
    <m/>
    <m/>
    <m/>
    <m/>
    <m/>
    <m/>
    <m/>
    <m/>
    <m/>
    <m/>
    <m/>
    <m/>
    <m/>
    <m/>
    <m/>
    <m/>
    <m/>
    <m/>
    <m/>
    <m/>
    <m/>
    <m/>
    <m/>
    <m/>
    <m/>
    <m/>
    <m/>
    <m/>
    <m/>
    <m/>
    <m/>
    <m/>
    <m/>
    <m/>
    <m/>
    <m/>
    <m/>
    <m/>
    <m/>
    <m/>
    <m/>
    <m/>
    <m/>
    <m/>
    <m/>
    <m/>
    <m/>
    <m/>
    <m/>
    <m/>
    <m/>
    <m/>
    <m/>
    <m/>
    <m/>
    <m/>
    <m/>
    <m/>
    <m/>
    <m/>
    <m/>
    <m/>
    <m/>
    <m/>
    <m/>
    <m/>
    <m/>
    <m/>
    <m/>
    <m/>
    <m/>
    <m/>
    <m/>
    <m/>
    <m/>
    <m/>
    <s v="The ease of use of the website, filling out the form and printing the shipping label."/>
    <s v="Nothing. Everything went smoothly. Couldn’t  have asked for anything to go any bette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Website &gt; Overall Satisfaction &gt;"/>
    <s v="Returns &gt; Ease &gt;, Returns &gt; Overall Process &gt;, Website &gt; Returns Self Service &gt;"/>
    <m/>
    <m/>
    <s v="Website &gt; Overall Satisfaction &gt; (No opinion)"/>
    <s v="Returns &gt; Ease &gt; (Positive), Returns &gt; Overall Process &gt; (Positive), Website &gt; Returns Self Service &gt; (Positive)"/>
    <s v="Yes"/>
    <s v="Yes"/>
    <m/>
    <x v="5"/>
    <x v="26"/>
    <x v="0"/>
    <m/>
    <x v="0"/>
    <x v="0"/>
  </r>
  <r>
    <s v="John Wesley C O Gestautas - Used Trade-In Product"/>
    <n v="10"/>
    <n v="5"/>
    <d v="2026-02-11T17:23:51"/>
    <n v="5210035"/>
    <s v="Used Trade-In Product"/>
    <m/>
    <s v="John Wesley C O Gestautas"/>
    <m/>
    <s v="jwwensley@gmail.com"/>
    <m/>
    <s v="Chicago;Illinois;60616"/>
    <m/>
    <s v="18 years 9 months"/>
    <s v="Yes"/>
    <m/>
    <m/>
    <s v="jwwensley@gmail.com"/>
    <s v="225"/>
    <m/>
    <m/>
    <m/>
    <m/>
    <m/>
    <m/>
    <m/>
    <m/>
    <d v="2026-02-12T12:29:31"/>
    <d v="2026-02-11T17:27:11"/>
    <m/>
    <s v="1141525"/>
    <m/>
    <m/>
    <m/>
    <m/>
    <m/>
    <m/>
    <m/>
    <m/>
    <m/>
    <m/>
    <m/>
    <m/>
    <m/>
    <m/>
    <m/>
    <m/>
    <m/>
    <m/>
    <m/>
    <m/>
    <m/>
    <m/>
    <s v="https://bnh.lightning.force.com/001WP00000splqeYAA"/>
    <m/>
    <m/>
    <m/>
    <m/>
    <m/>
    <m/>
    <m/>
    <m/>
    <m/>
    <m/>
    <m/>
    <m/>
    <m/>
    <m/>
    <m/>
    <m/>
    <m/>
    <m/>
    <m/>
    <m/>
    <m/>
    <m/>
    <m/>
    <m/>
    <m/>
    <m/>
    <m/>
    <m/>
    <m/>
    <m/>
    <m/>
    <m/>
    <m/>
    <m/>
    <m/>
    <m/>
    <m/>
    <m/>
    <s v="CAD"/>
    <m/>
    <s v="No"/>
    <s v="Freddy Gomez"/>
    <s v="Freddy Gomez"/>
    <d v="2026-02-11T17:23:24"/>
    <s v="Promoter"/>
    <s v="Closed"/>
    <m/>
    <m/>
    <s v="Yes"/>
    <m/>
    <m/>
    <m/>
    <m/>
    <m/>
    <m/>
    <m/>
    <m/>
    <m/>
    <m/>
    <m/>
    <m/>
    <m/>
    <m/>
    <m/>
    <m/>
    <s v="They called me."/>
    <m/>
    <m/>
    <m/>
    <m/>
    <m/>
    <m/>
    <m/>
    <m/>
    <m/>
    <m/>
    <m/>
    <m/>
    <m/>
    <m/>
    <m/>
    <m/>
    <m/>
    <m/>
    <m/>
    <m/>
    <m/>
    <m/>
    <m/>
    <m/>
    <m/>
    <m/>
    <m/>
    <m/>
    <m/>
    <m/>
    <m/>
    <m/>
    <m/>
    <m/>
    <m/>
    <m/>
    <m/>
    <m/>
    <m/>
    <m/>
    <m/>
    <m/>
    <m/>
    <m/>
    <m/>
    <m/>
    <m/>
    <m/>
    <m/>
    <m/>
    <m/>
    <m/>
    <m/>
    <m/>
    <m/>
    <m/>
    <m/>
    <m/>
    <m/>
    <m/>
    <m/>
    <m/>
    <m/>
    <m/>
    <m/>
    <m/>
    <m/>
    <m/>
    <m/>
    <m/>
    <m/>
    <m/>
    <m/>
    <m/>
    <m/>
    <m/>
    <m/>
    <m/>
    <m/>
    <m/>
    <m/>
    <m/>
    <m/>
    <m/>
    <m/>
    <m/>
    <m/>
    <s v="They called 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People &gt; Follow Up &gt;"/>
    <m/>
    <m/>
    <m/>
    <s v="People &gt; Follow Up &gt; (Positive)"/>
    <s v="Yes"/>
    <s v="Yes"/>
    <m/>
    <x v="31"/>
    <x v="0"/>
    <x v="0"/>
    <m/>
    <x v="0"/>
    <x v="0"/>
  </r>
  <r>
    <s v="Andrew Scotella - Used Trade-In Product"/>
    <n v="10"/>
    <n v="5"/>
    <d v="2026-02-11T14:02:32"/>
    <n v="5209466"/>
    <s v="Used Trade-In Product"/>
    <m/>
    <s v="Andrew Scotella"/>
    <m/>
    <s v="theartisticaperture@gmail.com"/>
    <m/>
    <s v="Westbrook;Connecticut;06498"/>
    <s v="Westbrook;Connecticut;06498"/>
    <s v="2 years 7 months"/>
    <s v="No"/>
    <m/>
    <m/>
    <s v="theartisticaperture@gmail.com"/>
    <s v="31"/>
    <m/>
    <m/>
    <m/>
    <m/>
    <m/>
    <m/>
    <m/>
    <m/>
    <d v="2026-02-12T08:17:28"/>
    <d v="2026-02-11T16:26:29"/>
    <m/>
    <s v="1141940"/>
    <m/>
    <m/>
    <m/>
    <m/>
    <m/>
    <m/>
    <m/>
    <m/>
    <m/>
    <m/>
    <m/>
    <m/>
    <m/>
    <m/>
    <m/>
    <m/>
    <m/>
    <m/>
    <m/>
    <m/>
    <m/>
    <m/>
    <s v="https://bnh.lightning.force.com/0018X00003IO0AaQAL"/>
    <m/>
    <m/>
    <m/>
    <m/>
    <m/>
    <m/>
    <m/>
    <m/>
    <m/>
    <m/>
    <m/>
    <m/>
    <m/>
    <m/>
    <m/>
    <m/>
    <m/>
    <m/>
    <m/>
    <m/>
    <m/>
    <m/>
    <m/>
    <m/>
    <m/>
    <m/>
    <m/>
    <m/>
    <m/>
    <m/>
    <m/>
    <m/>
    <m/>
    <m/>
    <m/>
    <m/>
    <m/>
    <m/>
    <s v="CAD"/>
    <m/>
    <s v="No"/>
    <s v="Aine Hoye"/>
    <s v="Aine Hoye"/>
    <d v="2026-02-11T14:03:18"/>
    <s v="Promoter"/>
    <s v="Closed"/>
    <m/>
    <m/>
    <s v="Yes"/>
    <m/>
    <m/>
    <m/>
    <m/>
    <m/>
    <m/>
    <m/>
    <m/>
    <m/>
    <m/>
    <m/>
    <m/>
    <m/>
    <m/>
    <m/>
    <m/>
    <s v="Quick easy process! And fair prices for quotes!"/>
    <m/>
    <m/>
    <m/>
    <m/>
    <s v="No complaints!"/>
    <m/>
    <m/>
    <m/>
    <m/>
    <m/>
    <m/>
    <m/>
    <m/>
    <m/>
    <m/>
    <m/>
    <m/>
    <m/>
    <m/>
    <m/>
    <m/>
    <m/>
    <m/>
    <m/>
    <m/>
    <m/>
    <m/>
    <m/>
    <m/>
    <m/>
    <m/>
    <m/>
    <m/>
    <m/>
    <m/>
    <m/>
    <m/>
    <m/>
    <m/>
    <m/>
    <m/>
    <m/>
    <m/>
    <m/>
    <m/>
    <m/>
    <m/>
    <m/>
    <m/>
    <m/>
    <m/>
    <m/>
    <m/>
    <m/>
    <m/>
    <m/>
    <m/>
    <m/>
    <m/>
    <m/>
    <m/>
    <m/>
    <m/>
    <m/>
    <m/>
    <m/>
    <m/>
    <m/>
    <m/>
    <m/>
    <m/>
    <m/>
    <m/>
    <m/>
    <m/>
    <m/>
    <m/>
    <m/>
    <m/>
    <m/>
    <m/>
    <m/>
    <m/>
    <m/>
    <m/>
    <m/>
    <m/>
    <s v="Quick easy process! And fair prices for quotes!"/>
    <s v="No complaint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Pricing &gt;"/>
    <s v="Trade In &gt; Overall Process &gt;, Trade In &gt; Quote Price &gt;"/>
    <m/>
    <m/>
    <s v="Pricing &gt; Value for Money &gt; (Positive), Trade In &gt; Overall Process &gt; (Positive), Trade In &gt; Quote Price &gt; (Positive), Used &gt; Pricing &gt; (Positive)"/>
    <s v="Trade In &gt; Overall Process &gt; (Positive), Trade In &gt; Quote Price &gt; (Positive)"/>
    <s v="Yes"/>
    <s v="No"/>
    <m/>
    <x v="0"/>
    <x v="0"/>
    <x v="0"/>
    <m/>
    <x v="0"/>
    <x v="0"/>
  </r>
  <r>
    <s v="Benjamin Furbeck - Used Trade-In Product"/>
    <n v="9"/>
    <n v="5"/>
    <d v="2026-02-11T11:06:29"/>
    <n v="5208946"/>
    <s v="Used Trade-In Product"/>
    <m/>
    <s v="Benjamin Furbeck"/>
    <m/>
    <s v="benmfurbeck@gmail.com"/>
    <m/>
    <s v="Schenectady;New York;12304"/>
    <m/>
    <m/>
    <s v="No"/>
    <m/>
    <m/>
    <s v="benmfurbeck@gmail.com"/>
    <m/>
    <m/>
    <m/>
    <m/>
    <m/>
    <m/>
    <m/>
    <m/>
    <m/>
    <d v="2026-02-12T08:55:28"/>
    <d v="2026-02-10T20:26:39"/>
    <m/>
    <s v="1141433"/>
    <m/>
    <m/>
    <m/>
    <m/>
    <m/>
    <m/>
    <m/>
    <m/>
    <m/>
    <m/>
    <m/>
    <m/>
    <m/>
    <m/>
    <m/>
    <m/>
    <m/>
    <m/>
    <m/>
    <m/>
    <m/>
    <m/>
    <s v="https://bnh.lightning.force.com/0011a00000Y3pFQAAZ"/>
    <m/>
    <m/>
    <m/>
    <m/>
    <m/>
    <m/>
    <m/>
    <m/>
    <m/>
    <m/>
    <m/>
    <m/>
    <m/>
    <m/>
    <m/>
    <m/>
    <m/>
    <m/>
    <m/>
    <m/>
    <m/>
    <m/>
    <m/>
    <m/>
    <m/>
    <m/>
    <m/>
    <m/>
    <m/>
    <m/>
    <m/>
    <m/>
    <m/>
    <m/>
    <m/>
    <m/>
    <m/>
    <m/>
    <s v="CAD"/>
    <m/>
    <s v="No"/>
    <s v="Emily Schreier"/>
    <s v="Emily Schreier"/>
    <d v="2026-02-11T11:25:42"/>
    <s v="Promoter"/>
    <s v="Closed"/>
    <m/>
    <m/>
    <s v="Yes"/>
    <m/>
    <m/>
    <m/>
    <m/>
    <m/>
    <m/>
    <m/>
    <m/>
    <m/>
    <m/>
    <m/>
    <m/>
    <m/>
    <m/>
    <m/>
    <m/>
    <s v="I liked how quick and responsive the whole process was! Everything was explained very thoroughly and in a timely manner. I will definitely use this service again in the future!!"/>
    <m/>
    <m/>
    <m/>
    <m/>
    <s v="I enjoyed every part of the experience"/>
    <m/>
    <m/>
    <m/>
    <m/>
    <m/>
    <m/>
    <m/>
    <m/>
    <m/>
    <m/>
    <m/>
    <m/>
    <m/>
    <m/>
    <m/>
    <m/>
    <m/>
    <m/>
    <m/>
    <m/>
    <m/>
    <m/>
    <m/>
    <m/>
    <m/>
    <m/>
    <m/>
    <m/>
    <m/>
    <m/>
    <m/>
    <m/>
    <m/>
    <m/>
    <m/>
    <m/>
    <m/>
    <m/>
    <m/>
    <m/>
    <m/>
    <m/>
    <m/>
    <m/>
    <m/>
    <m/>
    <m/>
    <m/>
    <m/>
    <m/>
    <m/>
    <m/>
    <m/>
    <m/>
    <m/>
    <m/>
    <m/>
    <m/>
    <m/>
    <m/>
    <m/>
    <m/>
    <m/>
    <m/>
    <m/>
    <m/>
    <m/>
    <m/>
    <m/>
    <m/>
    <m/>
    <m/>
    <m/>
    <m/>
    <m/>
    <m/>
    <m/>
    <m/>
    <m/>
    <m/>
    <m/>
    <m/>
    <s v="I liked how quick and responsive the whole process was! Everything was explained very thoroughly and in a timely manner. I will definitely use this service again in the future!!"/>
    <s v="I enjoyed every part of the experie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Used &gt; Description &gt;"/>
    <s v="Trade In &gt; Overall Process &gt;"/>
    <m/>
    <m/>
    <s v="Trade In &gt; Overall Process &gt; (Positive), Used &gt; Description &gt; (Positive)"/>
    <s v="Trade In &gt; Overall Process &gt; (Positive)"/>
    <s v="Yes"/>
    <s v="No"/>
    <m/>
    <x v="31"/>
    <x v="31"/>
    <x v="0"/>
    <m/>
    <x v="0"/>
    <x v="0"/>
  </r>
  <r>
    <s v="Patrick Murphy - Used Trade-In Product"/>
    <n v="10"/>
    <n v="5"/>
    <d v="2026-02-11T10:48:17"/>
    <n v="5208872"/>
    <s v="Used Trade-In Product"/>
    <m/>
    <s v="Patrick Murphy"/>
    <m/>
    <s v="mail@murphypatrick.com"/>
    <m/>
    <s v="Orlando;Florida;32819"/>
    <s v="Orlando;Florida;32819"/>
    <s v="24 years 7 months"/>
    <s v="No"/>
    <m/>
    <m/>
    <s v="mail@murphypatrick.com"/>
    <s v="295"/>
    <m/>
    <m/>
    <m/>
    <m/>
    <m/>
    <m/>
    <m/>
    <m/>
    <d v="2026-02-15T12:50:28"/>
    <d v="2026-02-11T12:58:35"/>
    <m/>
    <s v="1137801"/>
    <m/>
    <m/>
    <m/>
    <m/>
    <m/>
    <m/>
    <m/>
    <m/>
    <m/>
    <m/>
    <m/>
    <m/>
    <m/>
    <m/>
    <m/>
    <m/>
    <m/>
    <m/>
    <m/>
    <m/>
    <m/>
    <m/>
    <s v="https://bnh.lightning.force.com/0018X000039fXkPQAU"/>
    <m/>
    <m/>
    <m/>
    <m/>
    <m/>
    <m/>
    <m/>
    <m/>
    <m/>
    <m/>
    <m/>
    <m/>
    <m/>
    <m/>
    <m/>
    <m/>
    <m/>
    <m/>
    <m/>
    <m/>
    <m/>
    <m/>
    <m/>
    <m/>
    <m/>
    <m/>
    <m/>
    <m/>
    <m/>
    <m/>
    <m/>
    <m/>
    <m/>
    <m/>
    <m/>
    <m/>
    <m/>
    <m/>
    <s v="CAD"/>
    <m/>
    <s v="No"/>
    <s v="Nick Badame,Avraham Schwartz,Reina Caba"/>
    <s v="Reina Caba"/>
    <d v="2026-02-11T11:07:54"/>
    <s v="Promoter"/>
    <s v="Closed"/>
    <d v="2026-02-15T12:50:07"/>
    <s v="Reina Caba (reinac@bhphoto.com)"/>
    <s v="Yes"/>
    <m/>
    <m/>
    <m/>
    <m/>
    <m/>
    <m/>
    <m/>
    <m/>
    <m/>
    <m/>
    <m/>
    <m/>
    <m/>
    <m/>
    <m/>
    <m/>
    <m/>
    <m/>
    <m/>
    <m/>
    <m/>
    <s v="I would have received more at another online photo reseller. I did not find out about them until after B&amp;H, so next time I will check with them first."/>
    <m/>
    <m/>
    <m/>
    <m/>
    <m/>
    <m/>
    <m/>
    <m/>
    <m/>
    <m/>
    <m/>
    <m/>
    <m/>
    <m/>
    <m/>
    <m/>
    <m/>
    <m/>
    <m/>
    <m/>
    <m/>
    <m/>
    <m/>
    <m/>
    <m/>
    <m/>
    <m/>
    <m/>
    <m/>
    <m/>
    <m/>
    <m/>
    <m/>
    <m/>
    <m/>
    <m/>
    <m/>
    <m/>
    <m/>
    <m/>
    <m/>
    <m/>
    <m/>
    <m/>
    <m/>
    <m/>
    <m/>
    <m/>
    <m/>
    <m/>
    <m/>
    <m/>
    <m/>
    <m/>
    <m/>
    <m/>
    <m/>
    <m/>
    <m/>
    <m/>
    <m/>
    <m/>
    <m/>
    <m/>
    <m/>
    <m/>
    <m/>
    <m/>
    <m/>
    <m/>
    <m/>
    <m/>
    <m/>
    <m/>
    <m/>
    <m/>
    <m/>
    <m/>
    <m/>
    <m/>
    <m/>
    <m/>
    <m/>
    <s v="I would have received more at another online photo reseller. I did not find out about them until after B&amp;H, so next time I will check with them firs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4"/>
    <n v="5"/>
    <n v="4"/>
    <m/>
    <m/>
    <m/>
    <m/>
    <m/>
    <m/>
    <m/>
    <m/>
    <m/>
    <m/>
    <m/>
    <m/>
    <m/>
    <m/>
    <m/>
    <m/>
    <m/>
    <m/>
    <m/>
    <m/>
    <m/>
    <m/>
    <m/>
    <m/>
    <m/>
    <m/>
    <m/>
    <m/>
    <m/>
    <m/>
    <m/>
    <m/>
    <m/>
    <m/>
    <m/>
    <m/>
    <m/>
    <m/>
    <m/>
    <m/>
    <m/>
    <m/>
    <m/>
    <m/>
    <m/>
    <m/>
    <m/>
    <m/>
    <m/>
    <m/>
    <m/>
    <m/>
    <m/>
    <m/>
    <m/>
    <m/>
    <m/>
    <m/>
    <m/>
    <m/>
    <m/>
    <m/>
    <m/>
    <m/>
    <m/>
    <m/>
    <m/>
    <m/>
    <m/>
    <m/>
    <m/>
    <m/>
    <m/>
    <m/>
    <m/>
    <m/>
    <m/>
    <m/>
    <m/>
    <m/>
    <m/>
    <m/>
    <m/>
    <m/>
    <m/>
    <m/>
    <m/>
    <m/>
    <m/>
    <m/>
    <m/>
    <m/>
    <m/>
    <m/>
    <m/>
    <m/>
    <m/>
    <m/>
    <m/>
    <m/>
    <m/>
    <m/>
    <s v="Trade In &gt; Quote Price &gt;"/>
    <m/>
    <m/>
    <m/>
    <s v="Trade In &gt; Quote Price &gt; (Negative)"/>
    <s v="Yes"/>
    <s v="No"/>
    <m/>
    <x v="29"/>
    <x v="0"/>
    <x v="0"/>
    <m/>
    <x v="0"/>
    <x v="0"/>
  </r>
  <r>
    <s v="Mikel Leyva - Used Trade-In Product"/>
    <n v="8"/>
    <n v="4"/>
    <d v="2026-02-11T10:31:50"/>
    <n v="5208787"/>
    <s v="Used Trade-In Product"/>
    <m/>
    <s v="Mikel Leyva"/>
    <m/>
    <s v="productions@kinstudios.tv"/>
    <m/>
    <s v="New York;New York;10002"/>
    <m/>
    <s v="10 years 3 months"/>
    <s v="No"/>
    <m/>
    <m/>
    <s v="productions@kinstudios.tv"/>
    <s v="123"/>
    <m/>
    <m/>
    <m/>
    <m/>
    <m/>
    <m/>
    <m/>
    <m/>
    <d v="2026-02-11T14:10:04"/>
    <d v="2026-02-11T12:58:17"/>
    <m/>
    <s v="1139765"/>
    <m/>
    <m/>
    <m/>
    <m/>
    <m/>
    <m/>
    <m/>
    <m/>
    <m/>
    <m/>
    <m/>
    <m/>
    <m/>
    <m/>
    <m/>
    <m/>
    <m/>
    <m/>
    <m/>
    <m/>
    <m/>
    <m/>
    <s v="https://bnh.lightning.force.com/0012L000014K4TLQA0"/>
    <m/>
    <m/>
    <m/>
    <m/>
    <m/>
    <m/>
    <m/>
    <m/>
    <m/>
    <m/>
    <m/>
    <m/>
    <m/>
    <m/>
    <m/>
    <m/>
    <m/>
    <m/>
    <m/>
    <m/>
    <m/>
    <m/>
    <m/>
    <m/>
    <m/>
    <m/>
    <m/>
    <m/>
    <m/>
    <m/>
    <m/>
    <m/>
    <m/>
    <m/>
    <m/>
    <m/>
    <m/>
    <m/>
    <s v="CAD"/>
    <m/>
    <s v="No"/>
    <s v="Nick Badame"/>
    <s v="Nick Badame"/>
    <d v="2026-02-11T10:46:45"/>
    <s v="Passive"/>
    <s v="Closed"/>
    <m/>
    <m/>
    <s v="Yes"/>
    <m/>
    <m/>
    <m/>
    <m/>
    <m/>
    <m/>
    <m/>
    <m/>
    <m/>
    <m/>
    <m/>
    <m/>
    <m/>
    <m/>
    <m/>
    <m/>
    <s v="Overall, I like how smooth every transaction is with B&amp;H. You guys provide great service, have amazing stock of just about everything one can need—and dealing with your teams is a good experience."/>
    <m/>
    <m/>
    <m/>
    <m/>
    <m/>
    <m/>
    <m/>
    <m/>
    <m/>
    <m/>
    <m/>
    <m/>
    <m/>
    <m/>
    <m/>
    <m/>
    <m/>
    <m/>
    <m/>
    <m/>
    <m/>
    <m/>
    <m/>
    <m/>
    <m/>
    <m/>
    <m/>
    <m/>
    <m/>
    <m/>
    <m/>
    <m/>
    <m/>
    <m/>
    <m/>
    <m/>
    <m/>
    <m/>
    <m/>
    <m/>
    <m/>
    <m/>
    <m/>
    <m/>
    <m/>
    <m/>
    <m/>
    <m/>
    <m/>
    <m/>
    <m/>
    <m/>
    <m/>
    <m/>
    <m/>
    <m/>
    <m/>
    <m/>
    <m/>
    <m/>
    <m/>
    <m/>
    <m/>
    <m/>
    <m/>
    <m/>
    <m/>
    <m/>
    <m/>
    <m/>
    <m/>
    <m/>
    <m/>
    <m/>
    <m/>
    <m/>
    <m/>
    <m/>
    <m/>
    <m/>
    <m/>
    <m/>
    <m/>
    <m/>
    <m/>
    <m/>
    <m/>
    <s v="Overall, I like how smooth every transaction is with B&amp;H. You guys provide great service, have amazing stock of just about everything one can need—and dealing with your teams is a good experie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s v="N/A"/>
    <n v="5"/>
    <n v="4"/>
    <m/>
    <m/>
    <m/>
    <m/>
    <m/>
    <m/>
    <m/>
    <m/>
    <m/>
    <m/>
    <m/>
    <m/>
    <m/>
    <m/>
    <m/>
    <m/>
    <m/>
    <m/>
    <m/>
    <m/>
    <m/>
    <m/>
    <m/>
    <m/>
    <m/>
    <m/>
    <m/>
    <m/>
    <m/>
    <m/>
    <m/>
    <m/>
    <m/>
    <m/>
    <m/>
    <m/>
    <m/>
    <m/>
    <m/>
    <m/>
    <m/>
    <m/>
    <m/>
    <m/>
    <m/>
    <m/>
    <m/>
    <m/>
    <m/>
    <m/>
    <m/>
    <m/>
    <m/>
    <m/>
    <m/>
    <m/>
    <m/>
    <m/>
    <m/>
    <m/>
    <m/>
    <m/>
    <m/>
    <m/>
    <m/>
    <m/>
    <m/>
    <m/>
    <m/>
    <m/>
    <m/>
    <m/>
    <m/>
    <m/>
    <m/>
    <m/>
    <m/>
    <m/>
    <m/>
    <m/>
    <m/>
    <m/>
    <m/>
    <m/>
    <m/>
    <m/>
    <m/>
    <m/>
    <m/>
    <m/>
    <m/>
    <m/>
    <m/>
    <m/>
    <m/>
    <m/>
    <m/>
    <m/>
    <m/>
    <m/>
    <m/>
    <s v="People &gt; Overall Satisfaction &gt;, Trade In &gt; Overall Process &gt;"/>
    <s v="B&amp;H &gt; Satisfaction &gt;, People &gt; Overall Satisfaction &gt;, Product &gt; Selection / Variety &gt;"/>
    <m/>
    <m/>
    <s v="People &gt; Overall Satisfaction &gt; (Positive), Trade In &gt; Overall Process &gt; (Positive)"/>
    <s v="B&amp;H &gt; Satisfaction &gt; (Positive), People &gt; Overall Satisfaction &gt; (Positive), Product &gt; Selection / Variety &gt; (Positive)"/>
    <s v="Yes"/>
    <s v="No"/>
    <m/>
    <x v="23"/>
    <x v="2"/>
    <x v="0"/>
    <m/>
    <x v="0"/>
    <x v="0"/>
  </r>
  <r>
    <s v="Tonya Head - Used Trade-In Product"/>
    <n v="10"/>
    <n v="5"/>
    <d v="2026-02-11T10:18:38"/>
    <n v="5208739"/>
    <s v="Used Trade-In Product"/>
    <m/>
    <s v="Tonya Head"/>
    <m/>
    <s v="tonyahead@yahoo.com"/>
    <m/>
    <s v="Lexington;Kentucky;40502"/>
    <s v="Lexington;Kentucky;40502"/>
    <s v="17 years 8 months"/>
    <s v="No"/>
    <m/>
    <m/>
    <s v="tonyahead@yahoo.com"/>
    <s v="212"/>
    <m/>
    <m/>
    <m/>
    <m/>
    <m/>
    <m/>
    <m/>
    <m/>
    <d v="2026-02-11T14:06:56"/>
    <d v="2026-02-11T12:59:53"/>
    <m/>
    <s v="1138327"/>
    <m/>
    <m/>
    <m/>
    <m/>
    <m/>
    <m/>
    <m/>
    <m/>
    <m/>
    <m/>
    <m/>
    <m/>
    <m/>
    <m/>
    <m/>
    <m/>
    <m/>
    <m/>
    <m/>
    <m/>
    <m/>
    <m/>
    <s v="https://bnh.lightning.force.com/0011a00000gwV2zAAE"/>
    <m/>
    <m/>
    <m/>
    <m/>
    <m/>
    <m/>
    <m/>
    <m/>
    <m/>
    <m/>
    <m/>
    <m/>
    <m/>
    <m/>
    <m/>
    <m/>
    <m/>
    <m/>
    <m/>
    <m/>
    <m/>
    <m/>
    <m/>
    <m/>
    <m/>
    <m/>
    <m/>
    <m/>
    <m/>
    <m/>
    <m/>
    <m/>
    <m/>
    <m/>
    <m/>
    <m/>
    <m/>
    <m/>
    <s v="CAD"/>
    <m/>
    <s v="No"/>
    <s v="Nick Badame"/>
    <s v="Nick Badame"/>
    <d v="2026-02-11T10:32:49"/>
    <s v="Promoter"/>
    <s v="Closed"/>
    <m/>
    <m/>
    <s v="Yes"/>
    <m/>
    <m/>
    <m/>
    <m/>
    <m/>
    <m/>
    <m/>
    <m/>
    <m/>
    <m/>
    <m/>
    <m/>
    <m/>
    <m/>
    <m/>
    <m/>
    <m/>
    <m/>
    <m/>
    <m/>
    <m/>
    <s v="I have sold equipment to B&amp;H prior to this and was equally impressed with the service.  I also buy equipment from you and the service is always top-notch.  I love your store!_x000a__x000a_Tonya H."/>
    <m/>
    <m/>
    <m/>
    <m/>
    <m/>
    <m/>
    <m/>
    <m/>
    <m/>
    <m/>
    <m/>
    <m/>
    <m/>
    <m/>
    <m/>
    <m/>
    <m/>
    <m/>
    <m/>
    <m/>
    <m/>
    <m/>
    <m/>
    <m/>
    <m/>
    <m/>
    <m/>
    <m/>
    <m/>
    <m/>
    <m/>
    <m/>
    <m/>
    <m/>
    <m/>
    <m/>
    <m/>
    <m/>
    <m/>
    <m/>
    <m/>
    <m/>
    <m/>
    <m/>
    <m/>
    <m/>
    <m/>
    <m/>
    <m/>
    <m/>
    <m/>
    <m/>
    <m/>
    <m/>
    <m/>
    <m/>
    <m/>
    <m/>
    <m/>
    <m/>
    <m/>
    <m/>
    <m/>
    <m/>
    <m/>
    <m/>
    <m/>
    <m/>
    <m/>
    <m/>
    <m/>
    <m/>
    <m/>
    <m/>
    <m/>
    <m/>
    <m/>
    <m/>
    <m/>
    <m/>
    <m/>
    <m/>
    <m/>
    <s v="I have sold equipment to B&amp;H prior to this and was equally impressed with the service.  I also buy equipment from you and the service is always top-notch.  I love your store!_x000a__x000a_Tonya 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Trade In &gt; Overall Process &gt;"/>
    <m/>
    <m/>
    <m/>
    <s v="B&amp;H &gt; Satisfaction &gt; (Positive), Trade In &gt; Overall Process &gt; (Positive)"/>
    <s v="Yes"/>
    <s v="No"/>
    <m/>
    <x v="7"/>
    <x v="0"/>
    <x v="0"/>
    <m/>
    <x v="0"/>
    <x v="0"/>
  </r>
  <r>
    <s v="Benson Delaney - Used Trade-In Product"/>
    <n v="10"/>
    <n v="5"/>
    <d v="2026-02-11T09:59:18"/>
    <n v="5208667"/>
    <s v="Used Trade-In Product"/>
    <m/>
    <s v="Benson Delaney"/>
    <m/>
    <s v="bensondelaney1@gmail.com"/>
    <m/>
    <s v="Poughkeepsie;New York;12601"/>
    <m/>
    <s v="4 years 0 months"/>
    <s v="Yes"/>
    <m/>
    <m/>
    <s v="bensondelaney1@gmail.com"/>
    <s v="48"/>
    <m/>
    <m/>
    <m/>
    <m/>
    <m/>
    <m/>
    <m/>
    <m/>
    <d v="2026-02-12T08:54:09"/>
    <d v="2026-02-11T12:58:00"/>
    <m/>
    <s v="1138148"/>
    <m/>
    <m/>
    <m/>
    <m/>
    <m/>
    <m/>
    <m/>
    <m/>
    <m/>
    <m/>
    <m/>
    <m/>
    <m/>
    <m/>
    <m/>
    <m/>
    <m/>
    <m/>
    <m/>
    <m/>
    <m/>
    <m/>
    <s v="https://bnh.lightning.force.com/001WP00000qlNwXYAU"/>
    <m/>
    <m/>
    <m/>
    <m/>
    <m/>
    <m/>
    <m/>
    <m/>
    <m/>
    <m/>
    <m/>
    <m/>
    <m/>
    <m/>
    <m/>
    <m/>
    <m/>
    <m/>
    <m/>
    <m/>
    <m/>
    <m/>
    <m/>
    <m/>
    <m/>
    <m/>
    <m/>
    <m/>
    <m/>
    <m/>
    <m/>
    <m/>
    <m/>
    <m/>
    <m/>
    <m/>
    <m/>
    <m/>
    <s v="CAD"/>
    <m/>
    <s v="No"/>
    <s v="Emily Schreier"/>
    <s v="Emily Schreier"/>
    <d v="2026-02-11T10:13:39"/>
    <s v="Promoter"/>
    <s v="Closed"/>
    <m/>
    <m/>
    <s v="Yes"/>
    <m/>
    <m/>
    <m/>
    <m/>
    <m/>
    <m/>
    <m/>
    <m/>
    <m/>
    <m/>
    <m/>
    <m/>
    <m/>
    <m/>
    <m/>
    <m/>
    <s v="Selling was super easy"/>
    <m/>
    <m/>
    <m/>
    <m/>
    <s v="Did not list all the equipment"/>
    <m/>
    <m/>
    <m/>
    <m/>
    <m/>
    <m/>
    <m/>
    <m/>
    <m/>
    <m/>
    <m/>
    <m/>
    <m/>
    <m/>
    <m/>
    <m/>
    <m/>
    <m/>
    <m/>
    <m/>
    <m/>
    <m/>
    <m/>
    <m/>
    <m/>
    <m/>
    <m/>
    <m/>
    <m/>
    <m/>
    <m/>
    <m/>
    <m/>
    <m/>
    <m/>
    <m/>
    <m/>
    <m/>
    <m/>
    <m/>
    <m/>
    <m/>
    <m/>
    <m/>
    <m/>
    <m/>
    <m/>
    <m/>
    <m/>
    <m/>
    <m/>
    <m/>
    <m/>
    <m/>
    <m/>
    <m/>
    <m/>
    <m/>
    <m/>
    <m/>
    <m/>
    <m/>
    <m/>
    <m/>
    <m/>
    <m/>
    <m/>
    <m/>
    <m/>
    <m/>
    <m/>
    <m/>
    <m/>
    <m/>
    <m/>
    <m/>
    <m/>
    <m/>
    <m/>
    <m/>
    <m/>
    <m/>
    <s v="Selling was super easy"/>
    <s v="Did not list all the equip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egative), Trade In &gt; Overall Process &gt; (Positive)"/>
    <s v="Yes"/>
    <s v="No"/>
    <m/>
    <x v="0"/>
    <x v="23"/>
    <x v="0"/>
    <m/>
    <x v="0"/>
    <x v="0"/>
  </r>
  <r>
    <s v="Robert Armen - Used Trade-In Product"/>
    <n v="10"/>
    <n v="5"/>
    <d v="2026-02-11T08:07:04"/>
    <n v="5208301"/>
    <s v="Used Trade-In Product"/>
    <m/>
    <s v="Robert Armen"/>
    <m/>
    <s v="bzybob@gmail.com"/>
    <m/>
    <s v="Keswick;Virginia;22947"/>
    <s v="Keswick;Virginia;22947"/>
    <s v="11 years 7 months"/>
    <s v="Yes"/>
    <m/>
    <m/>
    <s v="bzybob@gmail.com"/>
    <s v="139"/>
    <m/>
    <m/>
    <m/>
    <m/>
    <m/>
    <m/>
    <m/>
    <m/>
    <d v="2026-02-15T13:24:12"/>
    <d v="2026-02-10T21:25:44"/>
    <m/>
    <s v="1142037"/>
    <m/>
    <m/>
    <m/>
    <m/>
    <m/>
    <m/>
    <m/>
    <m/>
    <m/>
    <m/>
    <m/>
    <m/>
    <m/>
    <m/>
    <m/>
    <m/>
    <m/>
    <m/>
    <m/>
    <m/>
    <m/>
    <m/>
    <s v="https://bnh.lightning.force.com/0018X000035Ly9DQAS"/>
    <m/>
    <m/>
    <m/>
    <m/>
    <m/>
    <m/>
    <m/>
    <m/>
    <m/>
    <m/>
    <m/>
    <m/>
    <m/>
    <m/>
    <m/>
    <m/>
    <m/>
    <m/>
    <m/>
    <m/>
    <m/>
    <m/>
    <m/>
    <m/>
    <m/>
    <m/>
    <m/>
    <m/>
    <m/>
    <m/>
    <m/>
    <m/>
    <m/>
    <m/>
    <m/>
    <m/>
    <m/>
    <m/>
    <s v="CAD"/>
    <m/>
    <s v="No"/>
    <s v="Freddy Gomez,Avraham Schwartz,Reina Caba"/>
    <s v="Reina Caba"/>
    <d v="2026-02-11T08:06:38"/>
    <s v="Promoter"/>
    <s v="Closed"/>
    <d v="2026-02-15T13:24:07"/>
    <s v="Reina Caba (reinac@bhphoto.com)"/>
    <s v="Yes"/>
    <m/>
    <m/>
    <m/>
    <m/>
    <m/>
    <m/>
    <m/>
    <m/>
    <m/>
    <m/>
    <m/>
    <m/>
    <m/>
    <m/>
    <m/>
    <m/>
    <s v="ease and speed of getting a quote; being provided a mail label for the shipment of the item being sold; being notified when item was received in New York; accuracy of the time that would be required for B&amp;H to inspect the item; flawless on-line process from start to finish"/>
    <m/>
    <m/>
    <m/>
    <m/>
    <s v="disappointed with 30% offer for something never used/never even taken outside my home once, in flawless condition in original box with original packing and all accompanying manufacturer's originaL materials."/>
    <m/>
    <m/>
    <m/>
    <m/>
    <m/>
    <m/>
    <m/>
    <m/>
    <m/>
    <m/>
    <m/>
    <m/>
    <m/>
    <m/>
    <m/>
    <m/>
    <m/>
    <m/>
    <m/>
    <m/>
    <m/>
    <m/>
    <m/>
    <m/>
    <m/>
    <m/>
    <m/>
    <m/>
    <m/>
    <m/>
    <m/>
    <m/>
    <m/>
    <m/>
    <m/>
    <m/>
    <m/>
    <m/>
    <m/>
    <m/>
    <m/>
    <m/>
    <m/>
    <m/>
    <m/>
    <m/>
    <m/>
    <m/>
    <m/>
    <m/>
    <m/>
    <m/>
    <m/>
    <m/>
    <m/>
    <m/>
    <m/>
    <m/>
    <m/>
    <m/>
    <m/>
    <m/>
    <m/>
    <m/>
    <m/>
    <m/>
    <m/>
    <m/>
    <m/>
    <m/>
    <m/>
    <m/>
    <m/>
    <m/>
    <m/>
    <m/>
    <m/>
    <m/>
    <m/>
    <m/>
    <m/>
    <m/>
    <s v="ease and speed of getting a quote; being provided a mail label for the shipment of the item being sold; being notified when item was received in New York; accuracy of the time that would be required for B&amp;H to inspect the item; flawless on-line process from start to finish"/>
    <s v="disappointed with 30% offer for something never used/never even taken outside my home once, in flawless condition in original box with original packing and all accompanying manufacturer's originaL material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5"/>
    <n v="5"/>
    <n v="5"/>
    <n v="4"/>
    <m/>
    <m/>
    <m/>
    <m/>
    <m/>
    <m/>
    <m/>
    <m/>
    <m/>
    <m/>
    <m/>
    <m/>
    <m/>
    <m/>
    <m/>
    <m/>
    <m/>
    <m/>
    <m/>
    <m/>
    <m/>
    <m/>
    <m/>
    <m/>
    <m/>
    <m/>
    <m/>
    <m/>
    <m/>
    <m/>
    <m/>
    <m/>
    <m/>
    <m/>
    <m/>
    <m/>
    <m/>
    <m/>
    <m/>
    <m/>
    <m/>
    <m/>
    <m/>
    <m/>
    <m/>
    <m/>
    <m/>
    <m/>
    <m/>
    <m/>
    <m/>
    <m/>
    <m/>
    <m/>
    <m/>
    <m/>
    <m/>
    <m/>
    <m/>
    <m/>
    <m/>
    <m/>
    <m/>
    <m/>
    <m/>
    <m/>
    <m/>
    <m/>
    <m/>
    <m/>
    <m/>
    <m/>
    <m/>
    <m/>
    <m/>
    <m/>
    <m/>
    <m/>
    <m/>
    <m/>
    <m/>
    <m/>
    <m/>
    <m/>
    <m/>
    <m/>
    <m/>
    <m/>
    <m/>
    <m/>
    <m/>
    <m/>
    <m/>
    <m/>
    <m/>
    <m/>
    <m/>
    <m/>
    <m/>
    <m/>
    <m/>
    <s v="Trade In &gt; Overall Process &gt;, Trade In &gt; Timeliness of Quote &gt;, Warehouse Fulfillment &gt; Packing Quality-Condition &gt;"/>
    <s v="B&amp;H &gt; Communication / Notification &gt;, Trade In &gt; Overall Process &gt;, Trade In &gt; Quote Price &gt;, Trade In &gt; Timeliness of Quote &gt;"/>
    <m/>
    <m/>
    <s v="Trade In &gt; Overall Process &gt; (Positive), Trade In &gt; Timeliness of Quote &gt; (Positive), Warehouse Fulfillment &gt; Packing Quality-Condition &gt; (Positive)"/>
    <s v="B&amp;H &gt; Communication / Notification &gt; (Positive), Trade In &gt; Overall Process &gt; (Positive), Trade In &gt; Quote Price &gt; (Negative), Trade In &gt; Timeliness of Quote &gt; (Positive)"/>
    <s v="Yes"/>
    <s v="Yes"/>
    <m/>
    <x v="13"/>
    <x v="26"/>
    <x v="12"/>
    <s v="Liked receiving status updates"/>
    <x v="1"/>
    <x v="0"/>
  </r>
  <r>
    <s v="Rodrick Anglin - Used Trade-In Product"/>
    <n v="10"/>
    <n v="5"/>
    <d v="2026-02-10T21:40:39"/>
    <n v="5207870"/>
    <s v="Used Trade-In Product"/>
    <m/>
    <s v="Rodrick Anglin"/>
    <m/>
    <s v="anglin.rodrick@gmail.com"/>
    <m/>
    <s v="Frisco;Texas;75034"/>
    <m/>
    <s v="11 years 2 months"/>
    <s v="No"/>
    <m/>
    <m/>
    <s v="anglin.rodrick@gmail.com"/>
    <s v="134"/>
    <m/>
    <m/>
    <m/>
    <m/>
    <m/>
    <m/>
    <m/>
    <m/>
    <d v="2026-02-11T09:39:33"/>
    <d v="2026-02-10T12:52:42"/>
    <m/>
    <s v="1138883"/>
    <m/>
    <m/>
    <m/>
    <m/>
    <m/>
    <m/>
    <m/>
    <m/>
    <m/>
    <m/>
    <m/>
    <m/>
    <m/>
    <m/>
    <m/>
    <m/>
    <m/>
    <m/>
    <m/>
    <m/>
    <m/>
    <m/>
    <s v="https://bnh.lightning.force.com/001WP00000r6rZhYAI"/>
    <m/>
    <m/>
    <m/>
    <m/>
    <m/>
    <m/>
    <m/>
    <m/>
    <m/>
    <m/>
    <m/>
    <m/>
    <m/>
    <m/>
    <m/>
    <m/>
    <m/>
    <m/>
    <m/>
    <m/>
    <m/>
    <m/>
    <m/>
    <m/>
    <m/>
    <m/>
    <m/>
    <m/>
    <m/>
    <m/>
    <m/>
    <m/>
    <m/>
    <m/>
    <m/>
    <m/>
    <m/>
    <m/>
    <s v="CAD"/>
    <m/>
    <s v="No"/>
    <s v="Freddy Gomez"/>
    <s v="Freddy Gomez"/>
    <d v="2026-02-10T21:48:06"/>
    <s v="Promoter"/>
    <s v="Closed"/>
    <m/>
    <m/>
    <s v="Yes"/>
    <m/>
    <m/>
    <m/>
    <m/>
    <m/>
    <m/>
    <m/>
    <m/>
    <m/>
    <m/>
    <m/>
    <m/>
    <m/>
    <m/>
    <m/>
    <m/>
    <s v="B&amp;H is the absolute best!!"/>
    <m/>
    <m/>
    <m/>
    <m/>
    <s v="Only if you had more locations around the states.  But your customer service is amazing. So shopping online is a breeze"/>
    <m/>
    <m/>
    <m/>
    <m/>
    <m/>
    <m/>
    <m/>
    <m/>
    <m/>
    <m/>
    <m/>
    <m/>
    <m/>
    <m/>
    <m/>
    <m/>
    <m/>
    <m/>
    <m/>
    <m/>
    <m/>
    <m/>
    <m/>
    <m/>
    <m/>
    <m/>
    <m/>
    <m/>
    <m/>
    <m/>
    <m/>
    <m/>
    <m/>
    <m/>
    <m/>
    <m/>
    <m/>
    <m/>
    <m/>
    <m/>
    <m/>
    <m/>
    <m/>
    <m/>
    <m/>
    <m/>
    <m/>
    <m/>
    <m/>
    <m/>
    <m/>
    <m/>
    <m/>
    <m/>
    <m/>
    <m/>
    <m/>
    <m/>
    <m/>
    <m/>
    <m/>
    <m/>
    <m/>
    <m/>
    <m/>
    <m/>
    <m/>
    <m/>
    <m/>
    <m/>
    <m/>
    <m/>
    <m/>
    <m/>
    <m/>
    <m/>
    <m/>
    <m/>
    <m/>
    <m/>
    <m/>
    <m/>
    <s v="B&amp;H is the absolute best!!"/>
    <s v="Only if you had more locations around the states.  But your customer service is amazing. So shopping online is a breez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Overall Satisfaction &gt;"/>
    <s v="B&amp;H &gt; Geographical Location &gt;, B&amp;H &gt; Satisfaction &gt;, Customer Service &gt; Satisfaction &gt;, Website &gt; Overall Satisfaction &gt;"/>
    <m/>
    <s v="NEUTRAL"/>
    <s v="People &gt; Overall Satisfaction &gt; (Positive)"/>
    <s v="B&amp;H &gt; Geographical Location &gt; (Negative), B&amp;H &gt; Satisfaction &gt; (Positive), Customer Service &gt; Satisfaction &gt; (Positive), Website &gt; Overall Satisfaction &gt; (Positive)"/>
    <s v="Yes"/>
    <s v="No"/>
    <m/>
    <x v="16"/>
    <x v="2"/>
    <x v="0"/>
    <m/>
    <x v="0"/>
    <x v="0"/>
  </r>
  <r>
    <s v="Michael Morrison - Used Trade-In Product"/>
    <n v="10"/>
    <n v="5"/>
    <d v="2026-02-10T21:12:05"/>
    <n v="5207830"/>
    <s v="Used Trade-In Product"/>
    <m/>
    <s v="Michael Morrison"/>
    <m/>
    <s v="mike159159@yahoo.com"/>
    <m/>
    <s v="Buzzards Bay;Massachusetts;02532"/>
    <s v="Buzzards Bay;Massachusetts;02532"/>
    <s v="11 years 0 months"/>
    <s v="Yes"/>
    <m/>
    <m/>
    <s v="mike159159@yahoo.com"/>
    <s v="132"/>
    <m/>
    <m/>
    <m/>
    <m/>
    <m/>
    <m/>
    <m/>
    <m/>
    <d v="2026-02-11T09:34:46"/>
    <d v="2026-02-10T12:51:26"/>
    <m/>
    <s v="1139386"/>
    <m/>
    <m/>
    <m/>
    <m/>
    <m/>
    <m/>
    <m/>
    <m/>
    <m/>
    <m/>
    <m/>
    <m/>
    <m/>
    <m/>
    <m/>
    <m/>
    <m/>
    <m/>
    <m/>
    <m/>
    <m/>
    <m/>
    <s v="https://bnh.lightning.force.com/0012L00001EcsP3QAJ"/>
    <m/>
    <m/>
    <m/>
    <m/>
    <m/>
    <m/>
    <m/>
    <m/>
    <m/>
    <m/>
    <m/>
    <m/>
    <m/>
    <m/>
    <m/>
    <m/>
    <m/>
    <m/>
    <m/>
    <m/>
    <m/>
    <m/>
    <m/>
    <m/>
    <m/>
    <m/>
    <m/>
    <m/>
    <m/>
    <m/>
    <m/>
    <m/>
    <m/>
    <m/>
    <m/>
    <m/>
    <m/>
    <m/>
    <s v="CAD"/>
    <m/>
    <s v="No"/>
    <s v="Freddy Gomez"/>
    <s v="Freddy Gomez"/>
    <d v="2026-02-10T21:21:39"/>
    <s v="Promoter"/>
    <s v="Closed"/>
    <m/>
    <m/>
    <s v="Yes"/>
    <m/>
    <m/>
    <m/>
    <m/>
    <m/>
    <m/>
    <m/>
    <m/>
    <m/>
    <m/>
    <m/>
    <m/>
    <m/>
    <m/>
    <m/>
    <m/>
    <s v="Very smooth process from start to finish."/>
    <m/>
    <m/>
    <m/>
    <m/>
    <m/>
    <m/>
    <m/>
    <m/>
    <m/>
    <m/>
    <m/>
    <m/>
    <m/>
    <m/>
    <m/>
    <m/>
    <m/>
    <m/>
    <m/>
    <m/>
    <m/>
    <m/>
    <m/>
    <m/>
    <m/>
    <m/>
    <m/>
    <m/>
    <m/>
    <m/>
    <m/>
    <m/>
    <m/>
    <m/>
    <m/>
    <m/>
    <m/>
    <m/>
    <m/>
    <m/>
    <m/>
    <m/>
    <m/>
    <m/>
    <m/>
    <m/>
    <m/>
    <m/>
    <m/>
    <m/>
    <m/>
    <m/>
    <m/>
    <m/>
    <m/>
    <m/>
    <m/>
    <m/>
    <m/>
    <m/>
    <m/>
    <m/>
    <m/>
    <m/>
    <m/>
    <m/>
    <m/>
    <m/>
    <m/>
    <m/>
    <m/>
    <m/>
    <m/>
    <m/>
    <m/>
    <m/>
    <m/>
    <m/>
    <m/>
    <m/>
    <m/>
    <m/>
    <m/>
    <m/>
    <m/>
    <m/>
    <m/>
    <s v="Very smooth process from start to finis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Website &gt; Overall Satisfaction &gt;"/>
    <m/>
    <m/>
    <s v="Trade In &gt; Overall Process &gt; (Positive)"/>
    <s v="Trade In &gt; Overall Process &gt; (Positive), Website &gt; Overall Satisfaction &gt; (Positive)"/>
    <s v="Yes"/>
    <s v="No"/>
    <m/>
    <x v="23"/>
    <x v="0"/>
    <x v="0"/>
    <m/>
    <x v="0"/>
    <x v="0"/>
  </r>
  <r>
    <s v="Melanie Starkman - Used Trade-In Product"/>
    <n v="10"/>
    <n v="5"/>
    <d v="2026-02-10T21:02:05"/>
    <n v="5207809"/>
    <s v="Used Trade-In Product"/>
    <m/>
    <s v="Melanie Starkman"/>
    <m/>
    <s v="gatoronthego17@gmail.com"/>
    <m/>
    <s v="Hendersonville;North Carolina;28792"/>
    <s v="Hendersonville;North Carolina;28792"/>
    <s v="7 years 6 months"/>
    <s v="No"/>
    <m/>
    <m/>
    <s v="gatoronthego17@gmail.com"/>
    <s v="90"/>
    <m/>
    <m/>
    <m/>
    <m/>
    <m/>
    <m/>
    <m/>
    <m/>
    <d v="2026-02-11T09:28:54"/>
    <d v="2026-02-10T12:52:41"/>
    <m/>
    <s v="1138649"/>
    <m/>
    <m/>
    <m/>
    <m/>
    <m/>
    <m/>
    <m/>
    <m/>
    <m/>
    <m/>
    <m/>
    <m/>
    <m/>
    <m/>
    <m/>
    <m/>
    <m/>
    <m/>
    <m/>
    <m/>
    <m/>
    <m/>
    <s v="https://bnh.lightning.force.com/001Hs00005HeyceIAB"/>
    <m/>
    <m/>
    <m/>
    <m/>
    <m/>
    <m/>
    <m/>
    <m/>
    <m/>
    <m/>
    <m/>
    <m/>
    <m/>
    <m/>
    <m/>
    <m/>
    <m/>
    <m/>
    <m/>
    <m/>
    <m/>
    <m/>
    <m/>
    <m/>
    <m/>
    <m/>
    <m/>
    <m/>
    <m/>
    <m/>
    <m/>
    <m/>
    <m/>
    <m/>
    <m/>
    <m/>
    <m/>
    <m/>
    <s v="CAD"/>
    <m/>
    <s v="No"/>
    <s v="Freddy Gomez"/>
    <s v="Freddy Gomez"/>
    <d v="2026-02-10T21:10:11"/>
    <s v="Promoter"/>
    <s v="Closed"/>
    <m/>
    <m/>
    <s v="Yes"/>
    <m/>
    <m/>
    <m/>
    <m/>
    <m/>
    <m/>
    <m/>
    <m/>
    <m/>
    <m/>
    <m/>
    <m/>
    <m/>
    <m/>
    <m/>
    <m/>
    <s v="Website is very user friendly. Received quote almost immediately. Quote was very fair. Excellent communication. Quick check."/>
    <m/>
    <m/>
    <m/>
    <m/>
    <s v="Wish you had direct deposit for receiving money."/>
    <m/>
    <m/>
    <m/>
    <m/>
    <m/>
    <m/>
    <m/>
    <m/>
    <m/>
    <m/>
    <m/>
    <m/>
    <m/>
    <m/>
    <m/>
    <m/>
    <m/>
    <m/>
    <m/>
    <m/>
    <m/>
    <m/>
    <m/>
    <m/>
    <m/>
    <m/>
    <m/>
    <m/>
    <m/>
    <m/>
    <m/>
    <m/>
    <m/>
    <m/>
    <m/>
    <m/>
    <m/>
    <m/>
    <m/>
    <m/>
    <m/>
    <m/>
    <m/>
    <m/>
    <m/>
    <m/>
    <m/>
    <m/>
    <m/>
    <m/>
    <m/>
    <m/>
    <m/>
    <m/>
    <m/>
    <m/>
    <m/>
    <m/>
    <m/>
    <m/>
    <m/>
    <m/>
    <m/>
    <m/>
    <m/>
    <m/>
    <m/>
    <m/>
    <m/>
    <m/>
    <m/>
    <m/>
    <m/>
    <m/>
    <m/>
    <m/>
    <m/>
    <m/>
    <m/>
    <m/>
    <m/>
    <m/>
    <s v="Website is very user friendly. Received quote almost immediately. Quote was very fair. Excellent communication. Quick check."/>
    <s v="Wish you had direct deposit for receiving mone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Communication / Notification &gt;, Trade In &gt; Overall Process &gt;, Trade In &gt; Quote Price &gt;, Trade In &gt; Timeliness of Quote &gt;, Website &gt; Navigation &gt;"/>
    <m/>
    <m/>
    <s v="Trade In &gt; Overall Process &gt; (Positive)"/>
    <s v="B&amp;H &gt; Communication / Notification &gt; (Positive), Trade In &gt; Overall Process &gt; (Negative), Trade In &gt; Overall Process &gt; (Positive), Trade In &gt; Quote Price &gt; (Positive), Trade In &gt; Timeliness of Quote &gt; (Positive), Website &gt; Navigation &gt; (Positive)"/>
    <s v="Yes"/>
    <s v="No"/>
    <m/>
    <x v="13"/>
    <x v="6"/>
    <x v="13"/>
    <s v="Wants to be paid through direct deposit, electronic funds transfer (or faster/secure method)"/>
    <x v="0"/>
    <x v="0"/>
  </r>
  <r>
    <s v="David Rubin - Used Trade-In Product"/>
    <n v="8"/>
    <n v="4"/>
    <d v="2026-02-10T19:06:16"/>
    <n v="5207381"/>
    <s v="Used Trade-In Product"/>
    <m/>
    <s v="David Rubin"/>
    <m/>
    <s v="dsrphoto1@gmail.com"/>
    <m/>
    <s v="Pittsburgh;Pennsylvania;15217"/>
    <s v="Pittsburgh;Pennsylvania;15217"/>
    <s v="13 years 1 months"/>
    <s v="No"/>
    <m/>
    <m/>
    <s v="dsrphoto1@gmail.com"/>
    <s v="157"/>
    <m/>
    <m/>
    <m/>
    <m/>
    <m/>
    <m/>
    <m/>
    <m/>
    <d v="2026-02-13T08:35:53"/>
    <d v="2026-02-10T21:25:46"/>
    <m/>
    <s v="1140094"/>
    <m/>
    <m/>
    <m/>
    <m/>
    <m/>
    <m/>
    <m/>
    <m/>
    <m/>
    <m/>
    <m/>
    <m/>
    <m/>
    <m/>
    <m/>
    <m/>
    <m/>
    <m/>
    <m/>
    <m/>
    <m/>
    <m/>
    <s v="https://bnh.lightning.force.com/0018X000038D0wHQAS"/>
    <m/>
    <m/>
    <m/>
    <m/>
    <m/>
    <m/>
    <m/>
    <m/>
    <m/>
    <m/>
    <m/>
    <m/>
    <m/>
    <m/>
    <m/>
    <m/>
    <m/>
    <m/>
    <m/>
    <m/>
    <m/>
    <m/>
    <m/>
    <m/>
    <m/>
    <m/>
    <m/>
    <m/>
    <m/>
    <m/>
    <m/>
    <m/>
    <m/>
    <m/>
    <m/>
    <m/>
    <m/>
    <m/>
    <s v="CAD"/>
    <m/>
    <s v="No"/>
    <s v="Aine Hoye"/>
    <s v="Aine Hoye"/>
    <d v="2026-02-10T19:15:34"/>
    <s v="Passive"/>
    <s v="Closed"/>
    <m/>
    <m/>
    <s v="Yes"/>
    <m/>
    <m/>
    <m/>
    <m/>
    <m/>
    <m/>
    <m/>
    <m/>
    <m/>
    <m/>
    <m/>
    <m/>
    <m/>
    <m/>
    <m/>
    <m/>
    <m/>
    <m/>
    <m/>
    <m/>
    <m/>
    <s v="I'd like to make the TID purchase through the website."/>
    <m/>
    <m/>
    <m/>
    <m/>
    <m/>
    <m/>
    <m/>
    <m/>
    <m/>
    <m/>
    <m/>
    <m/>
    <m/>
    <m/>
    <m/>
    <m/>
    <m/>
    <m/>
    <m/>
    <m/>
    <m/>
    <m/>
    <m/>
    <m/>
    <m/>
    <m/>
    <m/>
    <m/>
    <m/>
    <m/>
    <m/>
    <m/>
    <m/>
    <m/>
    <m/>
    <m/>
    <m/>
    <m/>
    <m/>
    <m/>
    <m/>
    <m/>
    <m/>
    <m/>
    <m/>
    <m/>
    <m/>
    <m/>
    <m/>
    <m/>
    <m/>
    <m/>
    <m/>
    <m/>
    <m/>
    <m/>
    <m/>
    <m/>
    <m/>
    <m/>
    <m/>
    <m/>
    <m/>
    <m/>
    <m/>
    <m/>
    <m/>
    <m/>
    <m/>
    <m/>
    <m/>
    <m/>
    <m/>
    <m/>
    <m/>
    <m/>
    <m/>
    <m/>
    <m/>
    <m/>
    <m/>
    <m/>
    <m/>
    <s v="I'd like to make the TID purchase through the websi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2"/>
    <n v="5"/>
    <n v="2"/>
    <s v="N/A"/>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egative)"/>
    <s v="Yes"/>
    <s v="No"/>
    <m/>
    <x v="32"/>
    <x v="0"/>
    <x v="0"/>
    <m/>
    <x v="0"/>
    <x v="0"/>
  </r>
  <r>
    <s v="Joyce M Kringen - Used Trade-In Product"/>
    <n v="10"/>
    <n v="5"/>
    <d v="2026-02-10T18:55:25"/>
    <n v="5207350"/>
    <s v="Used Trade-In Product"/>
    <m/>
    <s v="Joyce M Kringen"/>
    <m/>
    <s v="60.flat_crumbs@icloud.com"/>
    <m/>
    <s v="Rapid City;South Dakota;57702"/>
    <m/>
    <m/>
    <s v="No"/>
    <m/>
    <m/>
    <s v="60.flat_crumbs@icloud.com"/>
    <m/>
    <m/>
    <m/>
    <m/>
    <m/>
    <m/>
    <m/>
    <m/>
    <m/>
    <d v="2026-02-11T09:08:12"/>
    <d v="2026-02-10T12:51:22"/>
    <m/>
    <s v="1137309"/>
    <m/>
    <m/>
    <m/>
    <m/>
    <m/>
    <m/>
    <m/>
    <m/>
    <m/>
    <m/>
    <m/>
    <m/>
    <m/>
    <m/>
    <m/>
    <m/>
    <m/>
    <m/>
    <m/>
    <m/>
    <m/>
    <m/>
    <s v="https://bnh.lightning.force.com/001WP00000qFQHSYA4"/>
    <m/>
    <m/>
    <m/>
    <m/>
    <m/>
    <m/>
    <m/>
    <m/>
    <m/>
    <m/>
    <m/>
    <m/>
    <m/>
    <m/>
    <m/>
    <m/>
    <m/>
    <m/>
    <m/>
    <m/>
    <m/>
    <m/>
    <m/>
    <m/>
    <m/>
    <m/>
    <m/>
    <m/>
    <m/>
    <m/>
    <m/>
    <m/>
    <m/>
    <m/>
    <m/>
    <m/>
    <m/>
    <m/>
    <s v="CAD"/>
    <m/>
    <s v="No"/>
    <s v="Efrat Malachi"/>
    <s v="Efrat Malachi"/>
    <d v="2026-02-10T19:04:27"/>
    <s v="Promoter"/>
    <s v="Closed"/>
    <m/>
    <m/>
    <s v="Yes"/>
    <m/>
    <m/>
    <m/>
    <m/>
    <m/>
    <m/>
    <m/>
    <m/>
    <m/>
    <m/>
    <m/>
    <m/>
    <m/>
    <m/>
    <m/>
    <m/>
    <s v="Honest snd very fast service"/>
    <m/>
    <m/>
    <m/>
    <m/>
    <s v="Nothing bad"/>
    <m/>
    <m/>
    <m/>
    <m/>
    <m/>
    <m/>
    <m/>
    <m/>
    <m/>
    <m/>
    <m/>
    <m/>
    <m/>
    <m/>
    <m/>
    <m/>
    <m/>
    <m/>
    <m/>
    <m/>
    <m/>
    <m/>
    <m/>
    <m/>
    <m/>
    <m/>
    <m/>
    <m/>
    <m/>
    <m/>
    <m/>
    <m/>
    <m/>
    <m/>
    <m/>
    <m/>
    <m/>
    <m/>
    <m/>
    <m/>
    <m/>
    <m/>
    <m/>
    <m/>
    <m/>
    <m/>
    <m/>
    <m/>
    <m/>
    <m/>
    <m/>
    <m/>
    <m/>
    <m/>
    <m/>
    <m/>
    <m/>
    <m/>
    <m/>
    <m/>
    <m/>
    <m/>
    <m/>
    <m/>
    <m/>
    <m/>
    <m/>
    <m/>
    <m/>
    <m/>
    <m/>
    <m/>
    <m/>
    <m/>
    <m/>
    <m/>
    <m/>
    <m/>
    <m/>
    <m/>
    <m/>
    <m/>
    <s v="Honest snd very fast service"/>
    <s v="Nothing ba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B&amp;H &gt; Reliable / Trustworthy &gt;, Trade In &gt; Overall Process &gt;"/>
    <m/>
    <m/>
    <m/>
    <s v="B&amp;H &gt; Reliable / Trustworthy &gt; (Positive), Trade In &gt; Overall Process &gt; (Positive)"/>
    <s v="Yes"/>
    <s v="Yes"/>
    <m/>
    <x v="5"/>
    <x v="0"/>
    <x v="0"/>
    <m/>
    <x v="0"/>
    <x v="0"/>
  </r>
  <r>
    <s v="Marlene Allen - Used Trade-In Product"/>
    <n v="10"/>
    <n v="4"/>
    <d v="2026-02-10T13:51:31"/>
    <n v="5206429"/>
    <s v="Used Trade-In Product"/>
    <m/>
    <s v="Marlene Allen"/>
    <m/>
    <s v="teacher20ca@gmail.com"/>
    <m/>
    <s v="Raleigh;North Carolina;27614"/>
    <s v="Raleigh;North Carolina;27614"/>
    <s v="11 years 6 months"/>
    <s v="No"/>
    <m/>
    <m/>
    <s v="teacher20ca@gmail.com"/>
    <s v="138"/>
    <m/>
    <m/>
    <m/>
    <m/>
    <m/>
    <m/>
    <m/>
    <m/>
    <d v="2026-02-12T08:39:42"/>
    <d v="2026-02-10T12:50:28"/>
    <m/>
    <s v="1137642"/>
    <m/>
    <m/>
    <m/>
    <m/>
    <m/>
    <m/>
    <m/>
    <m/>
    <m/>
    <m/>
    <m/>
    <m/>
    <m/>
    <m/>
    <m/>
    <m/>
    <m/>
    <m/>
    <m/>
    <m/>
    <m/>
    <m/>
    <s v="https://bnh.lightning.force.com/0018X00003BQFHcQAP"/>
    <m/>
    <m/>
    <m/>
    <m/>
    <m/>
    <m/>
    <m/>
    <m/>
    <m/>
    <m/>
    <m/>
    <m/>
    <m/>
    <m/>
    <m/>
    <m/>
    <m/>
    <m/>
    <m/>
    <m/>
    <m/>
    <m/>
    <m/>
    <m/>
    <m/>
    <m/>
    <m/>
    <m/>
    <m/>
    <m/>
    <m/>
    <m/>
    <m/>
    <m/>
    <m/>
    <m/>
    <m/>
    <m/>
    <s v="CAD"/>
    <m/>
    <s v="No"/>
    <s v="Sergio Jonusas"/>
    <s v="Sergio Jonusas"/>
    <d v="2026-02-10T13:59:31"/>
    <s v="Promoter"/>
    <s v="Closed"/>
    <m/>
    <m/>
    <s v="Yes"/>
    <m/>
    <m/>
    <m/>
    <m/>
    <m/>
    <m/>
    <m/>
    <m/>
    <m/>
    <m/>
    <m/>
    <m/>
    <m/>
    <m/>
    <m/>
    <m/>
    <s v="B&amp;H gave me the highest quote out of 3 companies."/>
    <m/>
    <m/>
    <m/>
    <m/>
    <s v="The lens was mint, used only once. It sells for $1,000 new and it's disappointing that I got half of that. That said, B&amp;H made the highest offer. My husband bought me the newer version of the same lens at B&amp;H. I wish there was a trade in option. Some companies offer a bonus if you buy and sell at the same time."/>
    <m/>
    <m/>
    <m/>
    <m/>
    <m/>
    <m/>
    <m/>
    <m/>
    <m/>
    <m/>
    <m/>
    <m/>
    <m/>
    <m/>
    <m/>
    <m/>
    <m/>
    <m/>
    <m/>
    <m/>
    <m/>
    <m/>
    <m/>
    <m/>
    <m/>
    <m/>
    <m/>
    <m/>
    <m/>
    <m/>
    <m/>
    <m/>
    <m/>
    <m/>
    <m/>
    <m/>
    <m/>
    <m/>
    <m/>
    <m/>
    <m/>
    <m/>
    <m/>
    <m/>
    <m/>
    <m/>
    <m/>
    <m/>
    <m/>
    <m/>
    <m/>
    <m/>
    <m/>
    <m/>
    <m/>
    <m/>
    <m/>
    <m/>
    <m/>
    <m/>
    <m/>
    <m/>
    <m/>
    <m/>
    <m/>
    <m/>
    <m/>
    <m/>
    <m/>
    <m/>
    <m/>
    <m/>
    <m/>
    <m/>
    <m/>
    <m/>
    <m/>
    <m/>
    <m/>
    <m/>
    <m/>
    <m/>
    <s v="B&amp;H gave me the highest quote out of 3 companies."/>
    <s v="The lens was mint, used only once. It sells for $1,000 new and it's disappointing that I got half of that. That said, B&amp;H made the highest offer. My husband bought me the newer version of the same lens at B&amp;H. I wish there was a trade in option. Some companies offer a bonus if you buy and sell at the same ti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Trade In &gt; Quote Price &gt;"/>
    <s v="Trade In &gt; Overall Process &gt;, Trade In &gt; Quote Price &gt;"/>
    <m/>
    <m/>
    <s v="Trade In &gt; Overall Process &gt; (Positive), Trade In &gt; Quote Price &gt; (Positive)"/>
    <s v="Trade In &gt; Overall Process &gt; (Positive), Trade In &gt; Quote Price &gt; (Negative), Trade In &gt; Quote Price &gt; (Positive)"/>
    <s v="Yes"/>
    <s v="No"/>
    <m/>
    <x v="10"/>
    <x v="8"/>
    <x v="14"/>
    <m/>
    <x v="0"/>
    <x v="0"/>
  </r>
  <r>
    <s v="Rose Kakimoto - Used Trade-In Product"/>
    <n v="10"/>
    <n v="5"/>
    <d v="2026-02-10T13:12:24"/>
    <n v="5206349"/>
    <s v="Used Trade-In Product"/>
    <m/>
    <s v="Rose Kakimoto"/>
    <m/>
    <s v="rkakimoto@google.com"/>
    <m/>
    <s v="San Jose;California;95138"/>
    <s v="San Jose;California;95138"/>
    <s v="16 years 7 months"/>
    <s v="No"/>
    <m/>
    <m/>
    <s v="rkakimoto@google.com"/>
    <s v="199"/>
    <m/>
    <m/>
    <m/>
    <m/>
    <m/>
    <m/>
    <m/>
    <m/>
    <d v="2026-02-10T16:14:55"/>
    <d v="2026-02-10T12:52:00"/>
    <m/>
    <s v="1136647"/>
    <m/>
    <m/>
    <m/>
    <m/>
    <m/>
    <m/>
    <m/>
    <m/>
    <m/>
    <m/>
    <m/>
    <m/>
    <m/>
    <m/>
    <m/>
    <m/>
    <m/>
    <m/>
    <m/>
    <m/>
    <m/>
    <m/>
    <s v="https://bnh.lightning.force.com/0011a00000KXhGNAA1"/>
    <m/>
    <m/>
    <m/>
    <m/>
    <m/>
    <m/>
    <m/>
    <m/>
    <m/>
    <m/>
    <m/>
    <m/>
    <m/>
    <m/>
    <m/>
    <m/>
    <m/>
    <m/>
    <m/>
    <m/>
    <m/>
    <m/>
    <m/>
    <m/>
    <m/>
    <m/>
    <m/>
    <m/>
    <m/>
    <m/>
    <m/>
    <m/>
    <m/>
    <m/>
    <m/>
    <m/>
    <m/>
    <m/>
    <s v="CAD"/>
    <m/>
    <s v="No"/>
    <s v="Nick Badame"/>
    <s v="Nick Badame"/>
    <d v="2026-02-10T13:29:15"/>
    <s v="Promoter"/>
    <s v="Closed"/>
    <m/>
    <m/>
    <s v="Yes"/>
    <m/>
    <m/>
    <m/>
    <m/>
    <m/>
    <m/>
    <m/>
    <m/>
    <m/>
    <m/>
    <m/>
    <m/>
    <m/>
    <m/>
    <m/>
    <m/>
    <s v="Easy to sell my items.  No issues experiences."/>
    <m/>
    <m/>
    <m/>
    <m/>
    <m/>
    <m/>
    <m/>
    <m/>
    <m/>
    <m/>
    <m/>
    <m/>
    <m/>
    <m/>
    <m/>
    <m/>
    <m/>
    <m/>
    <m/>
    <m/>
    <m/>
    <m/>
    <m/>
    <m/>
    <m/>
    <m/>
    <m/>
    <m/>
    <m/>
    <m/>
    <m/>
    <m/>
    <m/>
    <m/>
    <m/>
    <m/>
    <m/>
    <m/>
    <m/>
    <m/>
    <m/>
    <m/>
    <m/>
    <m/>
    <m/>
    <m/>
    <m/>
    <m/>
    <m/>
    <m/>
    <m/>
    <m/>
    <m/>
    <m/>
    <m/>
    <m/>
    <m/>
    <m/>
    <m/>
    <m/>
    <m/>
    <m/>
    <m/>
    <m/>
    <m/>
    <m/>
    <m/>
    <m/>
    <m/>
    <m/>
    <m/>
    <m/>
    <m/>
    <m/>
    <m/>
    <m/>
    <m/>
    <m/>
    <m/>
    <m/>
    <m/>
    <m/>
    <m/>
    <m/>
    <m/>
    <m/>
    <m/>
    <s v="Easy to sell my items.  No issues experienc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Barb Hamm - Used Trade-In Product"/>
    <n v="10"/>
    <n v="5"/>
    <d v="2026-02-10T12:12:07"/>
    <n v="5206048"/>
    <s v="Used Trade-In Product"/>
    <m/>
    <s v="Barb Hamm"/>
    <m/>
    <s v="hammbarb@ymail.com"/>
    <m/>
    <s v="Wentzville;Missouri;63385"/>
    <s v="Wentzville;Missouri;63385"/>
    <s v="11 years 9 months"/>
    <s v="No"/>
    <m/>
    <m/>
    <s v="hammbarb@ymail.com"/>
    <s v="141"/>
    <m/>
    <m/>
    <m/>
    <m/>
    <m/>
    <m/>
    <m/>
    <m/>
    <d v="2026-02-10T14:59:08"/>
    <d v="2026-02-10T12:51:09"/>
    <m/>
    <s v="1138532"/>
    <m/>
    <m/>
    <m/>
    <m/>
    <m/>
    <m/>
    <m/>
    <m/>
    <m/>
    <m/>
    <m/>
    <m/>
    <m/>
    <m/>
    <m/>
    <m/>
    <m/>
    <m/>
    <m/>
    <m/>
    <m/>
    <m/>
    <s v="https://bnh.lightning.force.com/0011a00000JIZt1AAH"/>
    <m/>
    <m/>
    <m/>
    <m/>
    <m/>
    <m/>
    <m/>
    <m/>
    <m/>
    <m/>
    <m/>
    <m/>
    <m/>
    <m/>
    <m/>
    <m/>
    <m/>
    <m/>
    <m/>
    <m/>
    <m/>
    <m/>
    <m/>
    <m/>
    <m/>
    <m/>
    <m/>
    <m/>
    <m/>
    <m/>
    <m/>
    <m/>
    <m/>
    <m/>
    <m/>
    <m/>
    <m/>
    <m/>
    <s v="CAD"/>
    <m/>
    <s v="No"/>
    <s v="Nick Badame"/>
    <s v="Nick Badame"/>
    <d v="2026-02-10T11:43:51"/>
    <s v="Promoter"/>
    <s v="Closed"/>
    <m/>
    <m/>
    <s v="Yes"/>
    <m/>
    <m/>
    <m/>
    <m/>
    <m/>
    <m/>
    <m/>
    <m/>
    <m/>
    <m/>
    <m/>
    <m/>
    <m/>
    <m/>
    <m/>
    <m/>
    <s v="Very easy to work with. Love the ease of knowing if I purchase something and it not what I was thinking, there no problem exchanging or returning."/>
    <m/>
    <m/>
    <m/>
    <m/>
    <s v="I had not ran into any issues with purchasing , returns, or trades. Everything ran smoothly ."/>
    <m/>
    <m/>
    <m/>
    <m/>
    <m/>
    <m/>
    <m/>
    <m/>
    <m/>
    <m/>
    <m/>
    <m/>
    <m/>
    <m/>
    <m/>
    <m/>
    <m/>
    <m/>
    <m/>
    <m/>
    <m/>
    <m/>
    <m/>
    <m/>
    <m/>
    <m/>
    <m/>
    <m/>
    <m/>
    <m/>
    <m/>
    <m/>
    <m/>
    <m/>
    <m/>
    <m/>
    <m/>
    <m/>
    <m/>
    <m/>
    <m/>
    <m/>
    <m/>
    <m/>
    <m/>
    <m/>
    <m/>
    <m/>
    <m/>
    <m/>
    <m/>
    <m/>
    <m/>
    <m/>
    <m/>
    <m/>
    <m/>
    <m/>
    <m/>
    <m/>
    <m/>
    <m/>
    <m/>
    <m/>
    <m/>
    <m/>
    <m/>
    <m/>
    <m/>
    <m/>
    <m/>
    <m/>
    <m/>
    <m/>
    <m/>
    <m/>
    <m/>
    <m/>
    <m/>
    <m/>
    <m/>
    <m/>
    <s v="Very easy to work with. Love the ease of knowing if I purchase something and it not what I was thinking, there no problem exchanging or returning."/>
    <s v="I had not ran into any issues with purchasing , returns, or trades. Everything ran smoothly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m/>
    <s v="B&amp;H &gt; Satisfaction &gt;, Returns &gt; Ease &gt;, Trade In &gt; Overall Process &gt;"/>
    <m/>
    <m/>
    <m/>
    <s v="B&amp;H &gt; Satisfaction &gt; (Positive), Returns &gt; Ease &gt; (Positive), Trade In &gt; Overall Process &gt; (Positive)"/>
    <s v="Yes"/>
    <s v="Yes"/>
    <m/>
    <x v="0"/>
    <x v="0"/>
    <x v="0"/>
    <m/>
    <x v="0"/>
    <x v="0"/>
  </r>
  <r>
    <s v="Sherri Badalaty - Used Trade-In Product"/>
    <n v="10"/>
    <n v="5"/>
    <d v="2026-02-10T11:34:34"/>
    <n v="5206059"/>
    <s v="Used Trade-In Product"/>
    <m/>
    <s v="Sherri Badalaty"/>
    <m/>
    <s v="sherri6807@gmail.com"/>
    <m/>
    <s v="Estero;Florida;33928"/>
    <m/>
    <m/>
    <s v="No"/>
    <m/>
    <m/>
    <s v="sherri6807@gmail.com"/>
    <m/>
    <m/>
    <m/>
    <m/>
    <m/>
    <m/>
    <m/>
    <m/>
    <m/>
    <d v="2026-02-10T15:55:41"/>
    <d v="2026-02-10T12:50:27"/>
    <m/>
    <s v="1137247"/>
    <m/>
    <m/>
    <m/>
    <m/>
    <m/>
    <m/>
    <m/>
    <m/>
    <m/>
    <m/>
    <m/>
    <m/>
    <m/>
    <m/>
    <m/>
    <m/>
    <m/>
    <m/>
    <m/>
    <m/>
    <m/>
    <m/>
    <s v="https://bnh.lightning.force.com/001WP00000qCJPFYA4"/>
    <m/>
    <m/>
    <m/>
    <m/>
    <m/>
    <m/>
    <m/>
    <m/>
    <m/>
    <m/>
    <m/>
    <m/>
    <m/>
    <m/>
    <m/>
    <m/>
    <m/>
    <m/>
    <m/>
    <m/>
    <m/>
    <m/>
    <m/>
    <m/>
    <m/>
    <m/>
    <m/>
    <m/>
    <m/>
    <m/>
    <m/>
    <m/>
    <m/>
    <m/>
    <m/>
    <m/>
    <m/>
    <m/>
    <s v="CAD"/>
    <m/>
    <s v="No"/>
    <s v="Emily Schreier"/>
    <s v="Emily Schreier"/>
    <d v="2026-02-10T11:47:19"/>
    <s v="Promoter"/>
    <s v="Closed"/>
    <m/>
    <m/>
    <s v="Yes"/>
    <m/>
    <m/>
    <m/>
    <m/>
    <m/>
    <m/>
    <m/>
    <m/>
    <m/>
    <m/>
    <m/>
    <m/>
    <m/>
    <m/>
    <m/>
    <m/>
    <s v="Process was incredibly easy, and the communication throughout was great."/>
    <m/>
    <m/>
    <m/>
    <m/>
    <s v="nothing"/>
    <m/>
    <m/>
    <m/>
    <m/>
    <m/>
    <m/>
    <m/>
    <m/>
    <m/>
    <m/>
    <m/>
    <m/>
    <m/>
    <m/>
    <m/>
    <m/>
    <m/>
    <m/>
    <m/>
    <m/>
    <m/>
    <m/>
    <m/>
    <m/>
    <m/>
    <m/>
    <m/>
    <m/>
    <m/>
    <m/>
    <m/>
    <m/>
    <m/>
    <m/>
    <m/>
    <m/>
    <m/>
    <m/>
    <m/>
    <m/>
    <m/>
    <m/>
    <m/>
    <m/>
    <m/>
    <m/>
    <m/>
    <m/>
    <m/>
    <m/>
    <m/>
    <m/>
    <m/>
    <m/>
    <m/>
    <m/>
    <m/>
    <m/>
    <m/>
    <m/>
    <m/>
    <m/>
    <m/>
    <m/>
    <m/>
    <m/>
    <m/>
    <m/>
    <m/>
    <m/>
    <m/>
    <m/>
    <m/>
    <m/>
    <m/>
    <m/>
    <m/>
    <m/>
    <m/>
    <m/>
    <m/>
    <m/>
    <s v="Process was incredibly easy, and the communication throughout was great."/>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Strongly positive)"/>
    <s v="Trade In &gt; Overall Process &gt; (Positive)"/>
    <s v="Yes"/>
    <s v="Yes"/>
    <m/>
    <x v="0"/>
    <x v="21"/>
    <x v="0"/>
    <m/>
    <x v="0"/>
    <x v="0"/>
  </r>
  <r>
    <s v="Sevil Hajiyeva - Used Trade-In Product"/>
    <n v="10"/>
    <n v="5"/>
    <d v="2026-02-10T11:15:25"/>
    <n v="5205999"/>
    <s v="Used Trade-In Product"/>
    <m/>
    <s v="Sevil Hajiyeva"/>
    <m/>
    <s v="orkhan@baylarov.com"/>
    <m/>
    <s v="Davie;Florida;33328"/>
    <m/>
    <s v="6 years 10 months"/>
    <s v="No"/>
    <m/>
    <m/>
    <s v="orkhan@baylarov.com"/>
    <s v="82"/>
    <m/>
    <m/>
    <m/>
    <m/>
    <m/>
    <m/>
    <m/>
    <m/>
    <d v="2026-02-10T15:41:58"/>
    <d v="2026-02-06T12:50:14"/>
    <m/>
    <s v="1136283"/>
    <m/>
    <m/>
    <m/>
    <m/>
    <m/>
    <m/>
    <m/>
    <m/>
    <m/>
    <m/>
    <m/>
    <m/>
    <m/>
    <m/>
    <m/>
    <m/>
    <m/>
    <m/>
    <m/>
    <m/>
    <m/>
    <m/>
    <s v="https://bnh.lightning.force.com/0012L00001H70lNQAR"/>
    <m/>
    <m/>
    <m/>
    <m/>
    <m/>
    <m/>
    <m/>
    <m/>
    <m/>
    <m/>
    <m/>
    <m/>
    <m/>
    <m/>
    <m/>
    <m/>
    <m/>
    <m/>
    <m/>
    <m/>
    <m/>
    <m/>
    <m/>
    <m/>
    <m/>
    <m/>
    <m/>
    <m/>
    <m/>
    <m/>
    <m/>
    <m/>
    <m/>
    <m/>
    <m/>
    <m/>
    <m/>
    <m/>
    <s v="CAD"/>
    <m/>
    <s v="No"/>
    <s v="Emily Schreier"/>
    <s v="Emily Schreier"/>
    <d v="2026-02-10T11:31:35"/>
    <s v="Promoter"/>
    <s v="Closed"/>
    <m/>
    <m/>
    <s v="Yes"/>
    <m/>
    <m/>
    <m/>
    <m/>
    <m/>
    <m/>
    <m/>
    <m/>
    <m/>
    <m/>
    <m/>
    <m/>
    <m/>
    <m/>
    <m/>
    <m/>
    <s v="smooth"/>
    <m/>
    <m/>
    <m/>
    <m/>
    <s v="nothing"/>
    <m/>
    <m/>
    <m/>
    <m/>
    <m/>
    <m/>
    <m/>
    <m/>
    <m/>
    <m/>
    <m/>
    <m/>
    <m/>
    <m/>
    <m/>
    <m/>
    <m/>
    <m/>
    <m/>
    <m/>
    <m/>
    <m/>
    <m/>
    <m/>
    <m/>
    <m/>
    <m/>
    <m/>
    <m/>
    <m/>
    <m/>
    <m/>
    <m/>
    <m/>
    <m/>
    <m/>
    <m/>
    <m/>
    <m/>
    <m/>
    <m/>
    <m/>
    <m/>
    <m/>
    <m/>
    <m/>
    <m/>
    <m/>
    <m/>
    <m/>
    <m/>
    <m/>
    <m/>
    <m/>
    <m/>
    <m/>
    <m/>
    <m/>
    <m/>
    <m/>
    <m/>
    <m/>
    <m/>
    <m/>
    <m/>
    <m/>
    <m/>
    <m/>
    <m/>
    <m/>
    <m/>
    <m/>
    <m/>
    <m/>
    <m/>
    <m/>
    <m/>
    <m/>
    <m/>
    <m/>
    <m/>
    <m/>
    <s v="smooth"/>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5"/>
    <x v="0"/>
    <x v="0"/>
    <m/>
    <x v="0"/>
    <x v="0"/>
  </r>
  <r>
    <s v="Tou Yang - Used Trade-In Product"/>
    <n v="9"/>
    <n v="4"/>
    <d v="2026-02-10T10:28:37"/>
    <n v="5205835"/>
    <s v="Used Trade-In Product"/>
    <m/>
    <s v="Tou Yang"/>
    <m/>
    <s v="toupac27@yahoo.com"/>
    <m/>
    <s v="Clovis;California;93619"/>
    <s v="Clovis;California;93619"/>
    <s v="18 years 5 months"/>
    <s v="No"/>
    <m/>
    <m/>
    <s v="toupac27@yahoo.com"/>
    <s v="221"/>
    <m/>
    <m/>
    <m/>
    <m/>
    <m/>
    <m/>
    <m/>
    <m/>
    <d v="2026-02-10T15:25:03"/>
    <d v="2026-02-10T12:53:20"/>
    <m/>
    <s v="1138547"/>
    <m/>
    <m/>
    <m/>
    <m/>
    <m/>
    <m/>
    <m/>
    <m/>
    <m/>
    <m/>
    <m/>
    <m/>
    <m/>
    <m/>
    <m/>
    <m/>
    <m/>
    <m/>
    <m/>
    <m/>
    <m/>
    <m/>
    <s v="https://bnh.lightning.force.com/0012L000019Eni7QAC"/>
    <m/>
    <m/>
    <m/>
    <m/>
    <m/>
    <m/>
    <m/>
    <m/>
    <m/>
    <m/>
    <m/>
    <m/>
    <m/>
    <m/>
    <m/>
    <m/>
    <m/>
    <m/>
    <m/>
    <m/>
    <m/>
    <m/>
    <m/>
    <m/>
    <m/>
    <m/>
    <m/>
    <m/>
    <m/>
    <m/>
    <m/>
    <m/>
    <m/>
    <m/>
    <m/>
    <m/>
    <m/>
    <m/>
    <s v="CAD"/>
    <m/>
    <s v="No"/>
    <s v="Emily Schreier"/>
    <s v="Emily Schreier"/>
    <d v="2026-02-10T10:41:45"/>
    <s v="Promoter"/>
    <s v="Closed"/>
    <m/>
    <m/>
    <s v="Yes"/>
    <m/>
    <m/>
    <m/>
    <m/>
    <m/>
    <m/>
    <m/>
    <m/>
    <m/>
    <m/>
    <m/>
    <m/>
    <m/>
    <m/>
    <m/>
    <m/>
    <s v="Price was honored"/>
    <m/>
    <m/>
    <m/>
    <m/>
    <s v="Took longer than the expected date for it to be inspected"/>
    <m/>
    <m/>
    <m/>
    <m/>
    <m/>
    <m/>
    <m/>
    <m/>
    <m/>
    <m/>
    <m/>
    <m/>
    <m/>
    <m/>
    <m/>
    <m/>
    <m/>
    <m/>
    <m/>
    <m/>
    <m/>
    <m/>
    <m/>
    <m/>
    <m/>
    <m/>
    <m/>
    <m/>
    <m/>
    <m/>
    <m/>
    <m/>
    <m/>
    <m/>
    <m/>
    <m/>
    <m/>
    <m/>
    <m/>
    <m/>
    <m/>
    <m/>
    <m/>
    <m/>
    <m/>
    <m/>
    <m/>
    <m/>
    <m/>
    <m/>
    <m/>
    <m/>
    <m/>
    <m/>
    <m/>
    <m/>
    <m/>
    <m/>
    <m/>
    <m/>
    <m/>
    <m/>
    <m/>
    <m/>
    <m/>
    <m/>
    <m/>
    <m/>
    <m/>
    <m/>
    <m/>
    <m/>
    <m/>
    <m/>
    <m/>
    <m/>
    <m/>
    <m/>
    <m/>
    <m/>
    <m/>
    <m/>
    <s v="Price was honored"/>
    <s v="Took longer than the expected date for it to be inspec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4"/>
    <n v="4"/>
    <n v="4"/>
    <n v="4"/>
    <m/>
    <m/>
    <m/>
    <m/>
    <m/>
    <m/>
    <m/>
    <m/>
    <m/>
    <m/>
    <m/>
    <m/>
    <m/>
    <m/>
    <m/>
    <m/>
    <m/>
    <m/>
    <m/>
    <m/>
    <m/>
    <m/>
    <m/>
    <m/>
    <m/>
    <m/>
    <m/>
    <m/>
    <m/>
    <m/>
    <m/>
    <m/>
    <m/>
    <m/>
    <m/>
    <m/>
    <m/>
    <m/>
    <m/>
    <m/>
    <m/>
    <m/>
    <m/>
    <m/>
    <m/>
    <m/>
    <m/>
    <m/>
    <m/>
    <m/>
    <m/>
    <m/>
    <m/>
    <m/>
    <m/>
    <m/>
    <m/>
    <m/>
    <m/>
    <m/>
    <m/>
    <m/>
    <m/>
    <m/>
    <m/>
    <m/>
    <m/>
    <m/>
    <m/>
    <m/>
    <m/>
    <m/>
    <m/>
    <m/>
    <m/>
    <m/>
    <m/>
    <m/>
    <m/>
    <m/>
    <m/>
    <m/>
    <m/>
    <m/>
    <m/>
    <m/>
    <m/>
    <m/>
    <m/>
    <m/>
    <m/>
    <m/>
    <m/>
    <m/>
    <m/>
    <m/>
    <m/>
    <m/>
    <m/>
    <m/>
    <m/>
    <s v="Used &gt; Pricing &gt;"/>
    <s v="Trade In &gt; Quote Price &gt;, Trade In &gt; Timeliness of Quote &gt;"/>
    <m/>
    <m/>
    <s v="Used &gt; Pricing &gt; (Positive)"/>
    <s v="Trade In &gt; Quote Price &gt; (Positive), Trade In &gt; Timeliness of Quote &gt; (Negative)"/>
    <s v="Yes"/>
    <s v="No"/>
    <m/>
    <x v="8"/>
    <x v="4"/>
    <x v="0"/>
    <m/>
    <x v="0"/>
    <x v="0"/>
  </r>
  <r>
    <s v="Kyle Khani - Used Trade-In Product"/>
    <n v="5"/>
    <n v="3"/>
    <d v="2026-02-10T10:21:28"/>
    <n v="5205823"/>
    <s v="Used Trade-In Product"/>
    <m/>
    <s v="Kyle Khani"/>
    <m/>
    <s v="kyleskhani@gmail.com"/>
    <m/>
    <s v="Manchester;Massachusetts;01944"/>
    <s v="Boston;Massachusetts;02215"/>
    <s v="1 months"/>
    <s v="No"/>
    <m/>
    <m/>
    <s v="kyleskhani@gmail.com"/>
    <s v="1"/>
    <m/>
    <m/>
    <m/>
    <m/>
    <m/>
    <m/>
    <m/>
    <m/>
    <d v="2026-02-11T12:08:12"/>
    <d v="2026-02-10T13:17:20"/>
    <m/>
    <s v="1139060"/>
    <m/>
    <m/>
    <m/>
    <m/>
    <m/>
    <m/>
    <m/>
    <m/>
    <m/>
    <m/>
    <m/>
    <m/>
    <m/>
    <m/>
    <m/>
    <m/>
    <m/>
    <m/>
    <m/>
    <m/>
    <m/>
    <m/>
    <s v="https://bnh.lightning.force.com/001WP00000r8LLmYAM"/>
    <m/>
    <m/>
    <m/>
    <m/>
    <m/>
    <m/>
    <m/>
    <m/>
    <m/>
    <m/>
    <m/>
    <m/>
    <m/>
    <m/>
    <m/>
    <m/>
    <m/>
    <m/>
    <m/>
    <m/>
    <m/>
    <m/>
    <m/>
    <m/>
    <m/>
    <m/>
    <m/>
    <m/>
    <m/>
    <m/>
    <m/>
    <m/>
    <m/>
    <m/>
    <m/>
    <m/>
    <m/>
    <m/>
    <s v="CAD"/>
    <m/>
    <s v="No"/>
    <s v="Emily Schreier,Avraham Schwartz,Reina Caba"/>
    <s v="Reina Caba"/>
    <d v="2026-02-10T10:39:01"/>
    <s v="Detractor "/>
    <s v="Closed"/>
    <d v="2026-02-11T12:08:07"/>
    <s v="Reina Caba (reinac@bhphoto.com)"/>
    <s v="Yes"/>
    <m/>
    <m/>
    <m/>
    <m/>
    <m/>
    <m/>
    <m/>
    <m/>
    <m/>
    <m/>
    <m/>
    <m/>
    <m/>
    <m/>
    <m/>
    <m/>
    <s v="Camera"/>
    <m/>
    <m/>
    <m/>
    <m/>
    <s v="Price"/>
    <m/>
    <m/>
    <m/>
    <m/>
    <m/>
    <m/>
    <m/>
    <m/>
    <m/>
    <m/>
    <m/>
    <m/>
    <m/>
    <m/>
    <m/>
    <m/>
    <m/>
    <m/>
    <m/>
    <m/>
    <m/>
    <m/>
    <m/>
    <m/>
    <m/>
    <m/>
    <m/>
    <m/>
    <m/>
    <m/>
    <m/>
    <m/>
    <m/>
    <m/>
    <m/>
    <m/>
    <m/>
    <m/>
    <m/>
    <m/>
    <m/>
    <m/>
    <m/>
    <m/>
    <m/>
    <m/>
    <m/>
    <m/>
    <m/>
    <m/>
    <m/>
    <m/>
    <m/>
    <m/>
    <m/>
    <m/>
    <m/>
    <m/>
    <m/>
    <m/>
    <m/>
    <m/>
    <m/>
    <m/>
    <m/>
    <m/>
    <m/>
    <m/>
    <m/>
    <m/>
    <m/>
    <m/>
    <m/>
    <m/>
    <m/>
    <m/>
    <m/>
    <m/>
    <m/>
    <m/>
    <m/>
    <m/>
    <s v="Camera"/>
    <s v="Pr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3"/>
    <n v="3"/>
    <m/>
    <m/>
    <m/>
    <m/>
    <m/>
    <m/>
    <n v="3"/>
    <n v="3"/>
    <n v="3"/>
    <n v="3"/>
    <m/>
    <m/>
    <m/>
    <m/>
    <m/>
    <m/>
    <m/>
    <m/>
    <m/>
    <m/>
    <m/>
    <m/>
    <m/>
    <m/>
    <m/>
    <m/>
    <m/>
    <m/>
    <m/>
    <m/>
    <m/>
    <m/>
    <m/>
    <m/>
    <m/>
    <m/>
    <m/>
    <m/>
    <m/>
    <m/>
    <m/>
    <m/>
    <m/>
    <m/>
    <m/>
    <m/>
    <m/>
    <m/>
    <m/>
    <m/>
    <m/>
    <m/>
    <m/>
    <m/>
    <m/>
    <m/>
    <m/>
    <m/>
    <m/>
    <m/>
    <m/>
    <m/>
    <m/>
    <m/>
    <m/>
    <m/>
    <m/>
    <m/>
    <m/>
    <m/>
    <m/>
    <m/>
    <m/>
    <m/>
    <m/>
    <m/>
    <m/>
    <m/>
    <m/>
    <m/>
    <m/>
    <m/>
    <m/>
    <m/>
    <m/>
    <m/>
    <m/>
    <m/>
    <m/>
    <m/>
    <m/>
    <m/>
    <m/>
    <m/>
    <m/>
    <m/>
    <m/>
    <m/>
    <m/>
    <m/>
    <m/>
    <m/>
    <m/>
    <m/>
    <m/>
    <m/>
    <m/>
    <m/>
    <m/>
    <m/>
    <m/>
    <s v="Used &gt; Pricing &gt;"/>
    <s v="Trade In &gt; Quote Price &gt;"/>
    <m/>
    <m/>
    <s v="Used &gt; Pricing &gt; (No opinion)"/>
    <s v="Trade In &gt; Quote Price &gt; (Negative)"/>
    <s v="Yes"/>
    <s v="Yes"/>
    <m/>
    <x v="29"/>
    <x v="0"/>
    <x v="0"/>
    <m/>
    <x v="0"/>
    <x v="0"/>
  </r>
  <r>
    <s v="Ortha James Morgan - Used Trade-In Product"/>
    <n v="10"/>
    <n v="5"/>
    <d v="2026-02-10T06:04:41"/>
    <n v="5205350"/>
    <s v="Used Trade-In Product"/>
    <m/>
    <s v="Ortha James Morgan"/>
    <m/>
    <s v="ojmorgan@gmail.com"/>
    <m/>
    <s v="Hixson;Tennessee;37343"/>
    <s v="Hixson;Tennessee;37343"/>
    <s v="8 years 9 months"/>
    <s v="Yes"/>
    <m/>
    <m/>
    <s v="ojmorgan@gmail.com"/>
    <s v="105"/>
    <m/>
    <m/>
    <m/>
    <m/>
    <m/>
    <m/>
    <m/>
    <m/>
    <d v="2026-02-10T09:42:34"/>
    <d v="2026-02-09T19:21:42"/>
    <m/>
    <s v="1141252"/>
    <m/>
    <m/>
    <m/>
    <m/>
    <m/>
    <m/>
    <m/>
    <m/>
    <m/>
    <m/>
    <m/>
    <m/>
    <m/>
    <m/>
    <m/>
    <m/>
    <m/>
    <m/>
    <m/>
    <m/>
    <m/>
    <m/>
    <s v="https://bnh.lightning.force.com/0018X00003ScEIwQAN"/>
    <m/>
    <m/>
    <m/>
    <m/>
    <m/>
    <m/>
    <m/>
    <m/>
    <m/>
    <m/>
    <m/>
    <m/>
    <m/>
    <m/>
    <m/>
    <m/>
    <m/>
    <m/>
    <m/>
    <m/>
    <m/>
    <m/>
    <m/>
    <m/>
    <m/>
    <m/>
    <m/>
    <m/>
    <m/>
    <m/>
    <m/>
    <m/>
    <m/>
    <m/>
    <m/>
    <m/>
    <m/>
    <m/>
    <s v="CAD"/>
    <m/>
    <s v="No"/>
    <s v="Efrat Malachi"/>
    <s v="Efrat Malachi"/>
    <d v="2026-02-10T06:05:08"/>
    <s v="Promoter"/>
    <s v="Closed"/>
    <m/>
    <m/>
    <s v="Yes"/>
    <m/>
    <m/>
    <m/>
    <m/>
    <m/>
    <m/>
    <m/>
    <m/>
    <m/>
    <m/>
    <m/>
    <m/>
    <m/>
    <m/>
    <m/>
    <m/>
    <s v="Easy, fast, efficient."/>
    <m/>
    <m/>
    <m/>
    <m/>
    <m/>
    <m/>
    <m/>
    <m/>
    <m/>
    <m/>
    <m/>
    <m/>
    <m/>
    <m/>
    <m/>
    <m/>
    <m/>
    <m/>
    <m/>
    <m/>
    <m/>
    <m/>
    <m/>
    <m/>
    <m/>
    <m/>
    <m/>
    <m/>
    <m/>
    <m/>
    <m/>
    <m/>
    <m/>
    <m/>
    <m/>
    <m/>
    <m/>
    <m/>
    <m/>
    <m/>
    <m/>
    <m/>
    <m/>
    <m/>
    <m/>
    <m/>
    <m/>
    <m/>
    <m/>
    <m/>
    <m/>
    <m/>
    <m/>
    <m/>
    <m/>
    <m/>
    <m/>
    <m/>
    <m/>
    <m/>
    <m/>
    <m/>
    <m/>
    <m/>
    <m/>
    <m/>
    <m/>
    <m/>
    <m/>
    <m/>
    <m/>
    <m/>
    <m/>
    <m/>
    <m/>
    <m/>
    <m/>
    <m/>
    <m/>
    <m/>
    <m/>
    <m/>
    <m/>
    <m/>
    <m/>
    <m/>
    <m/>
    <s v="Easy, fast, effici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Michael Carlson - Used Trade-In Product"/>
    <n v="10"/>
    <n v="5"/>
    <d v="2026-02-09T19:03:43"/>
    <n v="5204668"/>
    <s v="Used Trade-In Product"/>
    <m/>
    <s v="Michael Carlson"/>
    <m/>
    <s v="bland-racket-0a@icloud.com"/>
    <m/>
    <s v="Elk Grove;California;95624"/>
    <s v="Elk Grove;California;95624"/>
    <s v="7 years 7 months"/>
    <s v="No"/>
    <m/>
    <m/>
    <s v="bland-racket-0a@icloud.com"/>
    <s v="91"/>
    <m/>
    <m/>
    <m/>
    <m/>
    <m/>
    <m/>
    <m/>
    <m/>
    <d v="2026-02-10T09:02:53"/>
    <d v="2026-02-09T12:50:09"/>
    <m/>
    <s v="1139128"/>
    <m/>
    <m/>
    <m/>
    <m/>
    <m/>
    <m/>
    <m/>
    <m/>
    <m/>
    <m/>
    <m/>
    <m/>
    <m/>
    <m/>
    <m/>
    <m/>
    <m/>
    <m/>
    <m/>
    <m/>
    <m/>
    <m/>
    <s v="https://bnh.lightning.force.com/0011a00000rx5JpAAI"/>
    <m/>
    <m/>
    <m/>
    <m/>
    <m/>
    <m/>
    <m/>
    <m/>
    <m/>
    <m/>
    <m/>
    <m/>
    <m/>
    <m/>
    <m/>
    <m/>
    <m/>
    <m/>
    <m/>
    <m/>
    <m/>
    <m/>
    <m/>
    <m/>
    <m/>
    <m/>
    <m/>
    <m/>
    <m/>
    <m/>
    <m/>
    <m/>
    <m/>
    <m/>
    <m/>
    <m/>
    <m/>
    <m/>
    <s v="CAD"/>
    <m/>
    <s v="No"/>
    <s v="Freddy Gomez"/>
    <s v="Freddy Gomez"/>
    <d v="2026-02-09T19:04:03"/>
    <s v="Promoter"/>
    <s v="Closed"/>
    <m/>
    <m/>
    <s v="Yes"/>
    <m/>
    <m/>
    <m/>
    <m/>
    <m/>
    <m/>
    <m/>
    <m/>
    <m/>
    <m/>
    <m/>
    <m/>
    <m/>
    <m/>
    <m/>
    <m/>
    <s v="Straightforward, clear, timely communication."/>
    <m/>
    <m/>
    <m/>
    <m/>
    <s v="Nothing."/>
    <m/>
    <m/>
    <m/>
    <m/>
    <m/>
    <m/>
    <m/>
    <m/>
    <m/>
    <m/>
    <m/>
    <m/>
    <m/>
    <m/>
    <m/>
    <m/>
    <m/>
    <m/>
    <m/>
    <m/>
    <m/>
    <m/>
    <m/>
    <m/>
    <m/>
    <m/>
    <m/>
    <m/>
    <m/>
    <m/>
    <m/>
    <m/>
    <m/>
    <m/>
    <m/>
    <m/>
    <m/>
    <m/>
    <m/>
    <m/>
    <m/>
    <m/>
    <m/>
    <m/>
    <m/>
    <m/>
    <m/>
    <m/>
    <m/>
    <m/>
    <m/>
    <m/>
    <m/>
    <m/>
    <m/>
    <m/>
    <m/>
    <m/>
    <m/>
    <m/>
    <m/>
    <m/>
    <m/>
    <m/>
    <m/>
    <m/>
    <m/>
    <m/>
    <m/>
    <m/>
    <m/>
    <m/>
    <m/>
    <m/>
    <m/>
    <m/>
    <m/>
    <m/>
    <m/>
    <m/>
    <m/>
    <m/>
    <s v="Straightforward, clear, timely communication."/>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Communication / Notification &gt;, Trade In &gt; Overall Process &gt;"/>
    <m/>
    <m/>
    <m/>
    <s v="B&amp;H &gt; Communication / Notification &gt; (Positive), Trade In &gt; Overall Process &gt; (Positive)"/>
    <s v="Yes"/>
    <s v="No"/>
    <m/>
    <x v="5"/>
    <x v="21"/>
    <x v="0"/>
    <m/>
    <x v="0"/>
    <x v="0"/>
  </r>
  <r>
    <s v="Nick Dimaso - Used Trade-In Product"/>
    <n v="10"/>
    <n v="5"/>
    <d v="2026-02-09T17:12:32"/>
    <n v="5204393"/>
    <s v="Used Trade-In Product"/>
    <m/>
    <s v="Nick Dimaso"/>
    <m/>
    <s v="hi@nickdimaso.com"/>
    <m/>
    <s v="Chicago;Illinois;60640"/>
    <s v="Chicago;Illinois;60640"/>
    <s v="3 years 2 months"/>
    <s v="No"/>
    <m/>
    <m/>
    <s v="hi@nickdimaso.com"/>
    <s v="38"/>
    <m/>
    <m/>
    <m/>
    <m/>
    <m/>
    <m/>
    <m/>
    <m/>
    <d v="2026-02-10T09:29:53"/>
    <d v="2026-02-09T19:21:52"/>
    <m/>
    <s v="1138258"/>
    <m/>
    <m/>
    <m/>
    <m/>
    <m/>
    <m/>
    <m/>
    <m/>
    <m/>
    <m/>
    <m/>
    <m/>
    <m/>
    <m/>
    <m/>
    <m/>
    <m/>
    <m/>
    <m/>
    <m/>
    <m/>
    <m/>
    <s v="https://bnh.lightning.force.com/0018X0000397dp7QAA"/>
    <m/>
    <m/>
    <m/>
    <m/>
    <m/>
    <m/>
    <m/>
    <m/>
    <m/>
    <m/>
    <m/>
    <m/>
    <m/>
    <m/>
    <m/>
    <m/>
    <m/>
    <m/>
    <m/>
    <m/>
    <m/>
    <m/>
    <m/>
    <m/>
    <m/>
    <m/>
    <m/>
    <m/>
    <m/>
    <m/>
    <m/>
    <m/>
    <m/>
    <m/>
    <m/>
    <m/>
    <m/>
    <m/>
    <s v="CAD"/>
    <m/>
    <s v="No"/>
    <s v="Aine Hoye"/>
    <s v="Aine Hoye"/>
    <d v="2026-02-09T17:12:55"/>
    <s v="Promoter"/>
    <s v="Closed"/>
    <m/>
    <m/>
    <s v="Yes"/>
    <m/>
    <m/>
    <m/>
    <m/>
    <m/>
    <m/>
    <m/>
    <m/>
    <m/>
    <m/>
    <m/>
    <m/>
    <m/>
    <m/>
    <m/>
    <m/>
    <s v="B&amp;H is the go-to place."/>
    <m/>
    <m/>
    <m/>
    <m/>
    <s v="I would have liked a bit more trade-in value, but I understand business is business!"/>
    <m/>
    <m/>
    <m/>
    <m/>
    <m/>
    <m/>
    <m/>
    <m/>
    <m/>
    <m/>
    <m/>
    <m/>
    <m/>
    <m/>
    <m/>
    <m/>
    <m/>
    <m/>
    <m/>
    <m/>
    <m/>
    <m/>
    <m/>
    <m/>
    <m/>
    <m/>
    <m/>
    <m/>
    <m/>
    <m/>
    <m/>
    <m/>
    <m/>
    <m/>
    <m/>
    <m/>
    <m/>
    <m/>
    <m/>
    <m/>
    <m/>
    <m/>
    <m/>
    <m/>
    <m/>
    <m/>
    <m/>
    <m/>
    <m/>
    <m/>
    <m/>
    <m/>
    <m/>
    <m/>
    <m/>
    <m/>
    <m/>
    <m/>
    <m/>
    <m/>
    <m/>
    <m/>
    <m/>
    <m/>
    <m/>
    <m/>
    <m/>
    <m/>
    <m/>
    <m/>
    <m/>
    <m/>
    <m/>
    <m/>
    <m/>
    <m/>
    <m/>
    <m/>
    <m/>
    <m/>
    <m/>
    <m/>
    <s v="B&amp;H is the go-to place."/>
    <s v="I would have liked a bit more trade-in value, but I understand business is busin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5"/>
    <n v="5"/>
    <n v="5"/>
    <n v="5"/>
    <m/>
    <m/>
    <m/>
    <m/>
    <m/>
    <m/>
    <m/>
    <m/>
    <m/>
    <m/>
    <m/>
    <m/>
    <m/>
    <m/>
    <m/>
    <m/>
    <m/>
    <m/>
    <m/>
    <m/>
    <m/>
    <m/>
    <m/>
    <m/>
    <m/>
    <m/>
    <m/>
    <m/>
    <m/>
    <m/>
    <m/>
    <m/>
    <m/>
    <m/>
    <m/>
    <m/>
    <m/>
    <m/>
    <m/>
    <m/>
    <m/>
    <m/>
    <m/>
    <m/>
    <m/>
    <m/>
    <m/>
    <m/>
    <m/>
    <m/>
    <m/>
    <m/>
    <m/>
    <m/>
    <m/>
    <m/>
    <m/>
    <m/>
    <m/>
    <m/>
    <m/>
    <m/>
    <m/>
    <m/>
    <m/>
    <m/>
    <m/>
    <m/>
    <m/>
    <m/>
    <m/>
    <m/>
    <m/>
    <m/>
    <m/>
    <m/>
    <m/>
    <m/>
    <m/>
    <m/>
    <m/>
    <m/>
    <m/>
    <m/>
    <m/>
    <m/>
    <m/>
    <m/>
    <m/>
    <m/>
    <m/>
    <m/>
    <m/>
    <m/>
    <m/>
    <m/>
    <m/>
    <m/>
    <m/>
    <m/>
    <m/>
    <s v="Pricing &gt; Value for Money &gt;"/>
    <s v="B&amp;H &gt; Satisfaction &gt;, Trade In &gt; Quote Price &gt;"/>
    <m/>
    <m/>
    <s v="Pricing &gt; Value for Money &gt; (Negative)"/>
    <s v="B&amp;H &gt; Satisfaction &gt; (Positive), Trade In &gt; Quote Price &gt; (Negative)"/>
    <s v="Yes"/>
    <s v="No"/>
    <m/>
    <x v="29"/>
    <x v="0"/>
    <x v="0"/>
    <m/>
    <x v="0"/>
    <x v="0"/>
  </r>
  <r>
    <s v="Sandra Auman - Used Trade-In Product"/>
    <n v="10"/>
    <n v="4"/>
    <d v="2026-02-09T12:45:32"/>
    <n v="5198813"/>
    <s v="Used Trade-In Product"/>
    <m/>
    <s v="Sandra Auman"/>
    <m/>
    <s v="aumansea@gmail.com"/>
    <m/>
    <s v="Falls Church;Virginia;22043"/>
    <s v="Falls Church;Virginia;22043"/>
    <s v="6 years 9 months"/>
    <s v="No"/>
    <m/>
    <m/>
    <s v="aumansea@gmail.com"/>
    <s v="81"/>
    <m/>
    <m/>
    <m/>
    <m/>
    <m/>
    <m/>
    <m/>
    <m/>
    <d v="2026-02-09T14:11:06"/>
    <d v="2026-01-08T12:42:34"/>
    <m/>
    <s v="1125662"/>
    <m/>
    <m/>
    <m/>
    <m/>
    <m/>
    <m/>
    <m/>
    <m/>
    <m/>
    <m/>
    <m/>
    <m/>
    <m/>
    <m/>
    <m/>
    <m/>
    <m/>
    <m/>
    <m/>
    <m/>
    <m/>
    <m/>
    <s v="https://bnh.lightning.force.com/0012L0000100ZeSQAU"/>
    <m/>
    <m/>
    <m/>
    <m/>
    <m/>
    <m/>
    <m/>
    <m/>
    <m/>
    <m/>
    <m/>
    <m/>
    <m/>
    <m/>
    <m/>
    <m/>
    <m/>
    <m/>
    <m/>
    <m/>
    <m/>
    <m/>
    <m/>
    <m/>
    <m/>
    <m/>
    <m/>
    <m/>
    <m/>
    <m/>
    <m/>
    <m/>
    <m/>
    <m/>
    <m/>
    <m/>
    <m/>
    <m/>
    <s v="CAD"/>
    <m/>
    <s v="No"/>
    <s v="Freddy Gomez"/>
    <s v="Freddy Gomez"/>
    <d v="2026-02-09T12:39:03"/>
    <s v="Promoter"/>
    <s v="Closed"/>
    <m/>
    <m/>
    <s v="Yes"/>
    <m/>
    <m/>
    <m/>
    <m/>
    <m/>
    <m/>
    <m/>
    <m/>
    <m/>
    <m/>
    <m/>
    <m/>
    <m/>
    <m/>
    <m/>
    <m/>
    <s v="B &amp; H made it very easy to sell my used equipment, providing efficient procedures and timely communications. I appreciated the free shipping of my equipment to B &amp; H."/>
    <m/>
    <m/>
    <m/>
    <m/>
    <s v="The prices B &amp; H offered were somewhat less than I would have liked. I purchased a used lens from B &amp; H and was awarded only 50% of the price I had paid a few years ago and I had used the lens very little."/>
    <m/>
    <m/>
    <m/>
    <m/>
    <m/>
    <m/>
    <m/>
    <m/>
    <m/>
    <m/>
    <m/>
    <m/>
    <m/>
    <m/>
    <m/>
    <m/>
    <m/>
    <m/>
    <m/>
    <m/>
    <m/>
    <m/>
    <m/>
    <m/>
    <m/>
    <m/>
    <m/>
    <m/>
    <m/>
    <m/>
    <m/>
    <m/>
    <m/>
    <m/>
    <m/>
    <m/>
    <m/>
    <m/>
    <m/>
    <m/>
    <m/>
    <m/>
    <m/>
    <m/>
    <m/>
    <m/>
    <m/>
    <m/>
    <m/>
    <m/>
    <m/>
    <m/>
    <m/>
    <m/>
    <m/>
    <m/>
    <m/>
    <m/>
    <m/>
    <m/>
    <m/>
    <m/>
    <m/>
    <m/>
    <m/>
    <m/>
    <m/>
    <m/>
    <m/>
    <m/>
    <m/>
    <m/>
    <m/>
    <m/>
    <m/>
    <m/>
    <m/>
    <m/>
    <m/>
    <m/>
    <m/>
    <m/>
    <s v="B &amp; H made it very easy to sell my used equipment, providing efficient procedures and timely communications. I appreciated the free shipping of my equipment to B &amp; H."/>
    <s v="The prices B &amp; H offered were somewhat less than I would have liked. I purchased a used lens from B &amp; H and was awarded only 50% of the price I had paid a few years ago and I had used the lens very litt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s v="N/A"/>
    <n v="5"/>
    <m/>
    <m/>
    <m/>
    <m/>
    <m/>
    <m/>
    <n v="5"/>
    <n v="5"/>
    <n v="5"/>
    <n v="5"/>
    <m/>
    <m/>
    <m/>
    <m/>
    <m/>
    <m/>
    <m/>
    <m/>
    <m/>
    <m/>
    <m/>
    <m/>
    <m/>
    <m/>
    <m/>
    <m/>
    <m/>
    <m/>
    <m/>
    <m/>
    <m/>
    <m/>
    <m/>
    <m/>
    <m/>
    <m/>
    <m/>
    <m/>
    <m/>
    <m/>
    <m/>
    <m/>
    <m/>
    <m/>
    <m/>
    <m/>
    <m/>
    <m/>
    <m/>
    <m/>
    <m/>
    <m/>
    <m/>
    <m/>
    <m/>
    <m/>
    <m/>
    <m/>
    <m/>
    <m/>
    <m/>
    <m/>
    <m/>
    <m/>
    <m/>
    <m/>
    <m/>
    <m/>
    <m/>
    <m/>
    <m/>
    <m/>
    <m/>
    <m/>
    <m/>
    <m/>
    <m/>
    <m/>
    <m/>
    <m/>
    <m/>
    <m/>
    <m/>
    <m/>
    <m/>
    <m/>
    <m/>
    <m/>
    <m/>
    <m/>
    <m/>
    <m/>
    <m/>
    <m/>
    <m/>
    <m/>
    <m/>
    <m/>
    <m/>
    <m/>
    <m/>
    <m/>
    <m/>
    <m/>
    <m/>
    <m/>
    <m/>
    <m/>
    <m/>
    <m/>
    <m/>
    <s v="Pricing &gt; Delivery Fees &gt;, Pricing &gt; Value for Money &gt;, Trade In &gt; Overall Process &gt;, Trade In &gt; Quote Price &gt;, Used &gt; Pricing &gt;"/>
    <s v="B&amp;H &gt; Communication / Notification &gt;, Pricing &gt; Delivery Fees &gt;, Trade In &gt; Overall Process &gt;, Trade In &gt; Quote Price &gt;"/>
    <m/>
    <s v="NEUTRAL"/>
    <s v="Pricing &gt; Delivery Fees &gt; (Positive), Pricing &gt; Value for Money &gt; (Negative), Trade In &gt; Overall Process &gt; (Positive), Trade In &gt; Quote Price &gt; (Negative), Used &gt; Pricing &gt; (Negative)"/>
    <s v="B&amp;H &gt; Communication / Notification &gt; (Positive), Pricing &gt; Delivery Fees &gt; (Positive), Trade In &gt; Overall Process &gt; (Positive), Trade In &gt; Quote Price &gt; (Negative)"/>
    <s v="Yes"/>
    <s v="No"/>
    <m/>
    <x v="0"/>
    <x v="21"/>
    <x v="15"/>
    <s v="Low product valuation"/>
    <x v="0"/>
    <x v="0"/>
  </r>
  <r>
    <s v="Joshua Powers - Used Trade-In Product"/>
    <n v="10"/>
    <n v="5"/>
    <d v="2026-02-09T11:35:01"/>
    <n v="5198630"/>
    <s v="Used Trade-In Product"/>
    <m/>
    <s v="Joshua Powers"/>
    <m/>
    <s v="mrpowersj@gmail.com"/>
    <m/>
    <s v="Boise;Idaho;83713"/>
    <s v="Boise;Idaho;83713"/>
    <s v="9 years 2 months"/>
    <s v="No"/>
    <m/>
    <m/>
    <s v="mrpowersj@gmail.com"/>
    <s v="110"/>
    <m/>
    <m/>
    <m/>
    <m/>
    <m/>
    <m/>
    <m/>
    <m/>
    <d v="2026-02-09T13:52:47"/>
    <d v="2026-02-09T14:16:15"/>
    <m/>
    <s v="1140172"/>
    <m/>
    <m/>
    <m/>
    <m/>
    <m/>
    <m/>
    <m/>
    <m/>
    <m/>
    <m/>
    <m/>
    <m/>
    <m/>
    <m/>
    <m/>
    <m/>
    <m/>
    <m/>
    <m/>
    <m/>
    <m/>
    <m/>
    <s v="https://bnh.lightning.force.com/0018X00003Sc7q2QAB"/>
    <m/>
    <m/>
    <m/>
    <m/>
    <m/>
    <m/>
    <m/>
    <m/>
    <m/>
    <m/>
    <m/>
    <m/>
    <m/>
    <m/>
    <m/>
    <m/>
    <m/>
    <m/>
    <m/>
    <m/>
    <m/>
    <m/>
    <m/>
    <m/>
    <m/>
    <m/>
    <m/>
    <m/>
    <m/>
    <m/>
    <m/>
    <m/>
    <m/>
    <m/>
    <m/>
    <m/>
    <m/>
    <m/>
    <s v="CAD"/>
    <m/>
    <s v="No"/>
    <s v="Freddy Gomez"/>
    <s v="Freddy Gomez"/>
    <d v="2026-02-09T11:35:54"/>
    <s v="Promoter"/>
    <s v="Closed"/>
    <m/>
    <m/>
    <s v="Yes"/>
    <m/>
    <m/>
    <m/>
    <m/>
    <m/>
    <m/>
    <m/>
    <m/>
    <m/>
    <m/>
    <m/>
    <m/>
    <m/>
    <m/>
    <m/>
    <m/>
    <m/>
    <m/>
    <m/>
    <m/>
    <m/>
    <s v="It wasn’t clear that I couldn’t submit a quote when check out was closed"/>
    <m/>
    <m/>
    <m/>
    <m/>
    <m/>
    <m/>
    <m/>
    <m/>
    <m/>
    <m/>
    <m/>
    <m/>
    <m/>
    <m/>
    <m/>
    <m/>
    <m/>
    <m/>
    <m/>
    <m/>
    <m/>
    <m/>
    <m/>
    <m/>
    <m/>
    <m/>
    <m/>
    <m/>
    <m/>
    <m/>
    <m/>
    <m/>
    <m/>
    <m/>
    <m/>
    <m/>
    <m/>
    <m/>
    <m/>
    <m/>
    <m/>
    <m/>
    <m/>
    <m/>
    <m/>
    <m/>
    <m/>
    <m/>
    <m/>
    <m/>
    <m/>
    <m/>
    <m/>
    <m/>
    <m/>
    <m/>
    <m/>
    <m/>
    <m/>
    <m/>
    <m/>
    <m/>
    <m/>
    <m/>
    <m/>
    <m/>
    <m/>
    <m/>
    <m/>
    <m/>
    <m/>
    <m/>
    <m/>
    <m/>
    <m/>
    <m/>
    <m/>
    <m/>
    <m/>
    <m/>
    <m/>
    <m/>
    <m/>
    <s v="It wasn’t clear that I couldn’t submit a quote when check out was clos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Hours of Operation &gt;, Trade In &gt; Overall Process &gt;"/>
    <m/>
    <m/>
    <s v="Trade In &gt; Overall Process &gt; (Negative)"/>
    <s v="B&amp;H &gt; Hours of Operation &gt; (Negative), Trade In &gt; Overall Process &gt; (Negative)"/>
    <s v="Yes"/>
    <s v="No"/>
    <m/>
    <x v="33"/>
    <x v="0"/>
    <x v="0"/>
    <m/>
    <x v="0"/>
    <x v="0"/>
  </r>
  <r>
    <s v="Susan Runo - Used Trade-In Product"/>
    <n v="10"/>
    <n v="5"/>
    <d v="2026-02-09T10:08:34"/>
    <n v="5198345"/>
    <s v="Used Trade-In Product"/>
    <m/>
    <s v="Susan Runo"/>
    <m/>
    <s v="apsbruno@gmail.com"/>
    <m/>
    <s v="Aurora;Ohio;44202"/>
    <m/>
    <m/>
    <s v="No"/>
    <m/>
    <m/>
    <s v="apsbruno@gmail.com"/>
    <m/>
    <m/>
    <m/>
    <m/>
    <m/>
    <m/>
    <m/>
    <m/>
    <m/>
    <d v="2026-02-09T13:34:11"/>
    <d v="2026-02-09T12:48:46"/>
    <m/>
    <s v="1139013"/>
    <m/>
    <m/>
    <m/>
    <m/>
    <m/>
    <m/>
    <m/>
    <m/>
    <m/>
    <m/>
    <m/>
    <m/>
    <m/>
    <m/>
    <m/>
    <m/>
    <m/>
    <m/>
    <m/>
    <m/>
    <m/>
    <m/>
    <s v="https://bnh.lightning.force.com/001WP00000rCcZTYA0"/>
    <m/>
    <m/>
    <m/>
    <m/>
    <m/>
    <m/>
    <m/>
    <m/>
    <m/>
    <m/>
    <m/>
    <m/>
    <m/>
    <m/>
    <m/>
    <m/>
    <m/>
    <m/>
    <m/>
    <m/>
    <m/>
    <m/>
    <m/>
    <m/>
    <m/>
    <m/>
    <m/>
    <m/>
    <m/>
    <m/>
    <m/>
    <m/>
    <m/>
    <m/>
    <m/>
    <m/>
    <m/>
    <m/>
    <s v="CAD"/>
    <m/>
    <s v="No"/>
    <s v="Freddy Gomez"/>
    <s v="Freddy Gomez"/>
    <d v="2026-02-09T10:09:04"/>
    <s v="Promoter"/>
    <s v="Closed"/>
    <m/>
    <m/>
    <s v="Yes"/>
    <m/>
    <m/>
    <m/>
    <m/>
    <m/>
    <m/>
    <m/>
    <m/>
    <m/>
    <m/>
    <m/>
    <m/>
    <m/>
    <m/>
    <m/>
    <m/>
    <s v="Super easy"/>
    <m/>
    <m/>
    <m/>
    <m/>
    <m/>
    <m/>
    <m/>
    <m/>
    <m/>
    <m/>
    <m/>
    <m/>
    <m/>
    <m/>
    <m/>
    <m/>
    <m/>
    <m/>
    <m/>
    <m/>
    <m/>
    <m/>
    <m/>
    <m/>
    <m/>
    <m/>
    <m/>
    <m/>
    <m/>
    <m/>
    <m/>
    <m/>
    <m/>
    <m/>
    <m/>
    <m/>
    <m/>
    <m/>
    <m/>
    <m/>
    <m/>
    <m/>
    <m/>
    <m/>
    <m/>
    <m/>
    <m/>
    <m/>
    <m/>
    <m/>
    <m/>
    <m/>
    <m/>
    <m/>
    <m/>
    <m/>
    <m/>
    <m/>
    <m/>
    <m/>
    <m/>
    <m/>
    <m/>
    <m/>
    <m/>
    <m/>
    <m/>
    <m/>
    <m/>
    <m/>
    <m/>
    <m/>
    <m/>
    <m/>
    <m/>
    <m/>
    <m/>
    <m/>
    <m/>
    <m/>
    <m/>
    <m/>
    <m/>
    <m/>
    <m/>
    <m/>
    <m/>
    <s v="Super eas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s v="N/A"/>
    <n v="5"/>
    <m/>
    <m/>
    <m/>
    <m/>
    <m/>
    <m/>
    <n v="5"/>
    <n v="3"/>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John Murphy - Used Trade-In Product"/>
    <n v="9"/>
    <n v="5"/>
    <d v="2026-02-08T11:23:27"/>
    <n v="5196561"/>
    <s v="Used Trade-In Product"/>
    <m/>
    <s v="John Murphy"/>
    <m/>
    <s v="jrmurphy1@me.com"/>
    <m/>
    <s v="New Orleans;Louisiana;70131"/>
    <s v="New Orleans;Louisiana;70131"/>
    <s v="11 years 8 months"/>
    <s v="No"/>
    <m/>
    <m/>
    <s v="jrmurphy1@me.com"/>
    <s v="140"/>
    <m/>
    <m/>
    <m/>
    <m/>
    <m/>
    <m/>
    <m/>
    <m/>
    <d v="2026-02-09T10:50:06"/>
    <d v="2026-01-26T19:13:30"/>
    <m/>
    <s v="1136840"/>
    <m/>
    <m/>
    <m/>
    <m/>
    <m/>
    <m/>
    <m/>
    <m/>
    <m/>
    <m/>
    <m/>
    <m/>
    <m/>
    <m/>
    <m/>
    <m/>
    <m/>
    <m/>
    <m/>
    <m/>
    <m/>
    <m/>
    <s v="https://bnh.lightning.force.com/0011a00000FzOQbAAN"/>
    <m/>
    <m/>
    <m/>
    <m/>
    <m/>
    <m/>
    <m/>
    <m/>
    <m/>
    <m/>
    <m/>
    <m/>
    <m/>
    <m/>
    <m/>
    <m/>
    <m/>
    <m/>
    <m/>
    <m/>
    <m/>
    <m/>
    <m/>
    <m/>
    <m/>
    <m/>
    <m/>
    <m/>
    <m/>
    <m/>
    <m/>
    <m/>
    <m/>
    <m/>
    <m/>
    <m/>
    <m/>
    <m/>
    <s v="CAD"/>
    <m/>
    <s v="No"/>
    <s v="Andrea Garcia"/>
    <s v="Andrea Garcia"/>
    <d v="2026-02-08T11:22:07"/>
    <s v="Promoter"/>
    <s v="Closed"/>
    <m/>
    <m/>
    <s v="Yes"/>
    <m/>
    <m/>
    <m/>
    <m/>
    <m/>
    <m/>
    <m/>
    <m/>
    <m/>
    <m/>
    <m/>
    <m/>
    <m/>
    <m/>
    <m/>
    <m/>
    <s v="I got slightly more than the quote. They gave me a good honest experience"/>
    <m/>
    <m/>
    <m/>
    <m/>
    <s v="Nothing"/>
    <m/>
    <m/>
    <m/>
    <m/>
    <m/>
    <m/>
    <m/>
    <m/>
    <m/>
    <m/>
    <m/>
    <m/>
    <m/>
    <m/>
    <m/>
    <m/>
    <m/>
    <m/>
    <m/>
    <m/>
    <m/>
    <m/>
    <m/>
    <m/>
    <m/>
    <m/>
    <m/>
    <m/>
    <m/>
    <m/>
    <m/>
    <m/>
    <m/>
    <m/>
    <m/>
    <m/>
    <m/>
    <m/>
    <m/>
    <m/>
    <m/>
    <m/>
    <m/>
    <m/>
    <m/>
    <m/>
    <m/>
    <m/>
    <m/>
    <m/>
    <m/>
    <m/>
    <m/>
    <m/>
    <m/>
    <m/>
    <m/>
    <m/>
    <m/>
    <m/>
    <m/>
    <m/>
    <m/>
    <m/>
    <m/>
    <m/>
    <m/>
    <m/>
    <m/>
    <m/>
    <m/>
    <m/>
    <m/>
    <m/>
    <m/>
    <m/>
    <m/>
    <m/>
    <m/>
    <m/>
    <m/>
    <m/>
    <s v="I got slightly more than the quote. They gave me a good honest experienc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s v="N/A"/>
    <n v="5"/>
    <n v="5"/>
    <m/>
    <m/>
    <m/>
    <m/>
    <m/>
    <m/>
    <m/>
    <m/>
    <m/>
    <m/>
    <m/>
    <m/>
    <m/>
    <m/>
    <m/>
    <m/>
    <m/>
    <m/>
    <m/>
    <m/>
    <m/>
    <m/>
    <m/>
    <m/>
    <m/>
    <m/>
    <m/>
    <m/>
    <m/>
    <m/>
    <m/>
    <m/>
    <m/>
    <m/>
    <m/>
    <m/>
    <m/>
    <m/>
    <m/>
    <m/>
    <m/>
    <m/>
    <m/>
    <m/>
    <m/>
    <m/>
    <m/>
    <m/>
    <m/>
    <m/>
    <m/>
    <m/>
    <m/>
    <m/>
    <m/>
    <m/>
    <m/>
    <m/>
    <m/>
    <m/>
    <m/>
    <m/>
    <m/>
    <m/>
    <m/>
    <m/>
    <m/>
    <m/>
    <m/>
    <m/>
    <m/>
    <m/>
    <m/>
    <m/>
    <m/>
    <m/>
    <m/>
    <m/>
    <m/>
    <m/>
    <m/>
    <m/>
    <m/>
    <m/>
    <m/>
    <m/>
    <m/>
    <m/>
    <m/>
    <m/>
    <m/>
    <m/>
    <m/>
    <m/>
    <m/>
    <m/>
    <m/>
    <m/>
    <m/>
    <m/>
    <m/>
    <s v="Trade In &gt; Overall Process &gt;"/>
    <s v="B&amp;H &gt; Reliable / Trustworthy &gt;, Trade In &gt; Overall Process &gt;, Trade In &gt; Quote Price &gt;"/>
    <m/>
    <m/>
    <s v="Trade In &gt; Overall Process &gt; (No opinion)"/>
    <s v="B&amp;H &gt; Reliable / Trustworthy &gt; (Positive), Trade In &gt; Overall Process &gt; (Positive), Trade In &gt; Quote Price &gt; (Positive)"/>
    <s v="Yes"/>
    <s v="Yes"/>
    <m/>
    <x v="15"/>
    <x v="32"/>
    <x v="0"/>
    <m/>
    <x v="0"/>
    <x v="0"/>
  </r>
  <r>
    <s v="James Thornton - Used Trade-In Product"/>
    <n v="10"/>
    <n v="5"/>
    <d v="2026-02-07T18:43:57"/>
    <n v="5195770"/>
    <s v="Used Trade-In Product"/>
    <m/>
    <s v="James Thornton"/>
    <m/>
    <s v="jim@photosbyelenaandjim.com"/>
    <m/>
    <s v="Phoenix;Arizona;85032"/>
    <s v="Phoenix;Arizona;85032"/>
    <s v="3 years 11 months"/>
    <s v="No"/>
    <m/>
    <m/>
    <s v="jim@photosbyelenaandjim.com"/>
    <s v="47"/>
    <m/>
    <m/>
    <m/>
    <m/>
    <m/>
    <m/>
    <m/>
    <m/>
    <d v="2026-02-09T09:04:49"/>
    <d v="2026-02-06T12:51:50"/>
    <m/>
    <s v="1136793"/>
    <m/>
    <m/>
    <m/>
    <m/>
    <m/>
    <m/>
    <m/>
    <m/>
    <m/>
    <m/>
    <m/>
    <m/>
    <m/>
    <m/>
    <m/>
    <m/>
    <m/>
    <m/>
    <m/>
    <m/>
    <m/>
    <m/>
    <s v="https://bnh.lightning.force.com/0012L00001LfpKlQAJ"/>
    <m/>
    <m/>
    <m/>
    <m/>
    <m/>
    <m/>
    <m/>
    <m/>
    <m/>
    <m/>
    <m/>
    <m/>
    <m/>
    <m/>
    <m/>
    <m/>
    <m/>
    <m/>
    <m/>
    <m/>
    <m/>
    <m/>
    <m/>
    <m/>
    <m/>
    <m/>
    <m/>
    <m/>
    <m/>
    <m/>
    <m/>
    <m/>
    <m/>
    <m/>
    <m/>
    <m/>
    <m/>
    <m/>
    <s v="CAD"/>
    <m/>
    <s v="No"/>
    <s v="Aine Hoye"/>
    <s v="Aine Hoye"/>
    <d v="2026-02-07T18:39:42"/>
    <s v="Promoter"/>
    <s v="Closed"/>
    <m/>
    <m/>
    <s v="Yes"/>
    <m/>
    <m/>
    <m/>
    <m/>
    <m/>
    <m/>
    <m/>
    <m/>
    <m/>
    <m/>
    <m/>
    <m/>
    <m/>
    <m/>
    <m/>
    <m/>
    <s v="The process is simple to go through and thought the price offered was reasonable."/>
    <m/>
    <m/>
    <m/>
    <m/>
    <s v="Did not realize how long the process would take after you received the item. I did receive an email notifying me that you received the item but did not hear for a week after that. I guess I was a little inpatient."/>
    <m/>
    <m/>
    <m/>
    <m/>
    <m/>
    <m/>
    <m/>
    <m/>
    <m/>
    <m/>
    <m/>
    <m/>
    <m/>
    <m/>
    <m/>
    <m/>
    <m/>
    <m/>
    <m/>
    <m/>
    <m/>
    <m/>
    <m/>
    <m/>
    <m/>
    <m/>
    <m/>
    <m/>
    <m/>
    <m/>
    <m/>
    <m/>
    <m/>
    <m/>
    <m/>
    <m/>
    <m/>
    <m/>
    <m/>
    <m/>
    <m/>
    <m/>
    <m/>
    <m/>
    <m/>
    <m/>
    <m/>
    <m/>
    <m/>
    <m/>
    <m/>
    <m/>
    <m/>
    <m/>
    <m/>
    <m/>
    <m/>
    <m/>
    <m/>
    <m/>
    <m/>
    <m/>
    <m/>
    <m/>
    <m/>
    <m/>
    <m/>
    <m/>
    <m/>
    <m/>
    <m/>
    <m/>
    <m/>
    <m/>
    <m/>
    <m/>
    <m/>
    <m/>
    <m/>
    <m/>
    <m/>
    <m/>
    <s v="The process is simple to go through and thought the price offered was reasonable."/>
    <s v="Did not realize how long the process would take after you received the item. I did receive an email notifying me that you received the item but did not hear for a week after that. I guess I was a little inpati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Pricing &gt;"/>
    <s v="Trade In &gt; Overall Process &gt;, Trade In &gt; Quote Price &gt;, Trade In &gt; Timeliness of Quote &gt;"/>
    <m/>
    <m/>
    <s v="Pricing &gt; Value for Money &gt; (Positive), Trade In &gt; Overall Process &gt; (Negative), Trade In &gt; Overall Process &gt; (Positive), Trade In &gt; Quote Price &gt; (Positive), Used &gt; Pricing &gt; (Positive)"/>
    <s v="Trade In &gt; Overall Process &gt; (Positive), Trade In &gt; Quote Price &gt; (Positive), Trade In &gt; Timeliness of Quote &gt; (Negative)"/>
    <s v="Yes"/>
    <s v="No"/>
    <m/>
    <x v="25"/>
    <x v="18"/>
    <x v="4"/>
    <s v="Wants status updates"/>
    <x v="0"/>
    <x v="0"/>
  </r>
  <r>
    <s v="Samantha Davis - Used Trade-In Product"/>
    <n v="10"/>
    <n v="5"/>
    <d v="2026-02-07T16:55:11"/>
    <n v="5195731"/>
    <s v="Used Trade-In Product"/>
    <m/>
    <s v="Samantha Davis"/>
    <m/>
    <s v="sdphotographyobx@gmail.com"/>
    <m/>
    <s v="Manteo;North Carolina;27954"/>
    <s v="Manteo;North Carolina;27954"/>
    <s v="3 years 1 months"/>
    <s v="No"/>
    <m/>
    <m/>
    <s v="sdphotographyobx@gmail.com"/>
    <s v="37"/>
    <m/>
    <m/>
    <m/>
    <m/>
    <m/>
    <m/>
    <m/>
    <m/>
    <d v="2026-02-09T09:02:28"/>
    <d v="2026-02-06T12:50:15"/>
    <m/>
    <s v="1138132"/>
    <m/>
    <m/>
    <m/>
    <m/>
    <m/>
    <m/>
    <m/>
    <m/>
    <m/>
    <m/>
    <m/>
    <m/>
    <m/>
    <m/>
    <m/>
    <m/>
    <m/>
    <m/>
    <m/>
    <m/>
    <m/>
    <m/>
    <s v="https://bnh.lightning.force.com/0018X00003AViO7QAL"/>
    <m/>
    <m/>
    <m/>
    <m/>
    <m/>
    <m/>
    <m/>
    <m/>
    <m/>
    <m/>
    <m/>
    <m/>
    <m/>
    <m/>
    <m/>
    <m/>
    <m/>
    <m/>
    <m/>
    <m/>
    <m/>
    <m/>
    <m/>
    <m/>
    <m/>
    <m/>
    <m/>
    <m/>
    <m/>
    <m/>
    <m/>
    <m/>
    <m/>
    <m/>
    <m/>
    <m/>
    <m/>
    <m/>
    <s v="CAD"/>
    <m/>
    <s v="No"/>
    <s v="Aine Hoye"/>
    <s v="Aine Hoye"/>
    <d v="2026-02-07T16:55:06"/>
    <s v="Promoter"/>
    <s v="Closed"/>
    <m/>
    <m/>
    <s v="Yes"/>
    <m/>
    <m/>
    <m/>
    <m/>
    <m/>
    <m/>
    <m/>
    <m/>
    <m/>
    <m/>
    <m/>
    <m/>
    <m/>
    <m/>
    <m/>
    <m/>
    <s v="Easy to do and free shipping label"/>
    <m/>
    <m/>
    <m/>
    <m/>
    <s v="Took a little long to have my items evaluated"/>
    <m/>
    <m/>
    <m/>
    <m/>
    <m/>
    <m/>
    <m/>
    <m/>
    <m/>
    <m/>
    <m/>
    <m/>
    <m/>
    <m/>
    <m/>
    <m/>
    <m/>
    <m/>
    <m/>
    <m/>
    <m/>
    <m/>
    <m/>
    <m/>
    <m/>
    <m/>
    <m/>
    <m/>
    <m/>
    <m/>
    <m/>
    <m/>
    <m/>
    <m/>
    <m/>
    <m/>
    <m/>
    <m/>
    <m/>
    <m/>
    <m/>
    <m/>
    <m/>
    <m/>
    <m/>
    <m/>
    <m/>
    <m/>
    <m/>
    <m/>
    <m/>
    <m/>
    <m/>
    <m/>
    <m/>
    <m/>
    <m/>
    <m/>
    <m/>
    <m/>
    <m/>
    <m/>
    <m/>
    <m/>
    <m/>
    <m/>
    <m/>
    <m/>
    <m/>
    <m/>
    <m/>
    <m/>
    <m/>
    <m/>
    <m/>
    <m/>
    <m/>
    <m/>
    <m/>
    <m/>
    <m/>
    <m/>
    <s v="Easy to do and free shipping label"/>
    <s v="Took a little long to have my items evalua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Pricing &gt; Delivery Fees &gt;"/>
    <s v="Trade In &gt; Overall Process &gt;, Trade In &gt; Timeliness of Quote &gt;"/>
    <m/>
    <m/>
    <s v="Pricing &gt; Delivery Fees &gt; (Positive)"/>
    <s v="Trade In &gt; Overall Process &gt; (Positive), Trade In &gt; Timeliness of Quote &gt; (Negative)"/>
    <s v="Yes"/>
    <s v="No"/>
    <m/>
    <x v="0"/>
    <x v="26"/>
    <x v="4"/>
    <m/>
    <x v="0"/>
    <x v="0"/>
  </r>
  <r>
    <s v="Hakim Benkrid - Used Trade-In Product"/>
    <n v="10"/>
    <n v="5"/>
    <d v="2026-02-07T08:42:02"/>
    <n v="5195516"/>
    <s v="Used Trade-In Product"/>
    <m/>
    <s v="Hakim Benkrid"/>
    <m/>
    <s v="hakimbenkrid@gmail.com"/>
    <m/>
    <s v="Macungie;Pennsylvania;18062"/>
    <s v="Macungie;Pennsylvania;18062"/>
    <s v="6 years 2 months"/>
    <s v="Yes"/>
    <m/>
    <m/>
    <s v="hakimbenkrid@gmail.com"/>
    <s v="74"/>
    <m/>
    <m/>
    <m/>
    <m/>
    <m/>
    <m/>
    <m/>
    <m/>
    <d v="2026-02-09T08:48:45"/>
    <d v="2026-02-06T12:52:49"/>
    <m/>
    <s v="1138084"/>
    <m/>
    <m/>
    <m/>
    <m/>
    <m/>
    <m/>
    <m/>
    <m/>
    <m/>
    <m/>
    <m/>
    <m/>
    <m/>
    <m/>
    <m/>
    <m/>
    <m/>
    <m/>
    <m/>
    <m/>
    <m/>
    <m/>
    <s v="https://bnh.lightning.force.com/001WP00000qjSKUYA2"/>
    <m/>
    <m/>
    <m/>
    <m/>
    <m/>
    <m/>
    <m/>
    <m/>
    <m/>
    <m/>
    <m/>
    <m/>
    <m/>
    <m/>
    <m/>
    <m/>
    <m/>
    <m/>
    <m/>
    <m/>
    <m/>
    <m/>
    <m/>
    <m/>
    <m/>
    <m/>
    <m/>
    <m/>
    <m/>
    <m/>
    <m/>
    <m/>
    <m/>
    <m/>
    <m/>
    <m/>
    <m/>
    <m/>
    <s v="CAD"/>
    <m/>
    <s v="No"/>
    <s v="Aine Hoye"/>
    <s v="Aine Hoye"/>
    <d v="2026-02-07T08:40:58"/>
    <s v="Promoter"/>
    <s v="Closed"/>
    <m/>
    <m/>
    <s v="Yes"/>
    <m/>
    <m/>
    <m/>
    <m/>
    <m/>
    <m/>
    <m/>
    <m/>
    <m/>
    <m/>
    <m/>
    <m/>
    <m/>
    <m/>
    <m/>
    <m/>
    <s v="Professional handling of my gear"/>
    <m/>
    <m/>
    <m/>
    <m/>
    <s v="None"/>
    <m/>
    <m/>
    <m/>
    <m/>
    <m/>
    <m/>
    <m/>
    <m/>
    <m/>
    <m/>
    <m/>
    <m/>
    <m/>
    <m/>
    <m/>
    <m/>
    <m/>
    <m/>
    <m/>
    <m/>
    <m/>
    <m/>
    <m/>
    <m/>
    <m/>
    <m/>
    <m/>
    <m/>
    <m/>
    <m/>
    <m/>
    <m/>
    <m/>
    <m/>
    <m/>
    <m/>
    <m/>
    <m/>
    <m/>
    <m/>
    <m/>
    <m/>
    <m/>
    <m/>
    <m/>
    <m/>
    <m/>
    <m/>
    <m/>
    <m/>
    <m/>
    <m/>
    <m/>
    <m/>
    <m/>
    <m/>
    <m/>
    <m/>
    <m/>
    <m/>
    <m/>
    <m/>
    <m/>
    <m/>
    <m/>
    <m/>
    <m/>
    <m/>
    <m/>
    <m/>
    <m/>
    <m/>
    <m/>
    <m/>
    <m/>
    <m/>
    <m/>
    <m/>
    <m/>
    <m/>
    <m/>
    <m/>
    <s v="Professional handling of my gear"/>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Reliable / Trustworthy &gt;, Trade In &gt; Overall Process &gt;"/>
    <m/>
    <m/>
    <m/>
    <s v="B&amp;H &gt; Reliable / Trustworthy &gt; (Positive), Trade In &gt; Overall Process &gt; (Positive)"/>
    <s v="Yes"/>
    <s v="No"/>
    <m/>
    <x v="34"/>
    <x v="0"/>
    <x v="0"/>
    <m/>
    <x v="0"/>
    <x v="0"/>
  </r>
  <r>
    <s v="Chris Rhea - Used Trade-In Product"/>
    <n v="10"/>
    <n v="5"/>
    <d v="2026-02-07T00:18:26"/>
    <n v="5195351"/>
    <s v="Used Trade-In Product"/>
    <m/>
    <s v="Chris Rhea"/>
    <m/>
    <s v="cmrhea62@gmail.com"/>
    <m/>
    <s v="Village Of Loch Lloyd;Missouri;64012"/>
    <s v="Belton;Missouri;64012"/>
    <s v="10 years 8 months"/>
    <s v="No"/>
    <m/>
    <m/>
    <s v="cmrhea62@gmail.com"/>
    <s v="128"/>
    <m/>
    <m/>
    <m/>
    <m/>
    <m/>
    <m/>
    <m/>
    <m/>
    <d v="2026-02-09T08:40:30"/>
    <d v="2026-02-06T12:52:04"/>
    <m/>
    <s v="1136189"/>
    <m/>
    <m/>
    <m/>
    <m/>
    <m/>
    <m/>
    <m/>
    <m/>
    <m/>
    <m/>
    <m/>
    <m/>
    <m/>
    <m/>
    <m/>
    <m/>
    <m/>
    <m/>
    <m/>
    <m/>
    <m/>
    <m/>
    <s v="https://bnh.lightning.force.com/001WP00000kgKeTYAU"/>
    <m/>
    <m/>
    <m/>
    <m/>
    <m/>
    <m/>
    <m/>
    <m/>
    <m/>
    <m/>
    <m/>
    <m/>
    <m/>
    <m/>
    <m/>
    <m/>
    <m/>
    <m/>
    <m/>
    <m/>
    <m/>
    <m/>
    <m/>
    <m/>
    <m/>
    <m/>
    <m/>
    <m/>
    <m/>
    <m/>
    <m/>
    <m/>
    <m/>
    <m/>
    <m/>
    <m/>
    <m/>
    <m/>
    <s v="CAD"/>
    <m/>
    <s v="No"/>
    <s v="Aine Hoye"/>
    <s v="Aine Hoye"/>
    <d v="2026-02-07T00:15:54"/>
    <s v="Promoter"/>
    <s v="Closed"/>
    <m/>
    <m/>
    <s v="Yes"/>
    <m/>
    <m/>
    <m/>
    <m/>
    <m/>
    <m/>
    <m/>
    <m/>
    <m/>
    <m/>
    <m/>
    <m/>
    <m/>
    <m/>
    <m/>
    <m/>
    <s v="Ease of selling my Canon lens."/>
    <m/>
    <m/>
    <m/>
    <m/>
    <s v="I thought the $ offered and received was a little low considering the lens was originally purchased at B&amp;H and was in virtually “like new” condition."/>
    <m/>
    <m/>
    <m/>
    <m/>
    <m/>
    <m/>
    <m/>
    <m/>
    <m/>
    <m/>
    <m/>
    <m/>
    <m/>
    <m/>
    <m/>
    <m/>
    <m/>
    <m/>
    <m/>
    <m/>
    <m/>
    <m/>
    <m/>
    <m/>
    <m/>
    <m/>
    <m/>
    <m/>
    <m/>
    <m/>
    <m/>
    <m/>
    <m/>
    <m/>
    <m/>
    <m/>
    <m/>
    <m/>
    <m/>
    <m/>
    <m/>
    <m/>
    <m/>
    <m/>
    <m/>
    <m/>
    <m/>
    <m/>
    <m/>
    <m/>
    <m/>
    <m/>
    <m/>
    <m/>
    <m/>
    <m/>
    <m/>
    <m/>
    <m/>
    <m/>
    <m/>
    <m/>
    <m/>
    <m/>
    <m/>
    <m/>
    <m/>
    <m/>
    <m/>
    <m/>
    <m/>
    <m/>
    <m/>
    <m/>
    <m/>
    <m/>
    <m/>
    <m/>
    <m/>
    <m/>
    <m/>
    <m/>
    <s v="Ease of selling my Canon lens."/>
    <s v="I thought the $ offered and received was a little low considering the lens was originally purchased at B&amp;H and was in virtually “like new” condi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s v="N/A"/>
    <n v="5"/>
    <m/>
    <m/>
    <m/>
    <m/>
    <m/>
    <m/>
    <n v="5"/>
    <n v="5"/>
    <n v="5"/>
    <n v="4"/>
    <m/>
    <m/>
    <m/>
    <m/>
    <m/>
    <m/>
    <m/>
    <m/>
    <m/>
    <m/>
    <m/>
    <m/>
    <m/>
    <m/>
    <m/>
    <m/>
    <m/>
    <m/>
    <m/>
    <m/>
    <m/>
    <m/>
    <m/>
    <m/>
    <m/>
    <m/>
    <m/>
    <m/>
    <m/>
    <m/>
    <m/>
    <m/>
    <m/>
    <m/>
    <m/>
    <m/>
    <m/>
    <m/>
    <m/>
    <m/>
    <m/>
    <m/>
    <m/>
    <m/>
    <m/>
    <m/>
    <m/>
    <m/>
    <m/>
    <m/>
    <m/>
    <m/>
    <m/>
    <m/>
    <m/>
    <m/>
    <m/>
    <m/>
    <m/>
    <m/>
    <m/>
    <m/>
    <m/>
    <m/>
    <m/>
    <m/>
    <m/>
    <m/>
    <m/>
    <m/>
    <m/>
    <m/>
    <m/>
    <m/>
    <m/>
    <m/>
    <m/>
    <m/>
    <m/>
    <m/>
    <m/>
    <m/>
    <m/>
    <m/>
    <m/>
    <m/>
    <m/>
    <m/>
    <m/>
    <m/>
    <m/>
    <m/>
    <m/>
    <m/>
    <m/>
    <m/>
    <m/>
    <m/>
    <m/>
    <m/>
    <m/>
    <m/>
    <s v="Trade In &gt; Overall Process &gt;, Trade In &gt; Quote Price &gt;"/>
    <m/>
    <m/>
    <m/>
    <s v="Trade In &gt; Overall Process &gt; (Positive), Trade In &gt; Quote Price &gt; (Negative)"/>
    <s v="Yes"/>
    <s v="Yes"/>
    <m/>
    <x v="5"/>
    <x v="8"/>
    <x v="0"/>
    <m/>
    <x v="0"/>
    <x v="0"/>
  </r>
  <r>
    <s v="Sean Gallagher - Used Trade-In Product"/>
    <n v="10"/>
    <n v="5"/>
    <d v="2026-02-06T14:43:59"/>
    <n v="5194707"/>
    <s v="Used Trade-In Product"/>
    <m/>
    <s v="Sean Gallagher"/>
    <m/>
    <s v="seangallagher8@gmail.com"/>
    <m/>
    <s v="Seattle;Washington;98115"/>
    <m/>
    <m/>
    <s v="No"/>
    <m/>
    <m/>
    <s v="seangallagher8@gmail.com"/>
    <m/>
    <m/>
    <m/>
    <m/>
    <m/>
    <m/>
    <m/>
    <m/>
    <m/>
    <d v="2026-02-09T08:14:58"/>
    <d v="2026-02-05T12:54:21"/>
    <m/>
    <s v="1136566"/>
    <m/>
    <m/>
    <m/>
    <m/>
    <m/>
    <m/>
    <m/>
    <m/>
    <m/>
    <m/>
    <m/>
    <m/>
    <m/>
    <m/>
    <m/>
    <m/>
    <m/>
    <m/>
    <m/>
    <m/>
    <m/>
    <m/>
    <s v="https://bnh.lightning.force.com/001WP00000psryFYAQ"/>
    <m/>
    <m/>
    <m/>
    <m/>
    <m/>
    <m/>
    <m/>
    <m/>
    <m/>
    <m/>
    <m/>
    <m/>
    <m/>
    <m/>
    <m/>
    <m/>
    <m/>
    <m/>
    <m/>
    <m/>
    <m/>
    <m/>
    <m/>
    <m/>
    <m/>
    <m/>
    <m/>
    <m/>
    <m/>
    <m/>
    <m/>
    <m/>
    <m/>
    <m/>
    <m/>
    <m/>
    <m/>
    <m/>
    <s v="CAD"/>
    <m/>
    <s v="No"/>
    <s v="Aine Hoye"/>
    <s v="Aine Hoye"/>
    <d v="2026-02-06T14:45:29"/>
    <s v="Promoter"/>
    <s v="Closed"/>
    <m/>
    <m/>
    <s v="Yes"/>
    <m/>
    <m/>
    <m/>
    <m/>
    <m/>
    <m/>
    <m/>
    <m/>
    <m/>
    <m/>
    <m/>
    <m/>
    <m/>
    <m/>
    <m/>
    <m/>
    <s v="Ease"/>
    <m/>
    <m/>
    <m/>
    <m/>
    <s v="Price"/>
    <m/>
    <m/>
    <m/>
    <m/>
    <m/>
    <m/>
    <m/>
    <m/>
    <m/>
    <m/>
    <m/>
    <m/>
    <m/>
    <m/>
    <m/>
    <m/>
    <m/>
    <m/>
    <m/>
    <m/>
    <m/>
    <m/>
    <m/>
    <m/>
    <m/>
    <m/>
    <m/>
    <m/>
    <m/>
    <m/>
    <m/>
    <m/>
    <m/>
    <m/>
    <m/>
    <m/>
    <m/>
    <m/>
    <m/>
    <m/>
    <m/>
    <m/>
    <m/>
    <m/>
    <m/>
    <m/>
    <m/>
    <m/>
    <m/>
    <m/>
    <m/>
    <m/>
    <m/>
    <m/>
    <m/>
    <m/>
    <m/>
    <m/>
    <m/>
    <m/>
    <m/>
    <m/>
    <m/>
    <m/>
    <m/>
    <m/>
    <m/>
    <m/>
    <m/>
    <m/>
    <m/>
    <m/>
    <m/>
    <m/>
    <m/>
    <m/>
    <m/>
    <m/>
    <m/>
    <m/>
    <m/>
    <m/>
    <s v="Ease"/>
    <s v="Pr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5"/>
    <m/>
    <m/>
    <m/>
    <m/>
    <m/>
    <m/>
    <m/>
    <m/>
    <m/>
    <m/>
    <m/>
    <m/>
    <m/>
    <m/>
    <m/>
    <m/>
    <m/>
    <m/>
    <m/>
    <m/>
    <m/>
    <m/>
    <m/>
    <m/>
    <m/>
    <m/>
    <m/>
    <m/>
    <m/>
    <m/>
    <m/>
    <m/>
    <m/>
    <m/>
    <m/>
    <m/>
    <m/>
    <m/>
    <m/>
    <m/>
    <m/>
    <m/>
    <m/>
    <m/>
    <m/>
    <m/>
    <m/>
    <m/>
    <m/>
    <m/>
    <m/>
    <m/>
    <m/>
    <m/>
    <m/>
    <m/>
    <m/>
    <m/>
    <m/>
    <m/>
    <m/>
    <m/>
    <m/>
    <m/>
    <m/>
    <m/>
    <m/>
    <m/>
    <m/>
    <m/>
    <m/>
    <m/>
    <m/>
    <m/>
    <m/>
    <m/>
    <m/>
    <m/>
    <m/>
    <m/>
    <m/>
    <m/>
    <m/>
    <m/>
    <m/>
    <m/>
    <m/>
    <m/>
    <m/>
    <m/>
    <m/>
    <m/>
    <m/>
    <m/>
    <m/>
    <m/>
    <m/>
    <m/>
    <m/>
    <m/>
    <m/>
    <s v="Used &gt; Pricing &gt;"/>
    <s v="Trade In &gt; Overall Process &gt;, Trade In &gt; Quote Price &gt;"/>
    <m/>
    <m/>
    <s v="Used &gt; Pricing &gt; (No opinion)"/>
    <s v="Trade In &gt; Overall Process &gt; (Positive), Trade In &gt; Quote Price &gt; (Negative)"/>
    <s v="Yes"/>
    <s v="Yes"/>
    <m/>
    <x v="5"/>
    <x v="8"/>
    <x v="0"/>
    <m/>
    <x v="0"/>
    <x v="0"/>
  </r>
  <r>
    <s v="Kenneth Kohan - Used Trade-In Product"/>
    <n v="10"/>
    <n v="4"/>
    <d v="2026-02-06T14:21:49"/>
    <n v="5194558"/>
    <s v="Used Trade-In Product"/>
    <m/>
    <s v="Kenneth Kohan"/>
    <m/>
    <s v="kohank@comcast.net"/>
    <m/>
    <s v="Amesbury;Massachusetts;01913"/>
    <m/>
    <s v="24 years 2 months"/>
    <s v="No"/>
    <m/>
    <m/>
    <s v="kohank@comcast.net"/>
    <s v="290"/>
    <m/>
    <m/>
    <m/>
    <m/>
    <m/>
    <m/>
    <m/>
    <m/>
    <d v="2026-02-09T08:05:06"/>
    <d v="2026-02-06T12:50:39"/>
    <m/>
    <s v="1137741"/>
    <m/>
    <m/>
    <m/>
    <m/>
    <m/>
    <m/>
    <m/>
    <m/>
    <m/>
    <m/>
    <m/>
    <m/>
    <m/>
    <m/>
    <m/>
    <m/>
    <m/>
    <m/>
    <m/>
    <m/>
    <m/>
    <m/>
    <s v="https://bnh.lightning.force.com/001WP00000jmnptYAA"/>
    <m/>
    <m/>
    <m/>
    <m/>
    <m/>
    <m/>
    <m/>
    <m/>
    <m/>
    <m/>
    <m/>
    <m/>
    <m/>
    <m/>
    <m/>
    <m/>
    <m/>
    <m/>
    <m/>
    <m/>
    <m/>
    <m/>
    <m/>
    <m/>
    <m/>
    <m/>
    <m/>
    <m/>
    <m/>
    <m/>
    <m/>
    <m/>
    <m/>
    <m/>
    <m/>
    <m/>
    <m/>
    <m/>
    <s v="CAD"/>
    <m/>
    <s v="No"/>
    <s v="Aine Hoye"/>
    <s v="Aine Hoye"/>
    <d v="2026-02-06T13:57:13"/>
    <s v="Promoter"/>
    <s v="Closed"/>
    <m/>
    <m/>
    <s v="Yes"/>
    <m/>
    <m/>
    <m/>
    <m/>
    <m/>
    <m/>
    <m/>
    <m/>
    <m/>
    <m/>
    <m/>
    <m/>
    <m/>
    <m/>
    <m/>
    <m/>
    <s v="B&amp;H quoted a very reasonable  price for my used equipment. This excellant service has been very consistent over the year."/>
    <m/>
    <m/>
    <m/>
    <m/>
    <s v="This time It took longer to recieve the payment for my used equipment. To be fair, B&amp;H stated upfront that the evaluation service was running late due to high demand."/>
    <m/>
    <m/>
    <m/>
    <m/>
    <m/>
    <m/>
    <m/>
    <m/>
    <m/>
    <m/>
    <m/>
    <m/>
    <m/>
    <m/>
    <m/>
    <m/>
    <m/>
    <m/>
    <m/>
    <m/>
    <m/>
    <m/>
    <m/>
    <m/>
    <m/>
    <m/>
    <m/>
    <m/>
    <m/>
    <m/>
    <m/>
    <m/>
    <m/>
    <m/>
    <m/>
    <m/>
    <m/>
    <m/>
    <m/>
    <m/>
    <m/>
    <m/>
    <m/>
    <m/>
    <m/>
    <m/>
    <m/>
    <m/>
    <m/>
    <m/>
    <m/>
    <m/>
    <m/>
    <m/>
    <m/>
    <m/>
    <m/>
    <m/>
    <m/>
    <m/>
    <m/>
    <m/>
    <m/>
    <m/>
    <m/>
    <m/>
    <m/>
    <m/>
    <m/>
    <m/>
    <m/>
    <m/>
    <m/>
    <m/>
    <m/>
    <m/>
    <m/>
    <m/>
    <m/>
    <m/>
    <m/>
    <m/>
    <s v="B&amp;H quoted a very reasonable  price for my used equipment. This excellant service has been very consistent over the year."/>
    <s v="This time It took longer to recieve the payment for my used equipment. To be fair, B&amp;H stated upfront that the evaluation service was running late due to high deman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4"/>
    <m/>
    <m/>
    <m/>
    <m/>
    <m/>
    <m/>
    <n v="4"/>
    <n v="4"/>
    <n v="5"/>
    <n v="3"/>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Trade In &gt; Timeliness of Payment &gt;"/>
    <m/>
    <m/>
    <s v="Pricing &gt; Value for Money &gt; (Positive), Trade In &gt; Quote Price &gt; (Positive), Used &gt; Pricing &gt; (Positive)"/>
    <s v="Trade In &gt; Overall Process &gt; (Positive), Trade In &gt; Quote Price &gt; (Positive), Trade In &gt; Timeliness of Payment &gt; (Negative)"/>
    <s v="Yes"/>
    <s v="Yes"/>
    <m/>
    <x v="3"/>
    <x v="4"/>
    <x v="9"/>
    <m/>
    <x v="0"/>
    <x v="0"/>
  </r>
  <r>
    <s v="Paul Malone - Used Trade-In Product"/>
    <n v="10"/>
    <n v="5"/>
    <d v="2026-02-06T12:45:02"/>
    <n v="5194414"/>
    <s v="Used Trade-In Product"/>
    <m/>
    <s v="Paul Malone"/>
    <m/>
    <s v="paulmalone1@gmail.com"/>
    <m/>
    <s v="Long Beach;New York;11561"/>
    <s v="Long Beach;New York;11561"/>
    <s v="16 years 1 months"/>
    <s v="No"/>
    <m/>
    <m/>
    <s v="paulmalone1@gmail.com"/>
    <s v="193"/>
    <m/>
    <m/>
    <m/>
    <m/>
    <m/>
    <m/>
    <m/>
    <m/>
    <d v="2026-02-09T10:28:23"/>
    <d v="2026-02-06T15:20:46"/>
    <m/>
    <s v="1143043"/>
    <m/>
    <m/>
    <m/>
    <m/>
    <m/>
    <m/>
    <m/>
    <m/>
    <m/>
    <m/>
    <m/>
    <m/>
    <m/>
    <m/>
    <m/>
    <m/>
    <m/>
    <m/>
    <m/>
    <m/>
    <m/>
    <m/>
    <s v="https://bnh.lightning.force.com/0011a00000G5zJeAAJ"/>
    <m/>
    <m/>
    <m/>
    <m/>
    <m/>
    <m/>
    <m/>
    <m/>
    <m/>
    <m/>
    <m/>
    <m/>
    <m/>
    <m/>
    <m/>
    <m/>
    <m/>
    <m/>
    <m/>
    <m/>
    <m/>
    <m/>
    <m/>
    <m/>
    <m/>
    <m/>
    <m/>
    <m/>
    <m/>
    <m/>
    <m/>
    <m/>
    <m/>
    <m/>
    <m/>
    <m/>
    <m/>
    <m/>
    <s v="CAD"/>
    <m/>
    <s v="No"/>
    <s v="Andrea Garcia"/>
    <s v="Andrea Garcia"/>
    <d v="2026-02-06T12:45:13"/>
    <s v="Promoter"/>
    <s v="Closed"/>
    <m/>
    <m/>
    <s v="Yes"/>
    <m/>
    <m/>
    <m/>
    <m/>
    <m/>
    <m/>
    <m/>
    <m/>
    <m/>
    <m/>
    <m/>
    <m/>
    <m/>
    <m/>
    <m/>
    <m/>
    <s v="Being able to do a quote online, have some idea of how my gear would be valued, and then going to the store and seeing the prices be honored."/>
    <m/>
    <m/>
    <m/>
    <m/>
    <s v="Nothing."/>
    <m/>
    <m/>
    <m/>
    <m/>
    <m/>
    <m/>
    <m/>
    <m/>
    <m/>
    <m/>
    <m/>
    <m/>
    <m/>
    <m/>
    <m/>
    <m/>
    <m/>
    <m/>
    <m/>
    <m/>
    <m/>
    <m/>
    <m/>
    <m/>
    <m/>
    <m/>
    <m/>
    <m/>
    <m/>
    <m/>
    <m/>
    <m/>
    <m/>
    <m/>
    <m/>
    <m/>
    <m/>
    <m/>
    <m/>
    <m/>
    <m/>
    <m/>
    <m/>
    <m/>
    <m/>
    <m/>
    <m/>
    <m/>
    <m/>
    <m/>
    <m/>
    <m/>
    <m/>
    <m/>
    <m/>
    <m/>
    <m/>
    <m/>
    <m/>
    <m/>
    <m/>
    <m/>
    <m/>
    <m/>
    <m/>
    <m/>
    <m/>
    <m/>
    <m/>
    <m/>
    <m/>
    <m/>
    <m/>
    <m/>
    <m/>
    <m/>
    <m/>
    <m/>
    <m/>
    <m/>
    <m/>
    <m/>
    <s v="Being able to do a quote online, have some idea of how my gear would be valued, and then going to the store and seeing the prices be honored."/>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Used &gt; Pricing &gt;"/>
    <s v="Trade In &gt; Overall Process &gt;, Trade In &gt; Quote Price &gt;"/>
    <m/>
    <m/>
    <s v="Used &gt; Pricing &gt; (Negative)"/>
    <s v="Trade In &gt; Overall Process &gt; (Positive), Trade In &gt; Quote Price &gt; (Positive)"/>
    <s v="Yes"/>
    <s v="Yes"/>
    <m/>
    <x v="13"/>
    <x v="9"/>
    <x v="16"/>
    <m/>
    <x v="0"/>
    <x v="0"/>
  </r>
  <r>
    <s v="Reynaldo Martinez - Used Trade-In Product"/>
    <n v="10"/>
    <n v="5"/>
    <d v="2026-02-06T12:35:34"/>
    <n v="5194383"/>
    <s v="Used Trade-In Product"/>
    <m/>
    <s v="Reynaldo Martinez"/>
    <m/>
    <s v="reymartinezz@gmail.com"/>
    <m/>
    <s v="North Bay Village;Florida;33141"/>
    <m/>
    <s v="10 years 10 months"/>
    <s v="Yes"/>
    <m/>
    <m/>
    <s v="reymartinezz@gmail.com"/>
    <s v="130"/>
    <m/>
    <m/>
    <m/>
    <m/>
    <m/>
    <m/>
    <m/>
    <m/>
    <d v="2026-02-09T10:24:54"/>
    <d v="2026-02-06T12:52:15"/>
    <m/>
    <s v="1137526"/>
    <m/>
    <m/>
    <m/>
    <m/>
    <m/>
    <m/>
    <m/>
    <m/>
    <m/>
    <m/>
    <m/>
    <m/>
    <m/>
    <m/>
    <m/>
    <m/>
    <m/>
    <m/>
    <m/>
    <m/>
    <m/>
    <m/>
    <s v="https://bnh.lightning.force.com/0011a00000G6b6gAAB"/>
    <m/>
    <m/>
    <m/>
    <m/>
    <m/>
    <m/>
    <m/>
    <m/>
    <m/>
    <m/>
    <m/>
    <m/>
    <m/>
    <m/>
    <m/>
    <m/>
    <m/>
    <m/>
    <m/>
    <m/>
    <m/>
    <m/>
    <m/>
    <m/>
    <m/>
    <m/>
    <m/>
    <m/>
    <m/>
    <m/>
    <m/>
    <m/>
    <m/>
    <m/>
    <m/>
    <m/>
    <m/>
    <m/>
    <s v="CAD"/>
    <m/>
    <s v="No"/>
    <s v="Andrea Garcia"/>
    <s v="Andrea Garcia"/>
    <d v="2026-02-06T12:34:05"/>
    <s v="Promoter"/>
    <s v="Closed"/>
    <m/>
    <m/>
    <s v="Yes"/>
    <m/>
    <m/>
    <m/>
    <m/>
    <m/>
    <m/>
    <m/>
    <m/>
    <m/>
    <m/>
    <m/>
    <m/>
    <m/>
    <m/>
    <m/>
    <m/>
    <s v="seriousness..."/>
    <m/>
    <m/>
    <m/>
    <m/>
    <s v="In some cases, they are slow to pay."/>
    <m/>
    <m/>
    <m/>
    <m/>
    <m/>
    <m/>
    <m/>
    <m/>
    <m/>
    <m/>
    <m/>
    <m/>
    <m/>
    <m/>
    <m/>
    <m/>
    <m/>
    <m/>
    <m/>
    <m/>
    <m/>
    <m/>
    <m/>
    <m/>
    <m/>
    <m/>
    <m/>
    <m/>
    <m/>
    <m/>
    <m/>
    <m/>
    <m/>
    <m/>
    <m/>
    <m/>
    <m/>
    <m/>
    <m/>
    <m/>
    <m/>
    <m/>
    <m/>
    <m/>
    <m/>
    <m/>
    <m/>
    <m/>
    <m/>
    <m/>
    <m/>
    <m/>
    <m/>
    <m/>
    <m/>
    <m/>
    <m/>
    <m/>
    <m/>
    <m/>
    <m/>
    <m/>
    <m/>
    <m/>
    <m/>
    <m/>
    <m/>
    <m/>
    <m/>
    <m/>
    <m/>
    <m/>
    <m/>
    <m/>
    <m/>
    <m/>
    <m/>
    <m/>
    <m/>
    <m/>
    <m/>
    <m/>
    <s v="seriousness..."/>
    <s v="In some cases, they are slow to pa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s v="N/A"/>
    <m/>
    <m/>
    <m/>
    <m/>
    <s v="N/A"/>
    <s v="N/A"/>
    <m/>
    <m/>
    <m/>
    <m/>
    <m/>
    <m/>
    <s v="N/A"/>
    <s v="N/A"/>
    <s v="N/A"/>
    <s v="N/A"/>
    <m/>
    <m/>
    <m/>
    <m/>
    <m/>
    <m/>
    <m/>
    <m/>
    <m/>
    <m/>
    <m/>
    <m/>
    <m/>
    <m/>
    <m/>
    <m/>
    <m/>
    <m/>
    <m/>
    <m/>
    <m/>
    <m/>
    <m/>
    <m/>
    <m/>
    <m/>
    <m/>
    <m/>
    <m/>
    <m/>
    <m/>
    <m/>
    <m/>
    <m/>
    <m/>
    <m/>
    <m/>
    <m/>
    <m/>
    <m/>
    <m/>
    <m/>
    <m/>
    <m/>
    <m/>
    <m/>
    <m/>
    <m/>
    <m/>
    <m/>
    <m/>
    <m/>
    <m/>
    <m/>
    <m/>
    <m/>
    <m/>
    <m/>
    <m/>
    <m/>
    <m/>
    <m/>
    <m/>
    <m/>
    <m/>
    <m/>
    <m/>
    <m/>
    <m/>
    <m/>
    <m/>
    <m/>
    <m/>
    <m/>
    <m/>
    <m/>
    <m/>
    <m/>
    <m/>
    <m/>
    <m/>
    <m/>
    <m/>
    <m/>
    <m/>
    <m/>
    <m/>
    <m/>
    <m/>
    <m/>
    <m/>
    <m/>
    <m/>
    <m/>
    <m/>
    <m/>
    <m/>
    <m/>
    <m/>
    <m/>
    <m/>
    <s v="Trade In &gt; Timeliness of Payment &gt;"/>
    <s v="Trade In &gt; Overall Process &gt;, Trade In &gt; Timeliness of Payment &gt;"/>
    <m/>
    <m/>
    <s v="Trade In &gt; Timeliness of Payment &gt; (Negative)"/>
    <s v="Trade In &gt; Overall Process &gt; (Positive), Trade In &gt; Timeliness of Payment &gt; (Negative)"/>
    <s v="Yes"/>
    <s v="Yes"/>
    <m/>
    <x v="35"/>
    <x v="0"/>
    <x v="0"/>
    <m/>
    <x v="0"/>
    <x v="0"/>
  </r>
  <r>
    <s v="Hyung Lee - Used Trade-In Product"/>
    <n v="10"/>
    <n v="5"/>
    <d v="2026-02-06T12:18:06"/>
    <n v="5194342"/>
    <s v="Used Trade-In Product"/>
    <m/>
    <s v="Hyung Lee"/>
    <m/>
    <s v="lhs628@gmail.com"/>
    <m/>
    <s v="Glenview;Illinois;60025"/>
    <m/>
    <m/>
    <s v="No"/>
    <m/>
    <m/>
    <s v="lhs628@gmail.com"/>
    <m/>
    <m/>
    <m/>
    <m/>
    <m/>
    <m/>
    <m/>
    <m/>
    <m/>
    <d v="2026-02-09T13:27:21"/>
    <d v="2026-02-06T12:53:14"/>
    <m/>
    <s v="1138224"/>
    <m/>
    <m/>
    <m/>
    <m/>
    <m/>
    <m/>
    <m/>
    <m/>
    <m/>
    <m/>
    <m/>
    <m/>
    <m/>
    <m/>
    <m/>
    <m/>
    <m/>
    <m/>
    <m/>
    <m/>
    <m/>
    <m/>
    <s v="https://bnh.lightning.force.com/001WP00000qt62QYAQ"/>
    <m/>
    <m/>
    <m/>
    <m/>
    <m/>
    <m/>
    <m/>
    <m/>
    <m/>
    <m/>
    <m/>
    <m/>
    <m/>
    <m/>
    <m/>
    <m/>
    <m/>
    <m/>
    <m/>
    <m/>
    <m/>
    <m/>
    <m/>
    <m/>
    <m/>
    <m/>
    <m/>
    <m/>
    <m/>
    <m/>
    <m/>
    <m/>
    <m/>
    <m/>
    <m/>
    <m/>
    <m/>
    <m/>
    <s v="CAD"/>
    <m/>
    <s v="No"/>
    <s v="Freddy Gomez"/>
    <s v="Freddy Gomez"/>
    <d v="2026-02-06T12:18:52"/>
    <s v="Promoter"/>
    <s v="Closed"/>
    <m/>
    <m/>
    <s v="Yes"/>
    <m/>
    <m/>
    <m/>
    <m/>
    <m/>
    <m/>
    <m/>
    <m/>
    <m/>
    <m/>
    <m/>
    <m/>
    <m/>
    <m/>
    <m/>
    <m/>
    <s v="Easy straightforward process"/>
    <m/>
    <m/>
    <m/>
    <m/>
    <s v="None."/>
    <m/>
    <m/>
    <m/>
    <m/>
    <m/>
    <m/>
    <m/>
    <m/>
    <m/>
    <m/>
    <m/>
    <m/>
    <m/>
    <m/>
    <m/>
    <m/>
    <m/>
    <m/>
    <m/>
    <m/>
    <m/>
    <m/>
    <m/>
    <m/>
    <m/>
    <m/>
    <m/>
    <m/>
    <m/>
    <m/>
    <m/>
    <m/>
    <m/>
    <m/>
    <m/>
    <m/>
    <m/>
    <m/>
    <m/>
    <m/>
    <m/>
    <m/>
    <m/>
    <m/>
    <m/>
    <m/>
    <m/>
    <m/>
    <m/>
    <m/>
    <m/>
    <m/>
    <m/>
    <m/>
    <m/>
    <m/>
    <m/>
    <m/>
    <m/>
    <m/>
    <m/>
    <m/>
    <m/>
    <m/>
    <m/>
    <m/>
    <m/>
    <m/>
    <m/>
    <m/>
    <m/>
    <m/>
    <m/>
    <m/>
    <m/>
    <m/>
    <m/>
    <m/>
    <m/>
    <m/>
    <m/>
    <m/>
    <s v="Easy straightforward process"/>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Chuck Gilbert - Used Trade-In Product"/>
    <n v="10"/>
    <n v="5"/>
    <d v="2026-02-06T12:05:21"/>
    <n v="5194313"/>
    <s v="Used Trade-In Product"/>
    <m/>
    <s v="Chuck Gilbert"/>
    <m/>
    <s v="chuck.c.gilbert@gmail.com"/>
    <m/>
    <s v="Okemos;Michigan;48864"/>
    <s v="Lansing;Michigan;48911"/>
    <s v="8 years 11 months"/>
    <s v="No"/>
    <m/>
    <m/>
    <s v="chuck.c.gilbert@gmail.com"/>
    <s v="107"/>
    <m/>
    <m/>
    <m/>
    <m/>
    <m/>
    <m/>
    <m/>
    <m/>
    <d v="2026-02-09T13:23:21"/>
    <d v="2026-02-06T12:55:00"/>
    <m/>
    <s v="1140265"/>
    <m/>
    <m/>
    <m/>
    <m/>
    <m/>
    <m/>
    <m/>
    <m/>
    <m/>
    <m/>
    <m/>
    <m/>
    <m/>
    <m/>
    <m/>
    <m/>
    <m/>
    <m/>
    <m/>
    <m/>
    <m/>
    <m/>
    <s v="https://bnh.lightning.force.com/0011a00000e9f6KAAQ"/>
    <m/>
    <m/>
    <m/>
    <m/>
    <m/>
    <m/>
    <m/>
    <m/>
    <m/>
    <m/>
    <m/>
    <m/>
    <m/>
    <m/>
    <m/>
    <m/>
    <m/>
    <m/>
    <m/>
    <m/>
    <m/>
    <m/>
    <m/>
    <m/>
    <m/>
    <m/>
    <m/>
    <m/>
    <m/>
    <m/>
    <m/>
    <m/>
    <m/>
    <m/>
    <m/>
    <m/>
    <m/>
    <m/>
    <s v="CAD"/>
    <m/>
    <s v="No"/>
    <s v="Freddy Gomez"/>
    <s v="Freddy Gomez"/>
    <d v="2026-02-06T12:05:07"/>
    <s v="Promoter"/>
    <s v="Closed"/>
    <m/>
    <m/>
    <s v="Yes"/>
    <m/>
    <m/>
    <m/>
    <m/>
    <m/>
    <m/>
    <m/>
    <m/>
    <m/>
    <m/>
    <m/>
    <m/>
    <m/>
    <m/>
    <m/>
    <m/>
    <s v="B&amp;H offers exceptional customer service... would recommend them to anyone."/>
    <m/>
    <m/>
    <m/>
    <m/>
    <m/>
    <m/>
    <m/>
    <m/>
    <m/>
    <m/>
    <m/>
    <m/>
    <m/>
    <m/>
    <m/>
    <m/>
    <m/>
    <m/>
    <m/>
    <m/>
    <m/>
    <m/>
    <m/>
    <m/>
    <m/>
    <m/>
    <m/>
    <m/>
    <m/>
    <m/>
    <m/>
    <m/>
    <m/>
    <m/>
    <m/>
    <m/>
    <m/>
    <m/>
    <m/>
    <m/>
    <m/>
    <m/>
    <m/>
    <m/>
    <m/>
    <m/>
    <m/>
    <m/>
    <m/>
    <m/>
    <m/>
    <m/>
    <m/>
    <m/>
    <m/>
    <m/>
    <m/>
    <m/>
    <m/>
    <m/>
    <m/>
    <m/>
    <m/>
    <m/>
    <m/>
    <m/>
    <m/>
    <m/>
    <m/>
    <m/>
    <m/>
    <m/>
    <m/>
    <m/>
    <m/>
    <m/>
    <m/>
    <m/>
    <m/>
    <m/>
    <m/>
    <m/>
    <m/>
    <m/>
    <m/>
    <m/>
    <m/>
    <s v="B&amp;H offers exceptional customer service... would recommend them to any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eople &gt; Knowledge / Recommend &gt;, People &gt; Overall Satisfaction &gt;"/>
    <s v="B&amp;H &gt; Loyalty &gt;, Customer Service &gt; Satisfaction &gt;"/>
    <m/>
    <m/>
    <s v="People &gt; Knowledge / Recommend &gt; (Positive), People &gt; Overall Satisfaction &gt; (Positive)"/>
    <s v="B&amp;H &gt; Loyalty &gt; (Positive), Customer Service &gt; Satisfaction &gt; (Positive)"/>
    <s v="Yes"/>
    <s v="No"/>
    <m/>
    <x v="7"/>
    <x v="0"/>
    <x v="0"/>
    <m/>
    <x v="0"/>
    <x v="0"/>
  </r>
  <r>
    <s v="Mike Buchholz - Used Trade-In Product"/>
    <n v="10"/>
    <n v="5"/>
    <d v="2026-02-06T10:43:30"/>
    <n v="5194070"/>
    <s v="Used Trade-In Product"/>
    <m/>
    <s v="Mike Buchholz"/>
    <m/>
    <s v="buchhomr@gmail.com"/>
    <m/>
    <s v="Durham;New Hampshire;03824"/>
    <s v="Durham;New Hampshire;03824"/>
    <s v="1 months"/>
    <s v="No"/>
    <m/>
    <m/>
    <s v="buchhomr@gmail.com"/>
    <s v="1"/>
    <m/>
    <m/>
    <m/>
    <m/>
    <m/>
    <m/>
    <m/>
    <m/>
    <d v="2026-02-09T14:55:21"/>
    <d v="2026-02-05T12:52:58"/>
    <m/>
    <s v="1138223"/>
    <m/>
    <m/>
    <m/>
    <m/>
    <m/>
    <m/>
    <m/>
    <m/>
    <m/>
    <m/>
    <m/>
    <m/>
    <m/>
    <m/>
    <m/>
    <m/>
    <m/>
    <m/>
    <m/>
    <m/>
    <m/>
    <m/>
    <s v="https://bnh.lightning.force.com/001WP00000oodO1YAI"/>
    <m/>
    <m/>
    <m/>
    <m/>
    <m/>
    <m/>
    <m/>
    <m/>
    <m/>
    <m/>
    <m/>
    <m/>
    <m/>
    <m/>
    <m/>
    <m/>
    <m/>
    <m/>
    <m/>
    <m/>
    <m/>
    <m/>
    <m/>
    <m/>
    <m/>
    <m/>
    <m/>
    <m/>
    <m/>
    <m/>
    <m/>
    <m/>
    <m/>
    <m/>
    <m/>
    <m/>
    <m/>
    <m/>
    <s v="CAD"/>
    <m/>
    <s v="No"/>
    <s v="Zane Bohnert"/>
    <s v="Zane Bohnert"/>
    <d v="2026-02-06T10:42:50"/>
    <s v="Promoter"/>
    <s v="Closed"/>
    <m/>
    <m/>
    <s v="Yes"/>
    <m/>
    <m/>
    <m/>
    <m/>
    <m/>
    <m/>
    <m/>
    <m/>
    <m/>
    <m/>
    <m/>
    <m/>
    <m/>
    <m/>
    <m/>
    <m/>
    <s v="Ease to get a quote, speed to have quote processed, and the fact that a check could be mailed for the trade-in. I tend to purchase first and trade-in after, so I was glad to not be forced into a gift card as the only payment method."/>
    <m/>
    <m/>
    <m/>
    <m/>
    <m/>
    <m/>
    <m/>
    <m/>
    <m/>
    <m/>
    <m/>
    <m/>
    <m/>
    <m/>
    <m/>
    <m/>
    <m/>
    <m/>
    <m/>
    <m/>
    <m/>
    <m/>
    <m/>
    <m/>
    <m/>
    <m/>
    <m/>
    <m/>
    <m/>
    <m/>
    <m/>
    <m/>
    <m/>
    <m/>
    <m/>
    <m/>
    <m/>
    <m/>
    <m/>
    <m/>
    <m/>
    <m/>
    <m/>
    <m/>
    <m/>
    <m/>
    <m/>
    <m/>
    <m/>
    <m/>
    <m/>
    <m/>
    <m/>
    <m/>
    <m/>
    <m/>
    <m/>
    <m/>
    <m/>
    <m/>
    <m/>
    <m/>
    <m/>
    <m/>
    <m/>
    <m/>
    <m/>
    <m/>
    <m/>
    <m/>
    <m/>
    <m/>
    <m/>
    <m/>
    <m/>
    <m/>
    <m/>
    <m/>
    <m/>
    <m/>
    <m/>
    <m/>
    <m/>
    <m/>
    <m/>
    <m/>
    <m/>
    <s v="Ease to get a quote, speed to have quote processed, and the fact that a check could be mailed for the trade-in. I tend to purchase first and trade-in after, so I was glad to not be forced into a gift card as the only payment metho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Timeliness of Quote &gt;"/>
    <s v="Trade In &gt; Overall Process &gt;, Trade In &gt; Timeliness of Quote &gt;"/>
    <m/>
    <m/>
    <s v="Trade In &gt; Overall Process &gt; (Positive), Trade In &gt; Timeliness of Quote &gt; (Positive)"/>
    <s v="Trade In &gt; Overall Process &gt; (Positive), Trade In &gt; Timeliness of Quote &gt; (Positive)"/>
    <s v="No"/>
    <s v="No"/>
    <m/>
    <x v="13"/>
    <x v="33"/>
    <x v="0"/>
    <m/>
    <x v="0"/>
    <x v="0"/>
  </r>
  <r>
    <s v="Kristin Probst - Used Trade-In Product"/>
    <n v="10"/>
    <n v="5"/>
    <d v="2026-02-06T10:39:15"/>
    <n v="5194060"/>
    <s v="Used Trade-In Product"/>
    <m/>
    <s v="Kristin Probst"/>
    <m/>
    <s v="dresselka@gmail.com"/>
    <m/>
    <s v="Teutopolis;Illinois;62467"/>
    <m/>
    <m/>
    <s v="No"/>
    <m/>
    <m/>
    <s v="dresselka@gmail.com"/>
    <m/>
    <m/>
    <m/>
    <m/>
    <m/>
    <m/>
    <m/>
    <m/>
    <m/>
    <d v="2026-02-09T14:54:23"/>
    <d v="2026-02-06T12:52:02"/>
    <m/>
    <s v="1138430"/>
    <m/>
    <m/>
    <m/>
    <m/>
    <m/>
    <m/>
    <m/>
    <m/>
    <m/>
    <m/>
    <m/>
    <m/>
    <m/>
    <m/>
    <m/>
    <m/>
    <m/>
    <m/>
    <m/>
    <m/>
    <m/>
    <m/>
    <s v="https://bnh.lightning.force.com/001WP00000qwszsYAA"/>
    <m/>
    <m/>
    <m/>
    <m/>
    <m/>
    <m/>
    <m/>
    <m/>
    <m/>
    <m/>
    <m/>
    <m/>
    <m/>
    <m/>
    <m/>
    <m/>
    <m/>
    <m/>
    <m/>
    <m/>
    <m/>
    <m/>
    <m/>
    <m/>
    <m/>
    <m/>
    <m/>
    <m/>
    <m/>
    <m/>
    <m/>
    <m/>
    <m/>
    <m/>
    <m/>
    <m/>
    <m/>
    <m/>
    <s v="CAD"/>
    <m/>
    <s v="No"/>
    <s v="Zane Bohnert"/>
    <s v="Zane Bohnert"/>
    <d v="2026-02-06T10:38:26"/>
    <s v="Promoter"/>
    <s v="Closed"/>
    <m/>
    <m/>
    <s v="Yes"/>
    <m/>
    <m/>
    <m/>
    <m/>
    <m/>
    <m/>
    <m/>
    <m/>
    <m/>
    <m/>
    <m/>
    <m/>
    <m/>
    <m/>
    <m/>
    <m/>
    <s v="I know that I could have gotten more had I sold privately but this was fair and no hassle at all. The actual price ended up being more than the estimate so I appreciate the honesty a lot."/>
    <m/>
    <m/>
    <m/>
    <m/>
    <s v="Nothing to mention"/>
    <m/>
    <m/>
    <m/>
    <m/>
    <m/>
    <m/>
    <m/>
    <m/>
    <m/>
    <m/>
    <m/>
    <m/>
    <m/>
    <m/>
    <m/>
    <m/>
    <m/>
    <m/>
    <m/>
    <m/>
    <m/>
    <m/>
    <m/>
    <m/>
    <m/>
    <m/>
    <m/>
    <m/>
    <m/>
    <m/>
    <m/>
    <m/>
    <m/>
    <m/>
    <m/>
    <m/>
    <m/>
    <m/>
    <m/>
    <m/>
    <m/>
    <m/>
    <m/>
    <m/>
    <m/>
    <m/>
    <m/>
    <m/>
    <m/>
    <m/>
    <m/>
    <m/>
    <m/>
    <m/>
    <m/>
    <m/>
    <m/>
    <m/>
    <m/>
    <m/>
    <m/>
    <m/>
    <m/>
    <m/>
    <m/>
    <m/>
    <m/>
    <m/>
    <m/>
    <m/>
    <m/>
    <m/>
    <m/>
    <m/>
    <m/>
    <m/>
    <m/>
    <m/>
    <m/>
    <m/>
    <m/>
    <m/>
    <s v="I know that I could have gotten more had I sold privately but this was fair and no hassle at all. The actual price ended up being more than the estimate so I appreciate the honesty a lot."/>
    <s v="Nothing to men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Used &gt; Pricing &gt;"/>
    <s v="Trade In &gt; Overall Process &gt;, Trade In &gt; Quote Price &gt;"/>
    <m/>
    <m/>
    <s v="Used &gt; Pricing &gt; (Positive)"/>
    <s v="Trade In &gt; Overall Process &gt; (Positive), Trade In &gt; Quote Price &gt; (Positive)"/>
    <s v="Yes"/>
    <s v="No"/>
    <m/>
    <x v="5"/>
    <x v="18"/>
    <x v="0"/>
    <m/>
    <x v="0"/>
    <x v="0"/>
  </r>
  <r>
    <s v="Keith Brust - Used Trade-In Product"/>
    <n v="10"/>
    <n v="5"/>
    <d v="2026-02-06T10:31:04"/>
    <n v="5194035"/>
    <s v="Used Trade-In Product"/>
    <m/>
    <s v="Keith Brust"/>
    <m/>
    <s v="keith@wildtimemedia.com"/>
    <m/>
    <s v="Tucson;Arizona;85719"/>
    <m/>
    <s v="21 years 4 months"/>
    <s v="Yes"/>
    <m/>
    <m/>
    <s v="keith@wildtimemedia.com"/>
    <s v="256"/>
    <m/>
    <m/>
    <m/>
    <m/>
    <m/>
    <m/>
    <m/>
    <m/>
    <d v="2026-02-09T10:25:44"/>
    <d v="2026-02-05T12:53:12"/>
    <m/>
    <s v="1137064"/>
    <m/>
    <m/>
    <m/>
    <m/>
    <m/>
    <m/>
    <m/>
    <m/>
    <m/>
    <m/>
    <m/>
    <m/>
    <m/>
    <m/>
    <m/>
    <m/>
    <m/>
    <m/>
    <m/>
    <m/>
    <m/>
    <m/>
    <s v="https://bnh.lightning.force.com/001WP00000q8YGbYAM"/>
    <m/>
    <m/>
    <m/>
    <m/>
    <m/>
    <m/>
    <m/>
    <m/>
    <m/>
    <m/>
    <m/>
    <m/>
    <m/>
    <m/>
    <m/>
    <m/>
    <m/>
    <m/>
    <m/>
    <m/>
    <m/>
    <m/>
    <m/>
    <m/>
    <m/>
    <m/>
    <m/>
    <m/>
    <m/>
    <m/>
    <m/>
    <m/>
    <m/>
    <m/>
    <m/>
    <m/>
    <m/>
    <m/>
    <s v="CAD"/>
    <m/>
    <s v="No"/>
    <s v="Zane Bohnert"/>
    <s v="Zane Bohnert"/>
    <d v="2026-02-06T10:29:41"/>
    <s v="Promoter"/>
    <s v="Closed"/>
    <m/>
    <m/>
    <s v="Yes"/>
    <m/>
    <m/>
    <m/>
    <m/>
    <m/>
    <m/>
    <m/>
    <m/>
    <m/>
    <m/>
    <m/>
    <m/>
    <m/>
    <m/>
    <m/>
    <m/>
    <s v="Easy and straight forward"/>
    <m/>
    <m/>
    <m/>
    <m/>
    <s v="Would like a direct deposit or other immediate and more secure method of payment."/>
    <m/>
    <m/>
    <m/>
    <m/>
    <m/>
    <m/>
    <m/>
    <m/>
    <m/>
    <m/>
    <m/>
    <m/>
    <m/>
    <m/>
    <m/>
    <m/>
    <m/>
    <m/>
    <m/>
    <m/>
    <m/>
    <m/>
    <m/>
    <m/>
    <m/>
    <m/>
    <m/>
    <m/>
    <m/>
    <m/>
    <m/>
    <m/>
    <m/>
    <m/>
    <m/>
    <m/>
    <m/>
    <m/>
    <m/>
    <m/>
    <m/>
    <m/>
    <m/>
    <m/>
    <m/>
    <m/>
    <m/>
    <m/>
    <m/>
    <m/>
    <m/>
    <m/>
    <m/>
    <m/>
    <m/>
    <m/>
    <m/>
    <m/>
    <m/>
    <m/>
    <m/>
    <m/>
    <m/>
    <m/>
    <m/>
    <m/>
    <m/>
    <m/>
    <m/>
    <m/>
    <m/>
    <m/>
    <m/>
    <m/>
    <m/>
    <m/>
    <m/>
    <m/>
    <m/>
    <m/>
    <m/>
    <m/>
    <s v="Easy and straight forward"/>
    <s v="Would like a direct deposit or other immediate and more secure method of pay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m/>
    <s v="Trade In &gt; Overall Process &gt;, Trade In &gt; Timeliness of Payment &gt;"/>
    <m/>
    <m/>
    <m/>
    <s v="Trade In &gt; Overall Process &gt; (Negative), Trade In &gt; Overall Process &gt; (Positive), Trade In &gt; Timeliness of Payment &gt; (Negative)"/>
    <s v="Yes"/>
    <s v="No"/>
    <m/>
    <x v="0"/>
    <x v="34"/>
    <x v="0"/>
    <m/>
    <x v="0"/>
    <x v="0"/>
  </r>
  <r>
    <s v="William Baldygo - Used Trade-In Product"/>
    <n v="10"/>
    <n v="5"/>
    <d v="2026-02-06T10:27:57"/>
    <n v="5194023"/>
    <s v="Used Trade-In Product"/>
    <m/>
    <s v="William Baldygo"/>
    <m/>
    <s v="william.baldygo@icloud.com"/>
    <m/>
    <s v="Beavercreek;Ohio;45434"/>
    <s v="Beavercreek;Ohio;45434"/>
    <s v="8 years 7 months"/>
    <s v="No"/>
    <m/>
    <m/>
    <s v="william.baldygo@icloud.com"/>
    <s v="103"/>
    <m/>
    <m/>
    <m/>
    <m/>
    <m/>
    <m/>
    <m/>
    <m/>
    <d v="2026-02-09T10:23:34"/>
    <d v="2026-02-06T12:52:42"/>
    <m/>
    <s v="1138322"/>
    <m/>
    <m/>
    <m/>
    <m/>
    <m/>
    <m/>
    <m/>
    <m/>
    <m/>
    <m/>
    <m/>
    <m/>
    <m/>
    <m/>
    <m/>
    <m/>
    <m/>
    <m/>
    <m/>
    <m/>
    <m/>
    <m/>
    <s v="https://bnh.lightning.force.com/0011a00000rzGFQAA2"/>
    <m/>
    <m/>
    <m/>
    <m/>
    <m/>
    <m/>
    <m/>
    <m/>
    <m/>
    <m/>
    <m/>
    <m/>
    <m/>
    <m/>
    <m/>
    <m/>
    <m/>
    <m/>
    <m/>
    <m/>
    <m/>
    <m/>
    <m/>
    <m/>
    <m/>
    <m/>
    <m/>
    <m/>
    <m/>
    <m/>
    <m/>
    <m/>
    <m/>
    <m/>
    <m/>
    <m/>
    <m/>
    <m/>
    <s v="CAD"/>
    <m/>
    <s v="No"/>
    <s v="Zane Bohnert"/>
    <s v="Zane Bohnert"/>
    <d v="2026-02-06T10:26:32"/>
    <s v="Promoter"/>
    <s v="Closed"/>
    <m/>
    <m/>
    <s v="Yes"/>
    <m/>
    <m/>
    <m/>
    <m/>
    <m/>
    <m/>
    <m/>
    <m/>
    <m/>
    <m/>
    <m/>
    <m/>
    <m/>
    <m/>
    <m/>
    <m/>
    <s v="The entire experience was straight-forward, fast and convenient, and B&amp;H kept me informed with status along the way.  Very well done - thank you!"/>
    <m/>
    <m/>
    <m/>
    <m/>
    <s v="There was nothing I disliked."/>
    <m/>
    <m/>
    <m/>
    <m/>
    <m/>
    <m/>
    <m/>
    <m/>
    <m/>
    <m/>
    <m/>
    <m/>
    <m/>
    <m/>
    <m/>
    <m/>
    <m/>
    <m/>
    <m/>
    <m/>
    <m/>
    <m/>
    <m/>
    <m/>
    <m/>
    <m/>
    <m/>
    <m/>
    <m/>
    <m/>
    <m/>
    <m/>
    <m/>
    <m/>
    <m/>
    <m/>
    <m/>
    <m/>
    <m/>
    <m/>
    <m/>
    <m/>
    <m/>
    <m/>
    <m/>
    <m/>
    <m/>
    <m/>
    <m/>
    <m/>
    <m/>
    <m/>
    <m/>
    <m/>
    <m/>
    <m/>
    <m/>
    <m/>
    <m/>
    <m/>
    <m/>
    <m/>
    <m/>
    <m/>
    <m/>
    <m/>
    <m/>
    <m/>
    <m/>
    <m/>
    <m/>
    <m/>
    <m/>
    <m/>
    <m/>
    <m/>
    <m/>
    <m/>
    <m/>
    <m/>
    <m/>
    <m/>
    <s v="The entire experience was straight-forward, fast and convenient, and B&amp;H kept me informed with status along the way.  Very well done - thank you!"/>
    <s v="There was nothing I dislik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5"/>
    <x v="35"/>
    <x v="0"/>
    <m/>
    <x v="0"/>
    <x v="0"/>
  </r>
  <r>
    <s v="Alberto Chong - Used Trade-In Product"/>
    <n v="9"/>
    <n v="5"/>
    <d v="2026-02-06T10:02:55"/>
    <n v="5193936"/>
    <s v="Used Trade-In Product"/>
    <m/>
    <s v="Alberto Chong"/>
    <m/>
    <s v="albertoechong@gmail.com"/>
    <m/>
    <s v="Italy"/>
    <m/>
    <m/>
    <s v="No"/>
    <m/>
    <m/>
    <s v="albertoechong@gmail.com"/>
    <m/>
    <m/>
    <m/>
    <m/>
    <m/>
    <m/>
    <m/>
    <m/>
    <m/>
    <d v="2026-02-09T10:12:33"/>
    <d v="2026-02-06T12:51:09"/>
    <m/>
    <s v="1138529"/>
    <m/>
    <m/>
    <m/>
    <m/>
    <m/>
    <m/>
    <m/>
    <m/>
    <m/>
    <m/>
    <m/>
    <m/>
    <m/>
    <m/>
    <m/>
    <m/>
    <m/>
    <m/>
    <m/>
    <m/>
    <m/>
    <m/>
    <s v="https://bnh.lightning.force.com/001WP00000qxjbLYAQ"/>
    <m/>
    <m/>
    <m/>
    <m/>
    <m/>
    <m/>
    <m/>
    <m/>
    <m/>
    <m/>
    <m/>
    <m/>
    <m/>
    <m/>
    <m/>
    <m/>
    <m/>
    <m/>
    <m/>
    <m/>
    <m/>
    <m/>
    <m/>
    <m/>
    <m/>
    <m/>
    <m/>
    <m/>
    <m/>
    <m/>
    <m/>
    <m/>
    <m/>
    <m/>
    <m/>
    <m/>
    <m/>
    <m/>
    <s v="CAD"/>
    <m/>
    <s v="No"/>
    <s v="Zane Bohnert"/>
    <s v="Zane Bohnert"/>
    <d v="2026-02-06T10:02:41"/>
    <s v="Promoter"/>
    <s v="Closed"/>
    <m/>
    <m/>
    <s v="Yes"/>
    <m/>
    <m/>
    <m/>
    <m/>
    <m/>
    <m/>
    <m/>
    <m/>
    <m/>
    <m/>
    <m/>
    <m/>
    <m/>
    <m/>
    <m/>
    <m/>
    <m/>
    <m/>
    <m/>
    <m/>
    <m/>
    <s v="Quote was somewhat lower than true value."/>
    <m/>
    <m/>
    <m/>
    <m/>
    <m/>
    <m/>
    <m/>
    <m/>
    <m/>
    <m/>
    <m/>
    <m/>
    <m/>
    <m/>
    <m/>
    <m/>
    <m/>
    <m/>
    <m/>
    <m/>
    <m/>
    <m/>
    <m/>
    <m/>
    <m/>
    <m/>
    <m/>
    <m/>
    <m/>
    <m/>
    <m/>
    <m/>
    <m/>
    <m/>
    <m/>
    <m/>
    <m/>
    <m/>
    <m/>
    <m/>
    <m/>
    <m/>
    <m/>
    <m/>
    <m/>
    <m/>
    <m/>
    <m/>
    <m/>
    <m/>
    <m/>
    <m/>
    <m/>
    <m/>
    <m/>
    <m/>
    <m/>
    <m/>
    <m/>
    <m/>
    <m/>
    <m/>
    <m/>
    <m/>
    <m/>
    <m/>
    <m/>
    <m/>
    <m/>
    <m/>
    <m/>
    <m/>
    <m/>
    <m/>
    <m/>
    <m/>
    <m/>
    <m/>
    <m/>
    <m/>
    <m/>
    <m/>
    <m/>
    <s v="Quote was somewhat lower than true valu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4"/>
    <m/>
    <m/>
    <m/>
    <m/>
    <m/>
    <m/>
    <n v="4"/>
    <n v="4"/>
    <n v="5"/>
    <n v="5"/>
    <m/>
    <m/>
    <m/>
    <m/>
    <m/>
    <m/>
    <m/>
    <m/>
    <m/>
    <m/>
    <m/>
    <m/>
    <m/>
    <m/>
    <m/>
    <m/>
    <m/>
    <m/>
    <m/>
    <m/>
    <m/>
    <m/>
    <m/>
    <m/>
    <m/>
    <m/>
    <m/>
    <m/>
    <m/>
    <m/>
    <m/>
    <m/>
    <m/>
    <m/>
    <m/>
    <m/>
    <m/>
    <m/>
    <m/>
    <m/>
    <m/>
    <m/>
    <m/>
    <m/>
    <m/>
    <m/>
    <m/>
    <m/>
    <m/>
    <m/>
    <m/>
    <m/>
    <m/>
    <m/>
    <m/>
    <m/>
    <m/>
    <m/>
    <m/>
    <m/>
    <m/>
    <m/>
    <m/>
    <m/>
    <m/>
    <m/>
    <m/>
    <m/>
    <m/>
    <m/>
    <m/>
    <m/>
    <m/>
    <m/>
    <m/>
    <m/>
    <m/>
    <m/>
    <m/>
    <m/>
    <m/>
    <m/>
    <m/>
    <m/>
    <m/>
    <m/>
    <m/>
    <m/>
    <m/>
    <m/>
    <m/>
    <m/>
    <m/>
    <m/>
    <m/>
    <m/>
    <m/>
    <m/>
    <m/>
    <m/>
    <m/>
    <s v="Trade In &gt; Overall Process &gt;, Trade In &gt; Quote Price &gt;"/>
    <s v="Trade In &gt; Quote Price &gt;"/>
    <m/>
    <m/>
    <s v="Trade In &gt; Overall Process &gt; (Negative), Trade In &gt; Quote Price &gt; (Negative)"/>
    <s v="Trade In &gt; Quote Price &gt; (Negative)"/>
    <s v="Yes"/>
    <s v="No"/>
    <m/>
    <x v="29"/>
    <x v="0"/>
    <x v="0"/>
    <m/>
    <x v="0"/>
    <x v="0"/>
  </r>
  <r>
    <s v="Kevin Wiese - Used Trade-In Product"/>
    <n v="10"/>
    <n v="5"/>
    <d v="2026-02-06T06:20:51"/>
    <n v="5193460"/>
    <s v="Used Trade-In Product"/>
    <m/>
    <s v="Kevin Wiese"/>
    <m/>
    <s v="kevin.wiese@outlook.com"/>
    <m/>
    <s v="Elmhurst;Illinois;60126"/>
    <m/>
    <m/>
    <s v="No"/>
    <m/>
    <m/>
    <s v="kevin.wiese@outlook.com"/>
    <m/>
    <m/>
    <m/>
    <m/>
    <m/>
    <m/>
    <m/>
    <m/>
    <m/>
    <d v="2026-02-06T08:37:59"/>
    <d v="2026-02-04T16:22:32"/>
    <m/>
    <s v="1138233"/>
    <m/>
    <m/>
    <m/>
    <m/>
    <m/>
    <m/>
    <m/>
    <m/>
    <m/>
    <m/>
    <m/>
    <m/>
    <m/>
    <m/>
    <m/>
    <m/>
    <m/>
    <m/>
    <m/>
    <m/>
    <m/>
    <m/>
    <s v="https://bnh.lightning.force.com/0012L00000xMzNTQA0"/>
    <m/>
    <m/>
    <m/>
    <m/>
    <m/>
    <m/>
    <m/>
    <m/>
    <m/>
    <m/>
    <m/>
    <m/>
    <m/>
    <m/>
    <m/>
    <m/>
    <m/>
    <m/>
    <m/>
    <m/>
    <m/>
    <m/>
    <m/>
    <m/>
    <m/>
    <m/>
    <m/>
    <m/>
    <m/>
    <m/>
    <m/>
    <m/>
    <m/>
    <m/>
    <m/>
    <m/>
    <m/>
    <m/>
    <s v="CAD"/>
    <m/>
    <s v="No"/>
    <s v="Zane Bohnert"/>
    <s v="Zane Bohnert"/>
    <d v="2026-02-06T05:57:24"/>
    <s v="Promoter"/>
    <s v="Closed"/>
    <m/>
    <m/>
    <s v="Yes"/>
    <m/>
    <m/>
    <m/>
    <m/>
    <m/>
    <m/>
    <m/>
    <m/>
    <m/>
    <m/>
    <m/>
    <m/>
    <m/>
    <m/>
    <m/>
    <m/>
    <s v="Easy and very straightforward."/>
    <m/>
    <m/>
    <m/>
    <m/>
    <s v="It would be nice to have an online status page to see where the equipment is in the process vs. relying entirely on email. That’s just a nitpick because you asked for something to complain about."/>
    <m/>
    <m/>
    <m/>
    <m/>
    <m/>
    <m/>
    <m/>
    <m/>
    <m/>
    <m/>
    <m/>
    <m/>
    <m/>
    <m/>
    <m/>
    <m/>
    <m/>
    <m/>
    <m/>
    <m/>
    <m/>
    <m/>
    <m/>
    <m/>
    <m/>
    <m/>
    <m/>
    <m/>
    <m/>
    <m/>
    <m/>
    <m/>
    <m/>
    <m/>
    <m/>
    <m/>
    <m/>
    <m/>
    <m/>
    <m/>
    <m/>
    <m/>
    <m/>
    <m/>
    <m/>
    <m/>
    <m/>
    <m/>
    <m/>
    <m/>
    <m/>
    <m/>
    <m/>
    <m/>
    <m/>
    <m/>
    <m/>
    <m/>
    <m/>
    <m/>
    <m/>
    <m/>
    <m/>
    <m/>
    <m/>
    <m/>
    <m/>
    <m/>
    <m/>
    <m/>
    <m/>
    <m/>
    <m/>
    <m/>
    <m/>
    <m/>
    <m/>
    <m/>
    <m/>
    <m/>
    <m/>
    <m/>
    <s v="Easy and very straightforward."/>
    <s v="It would be nice to have an online status page to see where the equipment is in the process vs. relying entirely on email. That’s just a nitpick because you asked for something to complain abou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Negative)"/>
    <s v="Trade In &gt; Overall Process &gt; (Negative), Trade In &gt; Overall Process &gt; (Positive)"/>
    <s v="Yes"/>
    <s v="Yes"/>
    <m/>
    <x v="0"/>
    <x v="36"/>
    <x v="0"/>
    <m/>
    <x v="0"/>
    <x v="0"/>
  </r>
  <r>
    <s v="Donald Betsworth - Used Trade-In Product"/>
    <n v="10"/>
    <n v="5"/>
    <d v="2026-02-05T20:46:20"/>
    <n v="5193022"/>
    <s v="Used Trade-In Product"/>
    <m/>
    <s v="Donald Betsworth"/>
    <m/>
    <s v="donbetsworth@gmail.com"/>
    <m/>
    <s v="Jacksonville;Florida;32211"/>
    <m/>
    <m/>
    <s v="No"/>
    <m/>
    <m/>
    <s v="donbetsworth@gmail.com"/>
    <m/>
    <m/>
    <m/>
    <m/>
    <m/>
    <m/>
    <m/>
    <m/>
    <m/>
    <d v="2026-02-06T10:05:03"/>
    <d v="2026-02-05T20:27:02"/>
    <m/>
    <s v="1138847"/>
    <m/>
    <m/>
    <m/>
    <m/>
    <m/>
    <m/>
    <m/>
    <m/>
    <m/>
    <m/>
    <m/>
    <m/>
    <m/>
    <m/>
    <m/>
    <m/>
    <m/>
    <m/>
    <m/>
    <m/>
    <m/>
    <m/>
    <s v="https://bnh.lightning.force.com/001WP00000r69mwYAA"/>
    <m/>
    <m/>
    <m/>
    <m/>
    <m/>
    <m/>
    <m/>
    <m/>
    <m/>
    <m/>
    <m/>
    <m/>
    <m/>
    <m/>
    <m/>
    <m/>
    <m/>
    <m/>
    <m/>
    <m/>
    <m/>
    <m/>
    <m/>
    <m/>
    <m/>
    <m/>
    <m/>
    <m/>
    <m/>
    <m/>
    <m/>
    <m/>
    <m/>
    <m/>
    <m/>
    <m/>
    <m/>
    <m/>
    <s v="CAD"/>
    <m/>
    <s v="No"/>
    <s v="Efrat Malachi"/>
    <s v="Efrat Malachi"/>
    <d v="2026-02-05T20:37:35"/>
    <s v="Promoter"/>
    <s v="Closed"/>
    <m/>
    <m/>
    <s v="Yes"/>
    <m/>
    <m/>
    <m/>
    <m/>
    <m/>
    <m/>
    <m/>
    <m/>
    <m/>
    <m/>
    <m/>
    <m/>
    <m/>
    <m/>
    <m/>
    <m/>
    <s v="I chose the trade in credit option for over the phone or in store purchases and like very much not having to pay tax!  I worked with your customer service rep, Michelle and she made the over the phone purchase quick and easy!!"/>
    <m/>
    <m/>
    <m/>
    <m/>
    <m/>
    <m/>
    <m/>
    <m/>
    <m/>
    <m/>
    <m/>
    <m/>
    <m/>
    <m/>
    <m/>
    <m/>
    <m/>
    <m/>
    <m/>
    <m/>
    <m/>
    <m/>
    <m/>
    <m/>
    <m/>
    <m/>
    <m/>
    <m/>
    <m/>
    <m/>
    <m/>
    <m/>
    <m/>
    <m/>
    <m/>
    <m/>
    <m/>
    <m/>
    <m/>
    <m/>
    <m/>
    <m/>
    <m/>
    <m/>
    <m/>
    <m/>
    <m/>
    <m/>
    <m/>
    <m/>
    <m/>
    <m/>
    <m/>
    <m/>
    <m/>
    <m/>
    <m/>
    <m/>
    <m/>
    <m/>
    <m/>
    <m/>
    <m/>
    <m/>
    <m/>
    <m/>
    <m/>
    <m/>
    <m/>
    <m/>
    <m/>
    <m/>
    <m/>
    <m/>
    <m/>
    <m/>
    <m/>
    <m/>
    <m/>
    <m/>
    <m/>
    <m/>
    <m/>
    <m/>
    <m/>
    <m/>
    <m/>
    <s v="I chose the trade in credit option for over the phone or in store purchases and like very much not having to pay tax!  I worked with your customer service rep, Michelle and she made the over the phone purchase quick and eas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People &gt; Helpful / Efficient &gt;, Trade In &gt; Overall Process &gt;"/>
    <m/>
    <s v="NEUTRAL"/>
    <m/>
    <s v="People &gt; Helpful / Efficient &gt; (Positive), Trade In &gt; Overall Process &gt; (Positive)"/>
    <s v="Yes"/>
    <s v="Yes"/>
    <m/>
    <x v="30"/>
    <x v="2"/>
    <x v="0"/>
    <m/>
    <x v="0"/>
    <x v="0"/>
  </r>
  <r>
    <s v="Israel Soler - Used Trade-In Product"/>
    <n v="9"/>
    <n v="4"/>
    <d v="2026-02-05T16:29:18"/>
    <n v="5192415"/>
    <s v="Used Trade-In Product"/>
    <m/>
    <s v="Israel Soler"/>
    <m/>
    <s v="israel.soler1@gmail.com"/>
    <m/>
    <s v="Redding;California;96003"/>
    <s v="Redding;California;96003"/>
    <s v="17 years 7 months"/>
    <s v="No"/>
    <m/>
    <m/>
    <s v="israel.soler1@gmail.com"/>
    <s v="211"/>
    <m/>
    <m/>
    <m/>
    <m/>
    <m/>
    <m/>
    <m/>
    <m/>
    <d v="2026-02-06T10:52:36"/>
    <d v="2026-02-04T12:49:52"/>
    <m/>
    <s v="1134317"/>
    <m/>
    <m/>
    <m/>
    <m/>
    <m/>
    <m/>
    <m/>
    <m/>
    <m/>
    <m/>
    <m/>
    <m/>
    <m/>
    <m/>
    <m/>
    <m/>
    <m/>
    <m/>
    <m/>
    <m/>
    <m/>
    <m/>
    <s v="https://bnh.lightning.force.com/001Hs00005gPllaIAC"/>
    <m/>
    <m/>
    <m/>
    <m/>
    <m/>
    <m/>
    <m/>
    <m/>
    <m/>
    <m/>
    <m/>
    <m/>
    <m/>
    <m/>
    <m/>
    <m/>
    <m/>
    <m/>
    <m/>
    <m/>
    <m/>
    <m/>
    <m/>
    <m/>
    <m/>
    <m/>
    <m/>
    <m/>
    <m/>
    <m/>
    <m/>
    <m/>
    <m/>
    <m/>
    <m/>
    <m/>
    <m/>
    <m/>
    <s v="CAD"/>
    <m/>
    <s v="No"/>
    <s v="Aine Hoye"/>
    <s v="Aine Hoye"/>
    <d v="2026-02-05T16:26:38"/>
    <s v="Promoter"/>
    <s v="Closed"/>
    <m/>
    <m/>
    <s v="Yes"/>
    <m/>
    <m/>
    <m/>
    <m/>
    <m/>
    <m/>
    <m/>
    <m/>
    <m/>
    <m/>
    <m/>
    <m/>
    <m/>
    <m/>
    <m/>
    <m/>
    <s v="In this particular instance, the price I got was great compared to your competitors."/>
    <m/>
    <m/>
    <m/>
    <m/>
    <s v="There was a bit of a delay between my item being received and it being inspected. Not that big a deal but it was a while."/>
    <m/>
    <m/>
    <m/>
    <m/>
    <m/>
    <m/>
    <m/>
    <m/>
    <m/>
    <m/>
    <m/>
    <m/>
    <m/>
    <m/>
    <m/>
    <m/>
    <m/>
    <m/>
    <m/>
    <m/>
    <m/>
    <m/>
    <m/>
    <m/>
    <m/>
    <m/>
    <m/>
    <m/>
    <m/>
    <m/>
    <m/>
    <m/>
    <m/>
    <m/>
    <m/>
    <m/>
    <m/>
    <m/>
    <m/>
    <m/>
    <m/>
    <m/>
    <m/>
    <m/>
    <m/>
    <m/>
    <m/>
    <m/>
    <m/>
    <m/>
    <m/>
    <m/>
    <m/>
    <m/>
    <m/>
    <m/>
    <m/>
    <m/>
    <m/>
    <m/>
    <m/>
    <m/>
    <m/>
    <m/>
    <m/>
    <m/>
    <m/>
    <m/>
    <m/>
    <m/>
    <m/>
    <m/>
    <m/>
    <m/>
    <m/>
    <m/>
    <m/>
    <m/>
    <m/>
    <m/>
    <m/>
    <m/>
    <s v="In this particular instance, the price I got was great compared to your competitors."/>
    <s v="There was a bit of a delay between my item being received and it being inspected. Not that big a deal but it was a whi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4"/>
    <m/>
    <m/>
    <m/>
    <m/>
    <m/>
    <m/>
    <n v="5"/>
    <n v="4"/>
    <n v="5"/>
    <n v="5"/>
    <m/>
    <m/>
    <m/>
    <m/>
    <m/>
    <m/>
    <m/>
    <m/>
    <m/>
    <m/>
    <m/>
    <m/>
    <m/>
    <m/>
    <m/>
    <m/>
    <m/>
    <m/>
    <m/>
    <m/>
    <m/>
    <m/>
    <m/>
    <m/>
    <m/>
    <m/>
    <m/>
    <m/>
    <m/>
    <m/>
    <m/>
    <m/>
    <m/>
    <m/>
    <m/>
    <m/>
    <m/>
    <m/>
    <m/>
    <m/>
    <m/>
    <m/>
    <m/>
    <m/>
    <m/>
    <m/>
    <m/>
    <m/>
    <m/>
    <m/>
    <m/>
    <m/>
    <m/>
    <m/>
    <m/>
    <m/>
    <m/>
    <m/>
    <m/>
    <m/>
    <m/>
    <m/>
    <m/>
    <m/>
    <m/>
    <m/>
    <m/>
    <m/>
    <m/>
    <m/>
    <m/>
    <m/>
    <m/>
    <m/>
    <m/>
    <m/>
    <m/>
    <m/>
    <m/>
    <m/>
    <m/>
    <m/>
    <m/>
    <m/>
    <m/>
    <m/>
    <m/>
    <m/>
    <m/>
    <m/>
    <m/>
    <m/>
    <m/>
    <m/>
    <m/>
    <m/>
    <m/>
    <m/>
    <m/>
    <m/>
    <m/>
    <s v="B&amp;H &gt; Competitor Mentions &gt;, Used &gt; Pricing &gt;, Warehouse Fulfillment &gt; Timeliness &gt;"/>
    <s v="B&amp;H &gt; Competitor Mentions &gt;, Trade In &gt; Timeliness of Quote &gt;, Used &gt; Pricing &gt;"/>
    <m/>
    <m/>
    <s v="B&amp;H &gt; Competitor Mentions &gt; (Positive), Used &gt; Pricing &gt; (Positive), Warehouse Fulfillment &gt; Timeliness &gt; (Negative)"/>
    <s v="B&amp;H &gt; Competitor Mentions &gt; (Positive), Trade In &gt; Timeliness of Quote &gt; (Negative), Used &gt; Pricing &gt; (Positive)"/>
    <s v="Yes"/>
    <s v="No"/>
    <m/>
    <x v="10"/>
    <x v="4"/>
    <x v="0"/>
    <m/>
    <x v="0"/>
    <x v="0"/>
  </r>
  <r>
    <s v="Theodor Rohr - Used Trade-In Product"/>
    <n v="9"/>
    <n v="4"/>
    <d v="2026-02-05T16:04:18"/>
    <n v="5192373"/>
    <s v="Used Trade-In Product"/>
    <m/>
    <s v="Theodor Rohr"/>
    <m/>
    <s v="theorohr@cox.net"/>
    <m/>
    <s v="Hayes;Virginia;23072"/>
    <s v="Hayes;Virginia;23072"/>
    <s v="16 years 2 months"/>
    <s v="No"/>
    <m/>
    <m/>
    <s v="theorohr@cox.net"/>
    <s v="194"/>
    <m/>
    <m/>
    <m/>
    <m/>
    <m/>
    <m/>
    <m/>
    <m/>
    <d v="2026-02-06T10:49:05"/>
    <d v="2026-02-05T12:54:08"/>
    <m/>
    <s v="1138101"/>
    <m/>
    <m/>
    <m/>
    <m/>
    <m/>
    <m/>
    <m/>
    <m/>
    <m/>
    <m/>
    <m/>
    <m/>
    <m/>
    <m/>
    <m/>
    <m/>
    <m/>
    <m/>
    <m/>
    <m/>
    <m/>
    <m/>
    <s v="https://bnh.lightning.force.com/0012L00001BQ8eTQAT"/>
    <m/>
    <m/>
    <m/>
    <m/>
    <m/>
    <m/>
    <m/>
    <m/>
    <m/>
    <m/>
    <m/>
    <m/>
    <m/>
    <m/>
    <m/>
    <m/>
    <m/>
    <m/>
    <m/>
    <m/>
    <m/>
    <m/>
    <m/>
    <m/>
    <m/>
    <m/>
    <m/>
    <m/>
    <m/>
    <m/>
    <m/>
    <m/>
    <m/>
    <m/>
    <m/>
    <m/>
    <m/>
    <m/>
    <s v="CAD"/>
    <m/>
    <s v="No"/>
    <s v="Aine Hoye"/>
    <s v="Aine Hoye"/>
    <d v="2026-02-05T16:04:17"/>
    <s v="Promoter"/>
    <s v="Closed"/>
    <m/>
    <m/>
    <s v="Yes"/>
    <m/>
    <m/>
    <m/>
    <m/>
    <m/>
    <m/>
    <m/>
    <m/>
    <m/>
    <m/>
    <m/>
    <m/>
    <m/>
    <m/>
    <m/>
    <m/>
    <s v="easy peasy process"/>
    <m/>
    <m/>
    <m/>
    <m/>
    <s v="n/a"/>
    <m/>
    <m/>
    <m/>
    <m/>
    <m/>
    <m/>
    <m/>
    <m/>
    <m/>
    <m/>
    <m/>
    <m/>
    <m/>
    <m/>
    <m/>
    <m/>
    <m/>
    <m/>
    <m/>
    <m/>
    <m/>
    <m/>
    <m/>
    <m/>
    <m/>
    <m/>
    <m/>
    <m/>
    <m/>
    <m/>
    <m/>
    <m/>
    <m/>
    <m/>
    <m/>
    <m/>
    <m/>
    <m/>
    <m/>
    <m/>
    <m/>
    <m/>
    <m/>
    <m/>
    <m/>
    <m/>
    <m/>
    <m/>
    <m/>
    <m/>
    <m/>
    <m/>
    <m/>
    <m/>
    <m/>
    <m/>
    <m/>
    <m/>
    <m/>
    <m/>
    <m/>
    <m/>
    <m/>
    <m/>
    <m/>
    <m/>
    <m/>
    <m/>
    <m/>
    <m/>
    <m/>
    <m/>
    <m/>
    <m/>
    <m/>
    <m/>
    <m/>
    <m/>
    <m/>
    <m/>
    <m/>
    <m/>
    <s v="easy peasy process"/>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Tony Curtis - Used Trade-In Product"/>
    <n v="10"/>
    <n v="5"/>
    <d v="2026-02-05T15:20:15"/>
    <n v="5192241"/>
    <s v="Used Trade-In Product"/>
    <m/>
    <s v="Tony Curtis"/>
    <m/>
    <s v="tony.curtis30@gmail.com"/>
    <m/>
    <s v="Milton;Florida;32570"/>
    <s v="Milton;Florida;32570"/>
    <s v="6 months"/>
    <s v="No"/>
    <m/>
    <m/>
    <s v="tony.curtis30@gmail.com"/>
    <s v="6"/>
    <m/>
    <m/>
    <m/>
    <m/>
    <m/>
    <m/>
    <m/>
    <m/>
    <d v="2026-02-06T10:37:30"/>
    <d v="2026-02-05T12:52:20"/>
    <m/>
    <s v="1137678"/>
    <m/>
    <m/>
    <m/>
    <m/>
    <m/>
    <m/>
    <m/>
    <m/>
    <m/>
    <m/>
    <m/>
    <m/>
    <m/>
    <m/>
    <m/>
    <m/>
    <m/>
    <m/>
    <m/>
    <m/>
    <m/>
    <m/>
    <s v="https://bnh.lightning.force.com/001Hs00005lhD7uIAE"/>
    <m/>
    <m/>
    <m/>
    <m/>
    <m/>
    <m/>
    <m/>
    <m/>
    <m/>
    <m/>
    <m/>
    <m/>
    <m/>
    <m/>
    <m/>
    <m/>
    <m/>
    <m/>
    <m/>
    <m/>
    <m/>
    <m/>
    <m/>
    <m/>
    <m/>
    <m/>
    <m/>
    <m/>
    <m/>
    <m/>
    <m/>
    <m/>
    <m/>
    <m/>
    <m/>
    <m/>
    <m/>
    <m/>
    <s v="CAD"/>
    <m/>
    <s v="No"/>
    <s v="Aine Hoye"/>
    <s v="Aine Hoye"/>
    <d v="2026-02-05T15:18:03"/>
    <s v="Promoter"/>
    <s v="Closed"/>
    <m/>
    <m/>
    <s v="Yes"/>
    <m/>
    <m/>
    <m/>
    <m/>
    <m/>
    <m/>
    <m/>
    <m/>
    <m/>
    <m/>
    <m/>
    <m/>
    <m/>
    <m/>
    <m/>
    <m/>
    <s v="The ease of ordering."/>
    <m/>
    <m/>
    <m/>
    <m/>
    <s v="I didn't like that a tracking number wasn't available. My area isn't the best for correct deliveries and the check could've easily been delivered to the wrong address. I got lucky."/>
    <m/>
    <m/>
    <m/>
    <m/>
    <m/>
    <m/>
    <m/>
    <m/>
    <m/>
    <m/>
    <m/>
    <m/>
    <m/>
    <m/>
    <m/>
    <m/>
    <m/>
    <m/>
    <m/>
    <m/>
    <m/>
    <m/>
    <m/>
    <m/>
    <m/>
    <m/>
    <m/>
    <m/>
    <m/>
    <m/>
    <m/>
    <m/>
    <m/>
    <m/>
    <m/>
    <m/>
    <m/>
    <m/>
    <m/>
    <m/>
    <m/>
    <m/>
    <m/>
    <m/>
    <m/>
    <m/>
    <m/>
    <m/>
    <m/>
    <m/>
    <m/>
    <m/>
    <m/>
    <m/>
    <m/>
    <m/>
    <m/>
    <m/>
    <m/>
    <m/>
    <m/>
    <m/>
    <m/>
    <m/>
    <m/>
    <m/>
    <m/>
    <m/>
    <m/>
    <m/>
    <m/>
    <m/>
    <m/>
    <m/>
    <m/>
    <m/>
    <m/>
    <m/>
    <m/>
    <m/>
    <m/>
    <m/>
    <s v="The ease of ordering."/>
    <s v="I didn't like that a tracking number wasn't available. My area isn't the best for correct deliveries and the check could've easily been delivered to the wrong address. I got luck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s v="N/A"/>
    <n v="5"/>
    <n v="5"/>
    <m/>
    <m/>
    <m/>
    <m/>
    <m/>
    <m/>
    <m/>
    <m/>
    <m/>
    <m/>
    <m/>
    <m/>
    <m/>
    <m/>
    <m/>
    <m/>
    <m/>
    <m/>
    <m/>
    <m/>
    <m/>
    <m/>
    <m/>
    <m/>
    <m/>
    <m/>
    <m/>
    <m/>
    <m/>
    <m/>
    <m/>
    <m/>
    <m/>
    <m/>
    <m/>
    <m/>
    <m/>
    <m/>
    <m/>
    <m/>
    <m/>
    <m/>
    <m/>
    <m/>
    <m/>
    <m/>
    <m/>
    <m/>
    <m/>
    <m/>
    <m/>
    <m/>
    <m/>
    <m/>
    <m/>
    <m/>
    <m/>
    <m/>
    <m/>
    <m/>
    <m/>
    <m/>
    <m/>
    <m/>
    <m/>
    <m/>
    <m/>
    <m/>
    <m/>
    <m/>
    <m/>
    <m/>
    <m/>
    <m/>
    <m/>
    <m/>
    <m/>
    <m/>
    <m/>
    <m/>
    <m/>
    <m/>
    <m/>
    <m/>
    <m/>
    <m/>
    <m/>
    <m/>
    <m/>
    <m/>
    <m/>
    <m/>
    <m/>
    <m/>
    <m/>
    <m/>
    <m/>
    <m/>
    <m/>
    <m/>
    <m/>
    <s v="Traffic &gt; Lost or Delivered to Wrong Address &gt;, Warehouse Fulfillment &gt; Issues &gt;, Website &gt; Order Tracking &gt;"/>
    <s v="Trade In &gt; Overall Process &gt;, Traffic &gt; Carrier Satisfaction &gt;, Website &gt; Order Tracking &gt;"/>
    <m/>
    <m/>
    <s v="Traffic &gt; Lost or Delivered to Wrong Address &gt; (Negative), Warehouse Fulfillment &gt; Issues &gt; (Negative), Website &gt; Order Tracking &gt; (Negative)"/>
    <s v="Trade In &gt; Overall Process &gt; (Positive), Traffic &gt; Carrier Satisfaction &gt; (Negative), Website &gt; Order Tracking &gt; (Negative)"/>
    <s v="Yes"/>
    <s v="Yes"/>
    <m/>
    <x v="5"/>
    <x v="16"/>
    <x v="0"/>
    <m/>
    <x v="0"/>
    <x v="0"/>
  </r>
  <r>
    <s v="Jason Hernandez - Used Trade-In Product"/>
    <n v="10"/>
    <n v="5"/>
    <d v="2026-02-05T14:24:55"/>
    <n v="5192099"/>
    <s v="Used Trade-In Product"/>
    <m/>
    <s v="Jason Hernandez"/>
    <m/>
    <s v="jayfilms@gmail.com"/>
    <m/>
    <s v="Ventura;California;93003"/>
    <s v="Ventura;California;93003"/>
    <s v="17 years 7 months"/>
    <s v="No"/>
    <m/>
    <m/>
    <s v="jayfilms@gmail.com"/>
    <s v="211"/>
    <m/>
    <m/>
    <m/>
    <m/>
    <m/>
    <m/>
    <m/>
    <m/>
    <d v="2026-02-06T09:07:26"/>
    <d v="2026-02-05T16:23:09"/>
    <m/>
    <s v="1139705"/>
    <m/>
    <m/>
    <m/>
    <m/>
    <m/>
    <m/>
    <m/>
    <m/>
    <m/>
    <m/>
    <m/>
    <m/>
    <m/>
    <m/>
    <m/>
    <m/>
    <m/>
    <m/>
    <m/>
    <m/>
    <m/>
    <m/>
    <s v="https://bnh.lightning.force.com/0018X00003T6eBEQAZ"/>
    <m/>
    <m/>
    <m/>
    <m/>
    <m/>
    <m/>
    <m/>
    <m/>
    <m/>
    <m/>
    <m/>
    <m/>
    <m/>
    <m/>
    <m/>
    <m/>
    <m/>
    <m/>
    <m/>
    <m/>
    <m/>
    <m/>
    <m/>
    <m/>
    <m/>
    <m/>
    <m/>
    <m/>
    <m/>
    <m/>
    <m/>
    <m/>
    <m/>
    <m/>
    <m/>
    <m/>
    <m/>
    <m/>
    <s v="CAD"/>
    <m/>
    <s v="No"/>
    <s v="Freddy Gomez"/>
    <s v="Freddy Gomez"/>
    <d v="2026-02-05T14:22:48"/>
    <s v="Promoter"/>
    <s v="Closed"/>
    <m/>
    <m/>
    <s v="Yes"/>
    <m/>
    <m/>
    <m/>
    <m/>
    <m/>
    <m/>
    <m/>
    <m/>
    <m/>
    <m/>
    <m/>
    <m/>
    <m/>
    <m/>
    <m/>
    <m/>
    <s v="The ease of use, shipping supplied, etc…"/>
    <m/>
    <m/>
    <m/>
    <m/>
    <s v="Nothing I liked it all. _x000a_Thank you !"/>
    <m/>
    <m/>
    <m/>
    <m/>
    <m/>
    <m/>
    <m/>
    <m/>
    <m/>
    <m/>
    <m/>
    <m/>
    <m/>
    <m/>
    <m/>
    <m/>
    <m/>
    <m/>
    <m/>
    <m/>
    <m/>
    <m/>
    <m/>
    <m/>
    <m/>
    <m/>
    <m/>
    <m/>
    <m/>
    <m/>
    <m/>
    <m/>
    <m/>
    <m/>
    <m/>
    <m/>
    <m/>
    <m/>
    <m/>
    <m/>
    <m/>
    <m/>
    <m/>
    <m/>
    <m/>
    <m/>
    <m/>
    <m/>
    <m/>
    <m/>
    <m/>
    <m/>
    <m/>
    <m/>
    <m/>
    <m/>
    <m/>
    <m/>
    <m/>
    <m/>
    <m/>
    <m/>
    <m/>
    <m/>
    <m/>
    <m/>
    <m/>
    <m/>
    <m/>
    <m/>
    <m/>
    <m/>
    <m/>
    <m/>
    <m/>
    <m/>
    <m/>
    <m/>
    <m/>
    <m/>
    <m/>
    <m/>
    <s v="The ease of use, shipping supplied, etc…"/>
    <s v="Nothing I liked it all. _x000a_Thank you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4"/>
    <n v="5"/>
    <n v="5"/>
    <n v="3"/>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5"/>
    <x v="26"/>
    <x v="0"/>
    <m/>
    <x v="0"/>
    <x v="0"/>
  </r>
  <r>
    <s v="Salomon Maestas - Used Trade-In Product"/>
    <n v="9"/>
    <n v="4"/>
    <d v="2026-02-05T13:29:39"/>
    <n v="5191912"/>
    <s v="Used Trade-In Product"/>
    <m/>
    <s v="Salomon Maestas"/>
    <m/>
    <s v="salmaestas@icloud.com"/>
    <m/>
    <s v="Espanola;New Mexico;87532"/>
    <m/>
    <m/>
    <s v="No"/>
    <m/>
    <m/>
    <s v="salmaestas@icloud.com"/>
    <m/>
    <m/>
    <m/>
    <m/>
    <m/>
    <m/>
    <m/>
    <m/>
    <m/>
    <d v="2026-02-10T12:44:56"/>
    <d v="2026-02-05T12:55:35"/>
    <m/>
    <s v="1139152"/>
    <m/>
    <m/>
    <m/>
    <m/>
    <m/>
    <m/>
    <m/>
    <m/>
    <m/>
    <m/>
    <m/>
    <m/>
    <m/>
    <m/>
    <m/>
    <m/>
    <m/>
    <m/>
    <m/>
    <m/>
    <m/>
    <m/>
    <s v="https://bnh.lightning.force.com/001WP00000rGUzuYAG"/>
    <m/>
    <m/>
    <m/>
    <m/>
    <m/>
    <m/>
    <m/>
    <m/>
    <m/>
    <m/>
    <m/>
    <m/>
    <m/>
    <m/>
    <m/>
    <m/>
    <m/>
    <m/>
    <m/>
    <m/>
    <m/>
    <m/>
    <m/>
    <m/>
    <m/>
    <m/>
    <m/>
    <m/>
    <m/>
    <m/>
    <m/>
    <m/>
    <m/>
    <m/>
    <m/>
    <m/>
    <m/>
    <m/>
    <s v="CAD"/>
    <m/>
    <s v="No"/>
    <s v="Nick Badame,Avraham Schwartz,Reina Caba"/>
    <s v="Reina Caba"/>
    <d v="2026-02-05T13:42:35"/>
    <s v="Promoter"/>
    <s v="Closed"/>
    <d v="2026-02-10T12:44:52"/>
    <s v="Reina Caba (reinac@bhphoto.com)"/>
    <s v="Yes"/>
    <m/>
    <m/>
    <m/>
    <m/>
    <m/>
    <m/>
    <m/>
    <m/>
    <m/>
    <m/>
    <m/>
    <m/>
    <m/>
    <m/>
    <m/>
    <m/>
    <s v="Easy. Overall good experience."/>
    <m/>
    <m/>
    <m/>
    <m/>
    <s v="Took a bit long to evaluate gear. I would have liked a final quote and choice to accept/reject before getting the gift card. _x000a_• An option for electronic funds transfer, instead of only a check, would be nice for non-store credit transactions."/>
    <m/>
    <m/>
    <m/>
    <m/>
    <m/>
    <m/>
    <m/>
    <m/>
    <m/>
    <m/>
    <m/>
    <m/>
    <m/>
    <m/>
    <m/>
    <m/>
    <m/>
    <m/>
    <m/>
    <m/>
    <m/>
    <m/>
    <m/>
    <m/>
    <m/>
    <m/>
    <m/>
    <m/>
    <m/>
    <m/>
    <m/>
    <m/>
    <m/>
    <m/>
    <m/>
    <m/>
    <m/>
    <m/>
    <m/>
    <m/>
    <m/>
    <m/>
    <m/>
    <m/>
    <m/>
    <m/>
    <m/>
    <m/>
    <m/>
    <m/>
    <m/>
    <m/>
    <m/>
    <m/>
    <m/>
    <m/>
    <m/>
    <m/>
    <m/>
    <m/>
    <m/>
    <m/>
    <m/>
    <m/>
    <m/>
    <m/>
    <m/>
    <m/>
    <m/>
    <m/>
    <m/>
    <m/>
    <m/>
    <m/>
    <m/>
    <m/>
    <m/>
    <m/>
    <m/>
    <m/>
    <m/>
    <m/>
    <s v="Easy. Overall good experience."/>
    <s v="Took a bit long to evaluate gear. I would have liked a final quote and choice to accept/reject before getting the gift card. _x000a_• An option for electronic funds transfer, instead of only a check, would be nice for non-store credit transactio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3"/>
    <n v="4"/>
    <n v="3"/>
    <m/>
    <m/>
    <m/>
    <m/>
    <m/>
    <m/>
    <m/>
    <m/>
    <m/>
    <m/>
    <m/>
    <m/>
    <m/>
    <m/>
    <m/>
    <m/>
    <m/>
    <m/>
    <m/>
    <m/>
    <m/>
    <m/>
    <m/>
    <m/>
    <m/>
    <m/>
    <m/>
    <m/>
    <m/>
    <m/>
    <m/>
    <m/>
    <m/>
    <m/>
    <m/>
    <m/>
    <m/>
    <m/>
    <m/>
    <m/>
    <m/>
    <m/>
    <m/>
    <m/>
    <m/>
    <m/>
    <m/>
    <m/>
    <m/>
    <m/>
    <m/>
    <m/>
    <m/>
    <m/>
    <m/>
    <m/>
    <m/>
    <m/>
    <m/>
    <m/>
    <m/>
    <m/>
    <m/>
    <m/>
    <m/>
    <m/>
    <m/>
    <m/>
    <m/>
    <m/>
    <m/>
    <m/>
    <m/>
    <m/>
    <m/>
    <m/>
    <m/>
    <m/>
    <m/>
    <m/>
    <m/>
    <m/>
    <m/>
    <m/>
    <m/>
    <m/>
    <m/>
    <m/>
    <m/>
    <m/>
    <m/>
    <m/>
    <m/>
    <m/>
    <m/>
    <m/>
    <m/>
    <m/>
    <m/>
    <m/>
    <m/>
    <s v="B&amp;H &gt; Satisfaction &gt;, Programs and Services &gt; Gift Card &gt;, Trade In &gt; Overall Process &gt;"/>
    <s v="B&amp;H &gt; Satisfaction &gt;, Trade In &gt; Overall Process &gt;, Trade In &gt; Timeliness of Payment &gt;"/>
    <m/>
    <m/>
    <s v="B&amp;H &gt; Satisfaction &gt; (Positive), Programs and Services &gt; Gift Card &gt; (Negative), Trade In &gt; Overall Process &gt; (Negative)"/>
    <s v="B&amp;H &gt; Satisfaction &gt; (Positive), Trade In &gt; Overall Process &gt; (Negative), Trade In &gt; Overall Process &gt; (Positive), Trade In &gt; Timeliness of Payment &gt; (Negative)"/>
    <s v="Yes"/>
    <s v="No"/>
    <m/>
    <x v="0"/>
    <x v="4"/>
    <x v="17"/>
    <s v="Wants to be paid through direct deposit, electronic funds transfer (or faster/secure method)"/>
    <x v="0"/>
    <x v="0"/>
  </r>
  <r>
    <s v="Timothy Jackson - Used Trade-In Product"/>
    <n v="10"/>
    <n v="5"/>
    <d v="2026-02-05T13:14:41"/>
    <n v="5191886"/>
    <s v="Used Trade-In Product"/>
    <m/>
    <s v="Timothy Jackson"/>
    <m/>
    <s v="timothygarrettjackson@gmail.com"/>
    <m/>
    <s v="Albany;New York;12210"/>
    <m/>
    <s v="3 years 8 months"/>
    <s v="No"/>
    <m/>
    <m/>
    <s v="timothygarrettjackson@gmail.com"/>
    <s v="44"/>
    <m/>
    <m/>
    <m/>
    <m/>
    <m/>
    <m/>
    <m/>
    <m/>
    <d v="2026-02-06T10:12:36"/>
    <d v="2026-02-05T12:51:53"/>
    <m/>
    <s v="1138035"/>
    <m/>
    <m/>
    <m/>
    <m/>
    <m/>
    <m/>
    <m/>
    <m/>
    <m/>
    <m/>
    <m/>
    <m/>
    <m/>
    <m/>
    <m/>
    <m/>
    <m/>
    <m/>
    <m/>
    <m/>
    <m/>
    <m/>
    <s v="https://bnh.lightning.force.com/001WP00000oKy3JYAS"/>
    <m/>
    <m/>
    <m/>
    <m/>
    <m/>
    <m/>
    <m/>
    <m/>
    <m/>
    <m/>
    <m/>
    <m/>
    <m/>
    <m/>
    <m/>
    <m/>
    <m/>
    <m/>
    <m/>
    <m/>
    <m/>
    <m/>
    <m/>
    <m/>
    <m/>
    <m/>
    <m/>
    <m/>
    <m/>
    <m/>
    <m/>
    <m/>
    <m/>
    <m/>
    <m/>
    <m/>
    <m/>
    <m/>
    <s v="CAD"/>
    <m/>
    <s v="No"/>
    <s v="Nick Badame"/>
    <s v="Nick Badame"/>
    <d v="2026-02-05T13:37:21"/>
    <s v="Promoter"/>
    <s v="Closed"/>
    <m/>
    <m/>
    <s v="Yes"/>
    <m/>
    <m/>
    <m/>
    <m/>
    <m/>
    <m/>
    <m/>
    <m/>
    <m/>
    <m/>
    <m/>
    <m/>
    <m/>
    <m/>
    <m/>
    <m/>
    <s v="Straightforward"/>
    <m/>
    <m/>
    <m/>
    <m/>
    <s v="Tracking/delays but you did give updates so overall not bad!"/>
    <m/>
    <m/>
    <m/>
    <m/>
    <m/>
    <m/>
    <m/>
    <m/>
    <m/>
    <m/>
    <m/>
    <m/>
    <m/>
    <m/>
    <m/>
    <m/>
    <m/>
    <m/>
    <m/>
    <m/>
    <m/>
    <m/>
    <m/>
    <m/>
    <m/>
    <m/>
    <m/>
    <m/>
    <m/>
    <m/>
    <m/>
    <m/>
    <m/>
    <m/>
    <m/>
    <m/>
    <m/>
    <m/>
    <m/>
    <m/>
    <m/>
    <m/>
    <m/>
    <m/>
    <m/>
    <m/>
    <m/>
    <m/>
    <m/>
    <m/>
    <m/>
    <m/>
    <m/>
    <m/>
    <m/>
    <m/>
    <m/>
    <m/>
    <m/>
    <m/>
    <m/>
    <m/>
    <m/>
    <m/>
    <m/>
    <m/>
    <m/>
    <m/>
    <m/>
    <m/>
    <m/>
    <m/>
    <m/>
    <m/>
    <m/>
    <m/>
    <m/>
    <m/>
    <m/>
    <m/>
    <m/>
    <m/>
    <s v="Straightforward"/>
    <s v="Tracking/delays but you did give updates so overall not ba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4"/>
    <n v="4"/>
    <n v="4"/>
    <n v="4"/>
    <m/>
    <m/>
    <m/>
    <m/>
    <m/>
    <m/>
    <m/>
    <m/>
    <m/>
    <m/>
    <m/>
    <m/>
    <m/>
    <m/>
    <m/>
    <m/>
    <m/>
    <m/>
    <m/>
    <m/>
    <m/>
    <m/>
    <m/>
    <m/>
    <m/>
    <m/>
    <m/>
    <m/>
    <m/>
    <m/>
    <m/>
    <m/>
    <m/>
    <m/>
    <m/>
    <m/>
    <m/>
    <m/>
    <m/>
    <m/>
    <m/>
    <m/>
    <m/>
    <m/>
    <m/>
    <m/>
    <m/>
    <m/>
    <m/>
    <m/>
    <m/>
    <m/>
    <m/>
    <m/>
    <m/>
    <m/>
    <m/>
    <m/>
    <m/>
    <m/>
    <m/>
    <m/>
    <m/>
    <m/>
    <m/>
    <m/>
    <m/>
    <m/>
    <m/>
    <m/>
    <m/>
    <m/>
    <m/>
    <m/>
    <m/>
    <m/>
    <m/>
    <m/>
    <m/>
    <m/>
    <m/>
    <m/>
    <m/>
    <m/>
    <m/>
    <m/>
    <m/>
    <m/>
    <m/>
    <m/>
    <m/>
    <m/>
    <m/>
    <m/>
    <m/>
    <m/>
    <m/>
    <m/>
    <m/>
    <m/>
    <m/>
    <m/>
    <s v="Trade In &gt; Overall Process &gt;, Website &gt; Order Tracking &gt;"/>
    <m/>
    <m/>
    <m/>
    <s v="Trade In &gt; Overall Process &gt; (Positive), Website &gt; Order Tracking &gt; (Negative)"/>
    <s v="Yes"/>
    <s v="Yes"/>
    <m/>
    <x v="25"/>
    <x v="35"/>
    <x v="0"/>
    <m/>
    <x v="0"/>
    <x v="0"/>
  </r>
  <r>
    <s v="Deasia Jackson - Used Trade-In Product"/>
    <n v="10"/>
    <n v="5"/>
    <d v="2026-02-05T13:08:06"/>
    <n v="5191873"/>
    <s v="Used Trade-In Product"/>
    <m/>
    <s v="Deasia Jackson"/>
    <m/>
    <s v="asiadjaxon@gmail.com"/>
    <m/>
    <s v="Dallas;Texas;75248"/>
    <m/>
    <m/>
    <s v="No"/>
    <m/>
    <m/>
    <s v="asiadjaxon@gmail.com"/>
    <m/>
    <m/>
    <m/>
    <m/>
    <m/>
    <m/>
    <m/>
    <m/>
    <m/>
    <d v="2026-02-06T09:53:31"/>
    <d v="2026-02-04T12:51:58"/>
    <m/>
    <s v="1134428"/>
    <m/>
    <m/>
    <m/>
    <m/>
    <m/>
    <m/>
    <m/>
    <m/>
    <m/>
    <m/>
    <m/>
    <m/>
    <m/>
    <m/>
    <m/>
    <m/>
    <m/>
    <m/>
    <m/>
    <m/>
    <m/>
    <m/>
    <s v="https://bnh.lightning.force.com/001WP00000onJpeYAE"/>
    <m/>
    <m/>
    <m/>
    <m/>
    <m/>
    <m/>
    <m/>
    <m/>
    <m/>
    <m/>
    <m/>
    <m/>
    <m/>
    <m/>
    <m/>
    <m/>
    <m/>
    <m/>
    <m/>
    <m/>
    <m/>
    <m/>
    <m/>
    <m/>
    <m/>
    <m/>
    <m/>
    <m/>
    <m/>
    <m/>
    <m/>
    <m/>
    <m/>
    <m/>
    <m/>
    <m/>
    <m/>
    <m/>
    <s v="CAD"/>
    <m/>
    <s v="No"/>
    <s v="Nick Badame"/>
    <s v="Nick Badame"/>
    <d v="2026-02-05T13:33:58"/>
    <s v="Promoter"/>
    <s v="Closed"/>
    <m/>
    <m/>
    <s v="Yes"/>
    <m/>
    <m/>
    <m/>
    <m/>
    <m/>
    <m/>
    <m/>
    <m/>
    <m/>
    <m/>
    <m/>
    <m/>
    <m/>
    <m/>
    <m/>
    <m/>
    <s v="It was so easy and I received updates as the process went on."/>
    <m/>
    <m/>
    <m/>
    <m/>
    <s v="Nothing to dislike"/>
    <m/>
    <m/>
    <m/>
    <m/>
    <m/>
    <m/>
    <m/>
    <m/>
    <m/>
    <m/>
    <m/>
    <m/>
    <m/>
    <m/>
    <m/>
    <m/>
    <m/>
    <m/>
    <m/>
    <m/>
    <m/>
    <m/>
    <m/>
    <m/>
    <m/>
    <m/>
    <m/>
    <m/>
    <m/>
    <m/>
    <m/>
    <m/>
    <m/>
    <m/>
    <m/>
    <m/>
    <m/>
    <m/>
    <m/>
    <m/>
    <m/>
    <m/>
    <m/>
    <m/>
    <m/>
    <m/>
    <m/>
    <m/>
    <m/>
    <m/>
    <m/>
    <m/>
    <m/>
    <m/>
    <m/>
    <m/>
    <m/>
    <m/>
    <m/>
    <m/>
    <m/>
    <m/>
    <m/>
    <m/>
    <m/>
    <m/>
    <m/>
    <m/>
    <m/>
    <m/>
    <m/>
    <m/>
    <m/>
    <m/>
    <m/>
    <m/>
    <m/>
    <m/>
    <m/>
    <m/>
    <m/>
    <m/>
    <s v="It was so easy and I received updates as the process went on."/>
    <s v="Nothing to dislik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21"/>
    <x v="18"/>
    <m/>
    <x v="0"/>
    <x v="0"/>
  </r>
  <r>
    <s v="William Hurley - Used Trade-In Product"/>
    <n v="10"/>
    <n v="5"/>
    <d v="2026-02-05T12:33:20"/>
    <n v="5191756"/>
    <s v="Used Trade-In Product"/>
    <m/>
    <s v="William Hurley"/>
    <m/>
    <s v="hurleywheel@gmail.com"/>
    <m/>
    <s v="Salt Lake City;Utah;84107"/>
    <m/>
    <m/>
    <s v="No"/>
    <m/>
    <m/>
    <s v="hurleywheel@gmail.com"/>
    <m/>
    <m/>
    <m/>
    <m/>
    <m/>
    <m/>
    <m/>
    <m/>
    <m/>
    <d v="2026-02-09T11:08:11"/>
    <d v="2026-02-05T12:52:13"/>
    <m/>
    <s v="1137151"/>
    <m/>
    <m/>
    <m/>
    <m/>
    <m/>
    <m/>
    <m/>
    <m/>
    <m/>
    <m/>
    <m/>
    <m/>
    <m/>
    <m/>
    <m/>
    <m/>
    <m/>
    <m/>
    <m/>
    <m/>
    <m/>
    <m/>
    <s v="https://bnh.lightning.force.com/001WP00000qBL3eYAG"/>
    <m/>
    <m/>
    <m/>
    <m/>
    <m/>
    <m/>
    <m/>
    <m/>
    <m/>
    <m/>
    <m/>
    <m/>
    <m/>
    <m/>
    <m/>
    <m/>
    <m/>
    <m/>
    <m/>
    <m/>
    <m/>
    <m/>
    <m/>
    <m/>
    <m/>
    <m/>
    <m/>
    <m/>
    <m/>
    <m/>
    <m/>
    <m/>
    <m/>
    <m/>
    <m/>
    <m/>
    <m/>
    <m/>
    <s v="CAD"/>
    <m/>
    <s v="No"/>
    <s v="Sergio Jonusas"/>
    <s v="Sergio Jonusas"/>
    <d v="2026-02-05T12:53:01"/>
    <s v="Promoter"/>
    <s v="Closed"/>
    <m/>
    <m/>
    <s v="Yes"/>
    <m/>
    <m/>
    <m/>
    <m/>
    <m/>
    <m/>
    <m/>
    <m/>
    <m/>
    <m/>
    <m/>
    <m/>
    <m/>
    <m/>
    <m/>
    <m/>
    <s v="A smooth, straightforward experience. Excellent service every time!"/>
    <m/>
    <m/>
    <m/>
    <m/>
    <s v="N/a"/>
    <m/>
    <m/>
    <m/>
    <m/>
    <m/>
    <m/>
    <m/>
    <m/>
    <m/>
    <m/>
    <m/>
    <m/>
    <m/>
    <m/>
    <m/>
    <m/>
    <m/>
    <m/>
    <m/>
    <m/>
    <m/>
    <m/>
    <m/>
    <m/>
    <m/>
    <m/>
    <m/>
    <m/>
    <m/>
    <m/>
    <m/>
    <m/>
    <m/>
    <m/>
    <m/>
    <m/>
    <m/>
    <m/>
    <m/>
    <m/>
    <m/>
    <m/>
    <m/>
    <m/>
    <m/>
    <m/>
    <m/>
    <m/>
    <m/>
    <m/>
    <m/>
    <m/>
    <m/>
    <m/>
    <m/>
    <m/>
    <m/>
    <m/>
    <m/>
    <m/>
    <m/>
    <m/>
    <m/>
    <m/>
    <m/>
    <m/>
    <m/>
    <m/>
    <m/>
    <m/>
    <m/>
    <m/>
    <m/>
    <m/>
    <m/>
    <m/>
    <m/>
    <m/>
    <m/>
    <m/>
    <m/>
    <m/>
    <s v="A smooth, straightforward experience. Excellent service every tim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5"/>
    <x v="2"/>
    <x v="0"/>
    <m/>
    <x v="0"/>
    <x v="0"/>
  </r>
  <r>
    <s v="Charlie Jones - Used Trade-In Product"/>
    <n v="10"/>
    <n v="5"/>
    <d v="2026-02-05T12:05:41"/>
    <n v="5191704"/>
    <s v="Used Trade-In Product"/>
    <m/>
    <s v="Charlie Jones"/>
    <m/>
    <s v="charliejonespdx@frontier.com"/>
    <m/>
    <s v="Beaverton;Oregon;97005"/>
    <s v="Beaverton;Oregon;97005"/>
    <s v="8 years 3 months"/>
    <s v="No"/>
    <m/>
    <m/>
    <s v="charliejonespdx@frontier.com"/>
    <s v="99"/>
    <m/>
    <m/>
    <m/>
    <m/>
    <m/>
    <m/>
    <m/>
    <m/>
    <d v="2026-02-10T12:13:38"/>
    <d v="2026-02-05T12:51:42"/>
    <m/>
    <s v="1136614"/>
    <m/>
    <m/>
    <m/>
    <m/>
    <m/>
    <m/>
    <m/>
    <m/>
    <m/>
    <m/>
    <m/>
    <m/>
    <m/>
    <m/>
    <m/>
    <m/>
    <m/>
    <m/>
    <m/>
    <m/>
    <m/>
    <m/>
    <s v="https://bnh.lightning.force.com/0011a00000lPMgwAAG"/>
    <m/>
    <m/>
    <m/>
    <m/>
    <m/>
    <m/>
    <m/>
    <m/>
    <m/>
    <m/>
    <m/>
    <m/>
    <m/>
    <m/>
    <m/>
    <m/>
    <m/>
    <m/>
    <m/>
    <m/>
    <m/>
    <m/>
    <m/>
    <m/>
    <m/>
    <m/>
    <m/>
    <m/>
    <m/>
    <m/>
    <m/>
    <m/>
    <m/>
    <m/>
    <m/>
    <m/>
    <m/>
    <m/>
    <s v="CAD"/>
    <m/>
    <s v="No"/>
    <s v="Sergio Jonusas,Avraham Schwartz,Reina Caba"/>
    <s v="Reina Caba"/>
    <d v="2026-02-05T12:28:28"/>
    <s v="Promoter"/>
    <s v="Closed"/>
    <d v="2026-02-10T12:13:34"/>
    <s v="Reina Caba (reinac@bhphoto.com)"/>
    <s v="Yes"/>
    <m/>
    <m/>
    <m/>
    <m/>
    <m/>
    <m/>
    <m/>
    <m/>
    <m/>
    <m/>
    <m/>
    <m/>
    <m/>
    <m/>
    <m/>
    <m/>
    <s v="The ease of selling gear that I don't plan on using again."/>
    <m/>
    <m/>
    <m/>
    <m/>
    <s v="Nothing other than I think it would be great if B&amp;H gave you extra $ if you send the money at B&amp;H on future purchases.  I sold two Canon EF lens with the intention of making room in the lens lineup for new RF len(s).  Why not make sure that I make the future purchase(s) at B&amp;H and not somewhere else."/>
    <m/>
    <m/>
    <m/>
    <m/>
    <m/>
    <m/>
    <m/>
    <m/>
    <m/>
    <m/>
    <m/>
    <m/>
    <m/>
    <m/>
    <m/>
    <m/>
    <m/>
    <m/>
    <m/>
    <m/>
    <m/>
    <m/>
    <m/>
    <m/>
    <m/>
    <m/>
    <m/>
    <m/>
    <m/>
    <m/>
    <m/>
    <m/>
    <m/>
    <m/>
    <m/>
    <m/>
    <m/>
    <m/>
    <m/>
    <m/>
    <m/>
    <m/>
    <m/>
    <m/>
    <m/>
    <m/>
    <m/>
    <m/>
    <m/>
    <m/>
    <m/>
    <m/>
    <m/>
    <m/>
    <m/>
    <m/>
    <m/>
    <m/>
    <m/>
    <m/>
    <m/>
    <m/>
    <m/>
    <m/>
    <m/>
    <m/>
    <m/>
    <m/>
    <m/>
    <m/>
    <m/>
    <m/>
    <m/>
    <m/>
    <m/>
    <m/>
    <m/>
    <m/>
    <m/>
    <m/>
    <m/>
    <m/>
    <s v="The ease of selling gear that I don't plan on using again."/>
    <s v="Nothing other than I think it would be great if B&amp;H gave you extra $ if you send the money at B&amp;H on future purchases.  I sold two Canon EF lens with the intention of making room in the lens lineup for new RF len(s).  Why not make sure that I make the future purchase(s) at B&amp;H and not somewhere els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Used &gt; Description &gt;"/>
    <s v="Trade In &gt; Overall Process &gt;, Trade In &gt; Quote Price &gt;"/>
    <m/>
    <m/>
    <s v="Used &gt; Description &gt; (No opinion)"/>
    <s v="Trade In &gt; Overall Process &gt; (Positive), Trade In &gt; Quote Price &gt; (Negative)"/>
    <s v="Yes"/>
    <s v="Yes"/>
    <m/>
    <x v="5"/>
    <x v="37"/>
    <x v="0"/>
    <m/>
    <x v="0"/>
    <x v="0"/>
  </r>
  <r>
    <s v="Kerry Drager - Used Trade-In Product"/>
    <n v="10"/>
    <n v="5"/>
    <d v="2026-02-05T11:35:36"/>
    <n v="5191631"/>
    <s v="Used Trade-In Product"/>
    <m/>
    <s v="Kerry Drager"/>
    <m/>
    <s v="kerry.drager@gmail.com"/>
    <m/>
    <s v="Morro Bay;California;93442"/>
    <s v="Morro Bay;California;93442"/>
    <s v="11 years 9 months"/>
    <s v="No"/>
    <m/>
    <m/>
    <s v="kerry.drager@gmail.com"/>
    <s v="141"/>
    <m/>
    <m/>
    <m/>
    <m/>
    <m/>
    <m/>
    <m/>
    <m/>
    <d v="2026-02-05T13:02:57"/>
    <d v="2026-02-05T12:52:51"/>
    <m/>
    <s v="1135977"/>
    <m/>
    <m/>
    <m/>
    <m/>
    <m/>
    <m/>
    <m/>
    <m/>
    <m/>
    <m/>
    <m/>
    <m/>
    <m/>
    <m/>
    <m/>
    <m/>
    <m/>
    <m/>
    <m/>
    <m/>
    <m/>
    <m/>
    <s v="https://bnh.lightning.force.com/0018X00003MYGsNQAX"/>
    <m/>
    <m/>
    <m/>
    <m/>
    <m/>
    <m/>
    <m/>
    <m/>
    <m/>
    <m/>
    <m/>
    <m/>
    <m/>
    <m/>
    <m/>
    <m/>
    <m/>
    <m/>
    <m/>
    <m/>
    <m/>
    <m/>
    <m/>
    <m/>
    <m/>
    <m/>
    <m/>
    <m/>
    <m/>
    <m/>
    <m/>
    <m/>
    <m/>
    <m/>
    <m/>
    <m/>
    <m/>
    <m/>
    <s v="CAD"/>
    <m/>
    <s v="No"/>
    <s v="Sergio Jonusas"/>
    <s v="Sergio Jonusas"/>
    <d v="2026-02-05T12:00:03"/>
    <s v="Promoter"/>
    <s v="Closed"/>
    <m/>
    <m/>
    <s v="Yes"/>
    <m/>
    <m/>
    <m/>
    <m/>
    <m/>
    <m/>
    <m/>
    <m/>
    <m/>
    <m/>
    <m/>
    <m/>
    <m/>
    <m/>
    <m/>
    <m/>
    <s v="The ease of receiving the quote and then completing the transaction."/>
    <m/>
    <m/>
    <m/>
    <m/>
    <m/>
    <m/>
    <m/>
    <m/>
    <m/>
    <m/>
    <m/>
    <m/>
    <m/>
    <m/>
    <m/>
    <m/>
    <m/>
    <m/>
    <m/>
    <m/>
    <m/>
    <m/>
    <m/>
    <m/>
    <m/>
    <m/>
    <m/>
    <m/>
    <m/>
    <m/>
    <m/>
    <m/>
    <m/>
    <m/>
    <m/>
    <m/>
    <m/>
    <m/>
    <m/>
    <m/>
    <m/>
    <m/>
    <m/>
    <m/>
    <m/>
    <m/>
    <m/>
    <m/>
    <m/>
    <m/>
    <m/>
    <m/>
    <m/>
    <m/>
    <m/>
    <m/>
    <m/>
    <m/>
    <m/>
    <m/>
    <m/>
    <m/>
    <m/>
    <m/>
    <m/>
    <m/>
    <m/>
    <m/>
    <m/>
    <m/>
    <m/>
    <m/>
    <m/>
    <m/>
    <m/>
    <m/>
    <m/>
    <m/>
    <m/>
    <m/>
    <m/>
    <m/>
    <m/>
    <m/>
    <m/>
    <m/>
    <m/>
    <s v="The ease of receiving the quote and then completing the transac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13"/>
    <x v="0"/>
    <x v="0"/>
    <m/>
    <x v="0"/>
    <x v="0"/>
  </r>
  <r>
    <s v="Gary Wiemokly - Used Trade-In Product"/>
    <n v="10"/>
    <n v="5"/>
    <d v="2026-02-05T11:12:25"/>
    <n v="5191558"/>
    <s v="Used Trade-In Product"/>
    <m/>
    <s v="Gary Wiemokly"/>
    <m/>
    <s v="gwiemokl@gmail.com"/>
    <m/>
    <s v="Lafayette;Colorado;80026"/>
    <s v="Lafayette;Colorado;80026"/>
    <s v="8 years 8 months"/>
    <s v="No"/>
    <m/>
    <m/>
    <s v="gwiemokl@gmail.com"/>
    <s v="104"/>
    <m/>
    <m/>
    <m/>
    <m/>
    <m/>
    <m/>
    <m/>
    <m/>
    <d v="2026-02-05T15:22:04"/>
    <d v="2026-02-05T12:54:24"/>
    <m/>
    <s v="1137423"/>
    <m/>
    <m/>
    <m/>
    <m/>
    <m/>
    <m/>
    <m/>
    <m/>
    <m/>
    <m/>
    <m/>
    <m/>
    <m/>
    <m/>
    <m/>
    <m/>
    <m/>
    <m/>
    <m/>
    <m/>
    <m/>
    <m/>
    <s v="https://bnh.lightning.force.com/001WP00000nAlUrYAK"/>
    <m/>
    <m/>
    <m/>
    <m/>
    <m/>
    <m/>
    <m/>
    <m/>
    <m/>
    <m/>
    <m/>
    <m/>
    <m/>
    <m/>
    <m/>
    <m/>
    <m/>
    <m/>
    <m/>
    <m/>
    <m/>
    <m/>
    <m/>
    <m/>
    <m/>
    <m/>
    <m/>
    <m/>
    <m/>
    <m/>
    <m/>
    <m/>
    <m/>
    <m/>
    <m/>
    <m/>
    <m/>
    <m/>
    <s v="CAD"/>
    <m/>
    <s v="No"/>
    <s v="Sergio Jonusas"/>
    <s v="Sergio Jonusas"/>
    <d v="2026-02-05T11:30:07"/>
    <s v="Promoter"/>
    <s v="Closed"/>
    <m/>
    <m/>
    <s v="Yes"/>
    <m/>
    <m/>
    <m/>
    <m/>
    <m/>
    <m/>
    <m/>
    <m/>
    <m/>
    <m/>
    <m/>
    <m/>
    <m/>
    <m/>
    <m/>
    <m/>
    <s v="This is a very easy experience. Your online process is very simple and precise. Then I get updates on the status. It's pretty fast and usually what was assessed online. This time I screwed up the version (I had version 1 and put down 2). Your team called me up and explained. Pretty easy my mistake - they updated price, asked if ok, and then off to process. Check came in the mail."/>
    <m/>
    <m/>
    <m/>
    <m/>
    <s v="Usually I sell something old, not used anymore to replace with something I could use more. So I sell and then buy through B&amp;H (I don't shop too much since I know prices are good). What I'd like is to have store credit that I can use online. Instead I either have to take credit and call to order, or I have to get a check mailed and then order. Not the end of the world but it would be more convenient to have the credit to use online"/>
    <m/>
    <m/>
    <m/>
    <m/>
    <m/>
    <m/>
    <m/>
    <m/>
    <m/>
    <m/>
    <m/>
    <m/>
    <m/>
    <m/>
    <m/>
    <m/>
    <m/>
    <m/>
    <m/>
    <m/>
    <m/>
    <m/>
    <m/>
    <m/>
    <m/>
    <m/>
    <m/>
    <m/>
    <m/>
    <m/>
    <m/>
    <m/>
    <m/>
    <m/>
    <m/>
    <m/>
    <m/>
    <m/>
    <m/>
    <m/>
    <m/>
    <m/>
    <m/>
    <m/>
    <m/>
    <m/>
    <m/>
    <m/>
    <m/>
    <m/>
    <m/>
    <m/>
    <m/>
    <m/>
    <m/>
    <m/>
    <m/>
    <m/>
    <m/>
    <m/>
    <m/>
    <m/>
    <m/>
    <m/>
    <m/>
    <m/>
    <m/>
    <m/>
    <m/>
    <m/>
    <m/>
    <m/>
    <m/>
    <m/>
    <m/>
    <m/>
    <m/>
    <m/>
    <m/>
    <m/>
    <m/>
    <m/>
    <s v="This is a very easy experience. Your online process is very simple and precise. Then I get updates on the status. It's pretty fast and usually what was assessed online. This time I screwed up the version (I had version 1 and put down 2). Your team called me up and explained. Pretty easy my mistake - they updated price, asked if ok, and then off to process. Check came in the mail."/>
    <s v="Usually I sell something old, not used anymore to replace with something I could use more. So I sell and then buy through B&amp;H (I don't shop too much since I know prices are good). What I'd like is to have store credit that I can use online. Instead I either have to take credit and call to order, or I have to get a check mailed and then order. Not the end of the world but it would be more convenient to have the credit to use onli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Description &gt;, Used &gt; Pricing &gt;, Website &gt; Order Tracking &gt;"/>
    <s v="Payment &gt; Online &gt;, People &gt; Follow Up &gt;, Pricing &gt; Value for Money &gt;, Trade In &gt; Overall Process &gt;, Trade In &gt; Quote Price &gt;, Used &gt; Description &gt;, Used &gt; Pricing &gt;, Website &gt; Order Tracking &gt;"/>
    <m/>
    <s v="NEUTRAL"/>
    <s v="Pricing &gt; Value for Money &gt; (Positive), Trade In &gt; Overall Process &gt; (Positive), Trade In &gt; Quote Price &gt; (Positive), Used &gt; Description &gt; (Negative), Used &gt; Description &gt; (No opinion), Used &gt; Pricing &gt; (Positive), Website &gt; Order Tracking &gt; (No opinion)"/>
    <s v="Payment &gt; Online &gt; (Negative), People &gt; Follow Up &gt; (Positive), Pricing &gt; Value for Money &gt; (Positive), Trade In &gt; Overall Process &gt; (Negative), Trade In &gt; Overall Process &gt; (Positive), Trade In &gt; Quote Price &gt; (Positive), Used &gt; Description &gt; (No opinion), Used &gt; Pricing &gt; (Positive), Website &gt; Order Tracking &gt; (No opinion)"/>
    <s v="Yes"/>
    <s v="Yes"/>
    <m/>
    <x v="0"/>
    <x v="35"/>
    <x v="13"/>
    <s v="Wants to use trade-in store credit online (instead of having to call in)"/>
    <x v="0"/>
    <x v="0"/>
  </r>
  <r>
    <s v="Jinger Brulz - Used Trade-In Product"/>
    <n v="9"/>
    <n v="5"/>
    <d v="2026-02-05T10:52:25"/>
    <n v="5191485"/>
    <s v="Used Trade-In Product"/>
    <m/>
    <s v="Jinger Brulz"/>
    <m/>
    <s v="jingerbrulz@gmail.com"/>
    <m/>
    <s v="Menomonie;Wisconsin;54751"/>
    <m/>
    <m/>
    <s v="No"/>
    <m/>
    <m/>
    <s v="jingerbrulz@gmail.com"/>
    <m/>
    <m/>
    <m/>
    <m/>
    <m/>
    <m/>
    <m/>
    <m/>
    <m/>
    <d v="2026-02-05T13:13:10"/>
    <d v="2026-02-05T12:54:41"/>
    <m/>
    <s v="1134744"/>
    <m/>
    <m/>
    <m/>
    <m/>
    <m/>
    <m/>
    <m/>
    <m/>
    <m/>
    <m/>
    <m/>
    <m/>
    <m/>
    <m/>
    <m/>
    <m/>
    <m/>
    <m/>
    <m/>
    <m/>
    <m/>
    <m/>
    <s v="https://bnh.lightning.force.com/001WP00000oqkBkYAI"/>
    <m/>
    <m/>
    <m/>
    <m/>
    <m/>
    <m/>
    <m/>
    <m/>
    <m/>
    <m/>
    <m/>
    <m/>
    <m/>
    <m/>
    <m/>
    <m/>
    <m/>
    <m/>
    <m/>
    <m/>
    <m/>
    <m/>
    <m/>
    <m/>
    <m/>
    <m/>
    <m/>
    <m/>
    <m/>
    <m/>
    <m/>
    <m/>
    <m/>
    <m/>
    <m/>
    <m/>
    <m/>
    <m/>
    <s v="CAD"/>
    <m/>
    <s v="No"/>
    <s v="Sergio Jonusas"/>
    <s v="Sergio Jonusas"/>
    <d v="2026-02-05T11:09:14"/>
    <s v="Promoter"/>
    <s v="Closed"/>
    <m/>
    <m/>
    <s v="Yes"/>
    <m/>
    <m/>
    <m/>
    <m/>
    <m/>
    <m/>
    <m/>
    <m/>
    <m/>
    <m/>
    <m/>
    <m/>
    <m/>
    <m/>
    <m/>
    <m/>
    <s v="B&amp;H were great at keeping me up to date.  There was a bit of a delay but they communicated that effectively.  I will definitely sell used items and look for used items to buy as well."/>
    <m/>
    <m/>
    <m/>
    <m/>
    <s v="They did not want some of my used sony gear."/>
    <m/>
    <m/>
    <m/>
    <m/>
    <m/>
    <m/>
    <m/>
    <m/>
    <m/>
    <m/>
    <m/>
    <m/>
    <m/>
    <m/>
    <m/>
    <m/>
    <m/>
    <m/>
    <m/>
    <m/>
    <m/>
    <m/>
    <m/>
    <m/>
    <m/>
    <m/>
    <m/>
    <m/>
    <m/>
    <m/>
    <m/>
    <m/>
    <m/>
    <m/>
    <m/>
    <m/>
    <m/>
    <m/>
    <m/>
    <m/>
    <m/>
    <m/>
    <m/>
    <m/>
    <m/>
    <m/>
    <m/>
    <m/>
    <m/>
    <m/>
    <m/>
    <m/>
    <m/>
    <m/>
    <m/>
    <m/>
    <m/>
    <m/>
    <m/>
    <m/>
    <m/>
    <m/>
    <m/>
    <m/>
    <m/>
    <m/>
    <m/>
    <m/>
    <m/>
    <m/>
    <m/>
    <m/>
    <m/>
    <m/>
    <m/>
    <m/>
    <m/>
    <m/>
    <m/>
    <m/>
    <m/>
    <m/>
    <s v="B&amp;H were great at keeping me up to date.  There was a bit of a delay but they communicated that effectively.  I will definitely sell used items and look for used items to buy as well."/>
    <s v="They did not want some of my used sony gea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m/>
    <s v="People &gt; Follow Up &gt;, Trade In &gt; Overall Process &gt;, Trade In &gt; Timeliness of Payment &gt;"/>
    <m/>
    <m/>
    <m/>
    <s v="People &gt; Follow Up &gt; (Positive), Trade In &gt; Overall Process &gt; (Negative), Trade In &gt; Timeliness of Payment &gt; (Negative)"/>
    <s v="Yes"/>
    <s v="No"/>
    <m/>
    <x v="36"/>
    <x v="14"/>
    <x v="0"/>
    <m/>
    <x v="0"/>
    <x v="0"/>
  </r>
  <r>
    <s v="Stanley Rothstein - Used Trade-In Product"/>
    <n v="10"/>
    <n v="5"/>
    <d v="2026-02-05T10:32:01"/>
    <n v="5191418"/>
    <s v="Used Trade-In Product"/>
    <m/>
    <s v="Stanley Rothstein"/>
    <m/>
    <s v="stanleyrothstein2@gmail.com"/>
    <m/>
    <s v="West Simsbury;Connecticut;06092"/>
    <s v="West Simsbury;Connecticut;06092"/>
    <s v="4 years 1 months"/>
    <s v="No"/>
    <m/>
    <m/>
    <s v="stanleyrothstein2@gmail.com"/>
    <s v="49"/>
    <m/>
    <m/>
    <m/>
    <m/>
    <m/>
    <m/>
    <m/>
    <m/>
    <d v="2026-02-05T13:14:37"/>
    <d v="2026-02-05T12:53:08"/>
    <m/>
    <s v="1137645"/>
    <m/>
    <m/>
    <m/>
    <m/>
    <m/>
    <m/>
    <m/>
    <m/>
    <m/>
    <m/>
    <m/>
    <m/>
    <m/>
    <m/>
    <m/>
    <m/>
    <m/>
    <m/>
    <m/>
    <m/>
    <m/>
    <m/>
    <s v="https://bnh.lightning.force.com/0012L00001JTluYQAT"/>
    <m/>
    <m/>
    <m/>
    <m/>
    <m/>
    <m/>
    <m/>
    <m/>
    <m/>
    <m/>
    <m/>
    <m/>
    <m/>
    <m/>
    <m/>
    <m/>
    <m/>
    <m/>
    <m/>
    <m/>
    <m/>
    <m/>
    <m/>
    <m/>
    <m/>
    <m/>
    <m/>
    <m/>
    <m/>
    <m/>
    <m/>
    <m/>
    <m/>
    <m/>
    <m/>
    <m/>
    <m/>
    <m/>
    <s v="CAD"/>
    <m/>
    <s v="No"/>
    <s v="Sergio Jonusas"/>
    <s v="Sergio Jonusas"/>
    <d v="2026-02-05T10:54:29"/>
    <s v="Promoter"/>
    <s v="Closed"/>
    <m/>
    <m/>
    <s v="Yes"/>
    <m/>
    <m/>
    <m/>
    <m/>
    <m/>
    <m/>
    <m/>
    <m/>
    <m/>
    <m/>
    <m/>
    <m/>
    <m/>
    <m/>
    <m/>
    <m/>
    <s v="Efficient and effective experience throughout the transaction."/>
    <m/>
    <m/>
    <m/>
    <m/>
    <s v="Took longer than expected to examine the item."/>
    <m/>
    <m/>
    <m/>
    <m/>
    <m/>
    <m/>
    <m/>
    <m/>
    <m/>
    <m/>
    <m/>
    <m/>
    <m/>
    <m/>
    <m/>
    <m/>
    <m/>
    <m/>
    <m/>
    <m/>
    <m/>
    <m/>
    <m/>
    <m/>
    <m/>
    <m/>
    <m/>
    <m/>
    <m/>
    <m/>
    <m/>
    <m/>
    <m/>
    <m/>
    <m/>
    <m/>
    <m/>
    <m/>
    <m/>
    <m/>
    <m/>
    <m/>
    <m/>
    <m/>
    <m/>
    <m/>
    <m/>
    <m/>
    <m/>
    <m/>
    <m/>
    <m/>
    <m/>
    <m/>
    <m/>
    <m/>
    <m/>
    <m/>
    <m/>
    <m/>
    <m/>
    <m/>
    <m/>
    <m/>
    <m/>
    <m/>
    <m/>
    <m/>
    <m/>
    <m/>
    <m/>
    <m/>
    <m/>
    <m/>
    <m/>
    <m/>
    <m/>
    <m/>
    <m/>
    <m/>
    <m/>
    <m/>
    <s v="Efficient and effective experience throughout the transaction."/>
    <s v="Took longer than expected to examine the ite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4"/>
    <n v="5"/>
    <n v="5"/>
    <n v="4"/>
    <m/>
    <m/>
    <m/>
    <m/>
    <m/>
    <m/>
    <m/>
    <m/>
    <m/>
    <m/>
    <m/>
    <m/>
    <m/>
    <m/>
    <m/>
    <m/>
    <m/>
    <m/>
    <m/>
    <m/>
    <m/>
    <m/>
    <m/>
    <m/>
    <m/>
    <m/>
    <m/>
    <m/>
    <m/>
    <m/>
    <m/>
    <m/>
    <m/>
    <m/>
    <m/>
    <m/>
    <m/>
    <m/>
    <m/>
    <m/>
    <m/>
    <m/>
    <m/>
    <m/>
    <m/>
    <m/>
    <m/>
    <m/>
    <m/>
    <m/>
    <m/>
    <m/>
    <m/>
    <m/>
    <m/>
    <m/>
    <m/>
    <m/>
    <m/>
    <m/>
    <m/>
    <m/>
    <m/>
    <m/>
    <m/>
    <m/>
    <m/>
    <m/>
    <m/>
    <m/>
    <m/>
    <m/>
    <m/>
    <m/>
    <m/>
    <m/>
    <m/>
    <m/>
    <m/>
    <m/>
    <m/>
    <m/>
    <m/>
    <m/>
    <m/>
    <m/>
    <m/>
    <m/>
    <m/>
    <m/>
    <m/>
    <m/>
    <m/>
    <m/>
    <m/>
    <m/>
    <m/>
    <m/>
    <m/>
    <m/>
    <m/>
    <s v="B&amp;H &gt; Satisfaction &gt;"/>
    <s v="B&amp;H &gt; Satisfaction &gt;, Trade In &gt; Overall Process &gt;"/>
    <m/>
    <m/>
    <s v="B&amp;H &gt; Satisfaction &gt; (Positive)"/>
    <s v="B&amp;H &gt; Satisfaction &gt; (Positive), Trade In &gt; Overall Process &gt; (Negative), Trade In &gt; Overall Process &gt; (Positive)"/>
    <s v="Yes"/>
    <s v="No"/>
    <m/>
    <x v="25"/>
    <x v="4"/>
    <x v="0"/>
    <m/>
    <x v="0"/>
    <x v="0"/>
  </r>
  <r>
    <s v="Paul Westbrook - Used Trade-In Product"/>
    <n v="10"/>
    <n v="5"/>
    <d v="2026-02-05T10:29:23"/>
    <n v="5191397"/>
    <s v="Used Trade-In Product"/>
    <m/>
    <s v="Paul Westbrook"/>
    <m/>
    <s v="westbrookpr@gmail.com"/>
    <m/>
    <s v="Godfrey;Illinois;62035"/>
    <s v="Godfrey;Illinois;62035"/>
    <s v="1 months"/>
    <s v="No"/>
    <m/>
    <m/>
    <s v="westbrookpr@gmail.com"/>
    <s v="1"/>
    <m/>
    <m/>
    <m/>
    <m/>
    <m/>
    <m/>
    <m/>
    <m/>
    <d v="2026-02-05T13:15:19"/>
    <d v="2026-02-04T12:50:29"/>
    <m/>
    <s v="1136819"/>
    <m/>
    <m/>
    <m/>
    <m/>
    <m/>
    <m/>
    <m/>
    <m/>
    <m/>
    <m/>
    <m/>
    <m/>
    <m/>
    <m/>
    <m/>
    <m/>
    <m/>
    <m/>
    <m/>
    <m/>
    <m/>
    <m/>
    <s v="https://bnh.lightning.force.com/001WP00000pzyfLYAQ"/>
    <m/>
    <m/>
    <m/>
    <m/>
    <m/>
    <m/>
    <m/>
    <m/>
    <m/>
    <m/>
    <m/>
    <m/>
    <m/>
    <m/>
    <m/>
    <m/>
    <m/>
    <m/>
    <m/>
    <m/>
    <m/>
    <m/>
    <m/>
    <m/>
    <m/>
    <m/>
    <m/>
    <m/>
    <m/>
    <m/>
    <m/>
    <m/>
    <m/>
    <m/>
    <m/>
    <m/>
    <m/>
    <m/>
    <s v="CAD"/>
    <m/>
    <s v="No"/>
    <s v="Sergio Jonusas"/>
    <s v="Sergio Jonusas"/>
    <d v="2026-02-05T10:42:09"/>
    <s v="Promoter"/>
    <s v="Closed"/>
    <m/>
    <m/>
    <s v="Yes"/>
    <m/>
    <m/>
    <m/>
    <m/>
    <m/>
    <m/>
    <m/>
    <m/>
    <m/>
    <m/>
    <m/>
    <m/>
    <m/>
    <m/>
    <m/>
    <m/>
    <s v="This was a very convenient, seamless process that took the hassle out of deciding what to do with my older camera equipment. From shipping the equipment with the provided pre-paid label, to receiving the check in the mail, I am quite pleased."/>
    <m/>
    <m/>
    <m/>
    <m/>
    <s v="Nothing!"/>
    <m/>
    <m/>
    <m/>
    <m/>
    <m/>
    <m/>
    <m/>
    <m/>
    <m/>
    <m/>
    <m/>
    <m/>
    <m/>
    <m/>
    <m/>
    <m/>
    <m/>
    <m/>
    <m/>
    <m/>
    <m/>
    <m/>
    <m/>
    <m/>
    <m/>
    <m/>
    <m/>
    <m/>
    <m/>
    <m/>
    <m/>
    <m/>
    <m/>
    <m/>
    <m/>
    <m/>
    <m/>
    <m/>
    <m/>
    <m/>
    <m/>
    <m/>
    <m/>
    <m/>
    <m/>
    <m/>
    <m/>
    <m/>
    <m/>
    <m/>
    <m/>
    <m/>
    <m/>
    <m/>
    <m/>
    <m/>
    <m/>
    <m/>
    <m/>
    <m/>
    <m/>
    <m/>
    <m/>
    <m/>
    <m/>
    <m/>
    <m/>
    <m/>
    <m/>
    <m/>
    <m/>
    <m/>
    <m/>
    <m/>
    <m/>
    <m/>
    <m/>
    <m/>
    <m/>
    <m/>
    <m/>
    <m/>
    <s v="This was a very convenient, seamless process that took the hassle out of deciding what to do with my older camera equipment. From shipping the equipment with the provided pre-paid label, to receiving the check in the mail, I am quite pleased."/>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Positive)"/>
    <s v="Trade In &gt; Overall Process &gt; (Positive), Trade In &gt; Timeliness of Payment &gt; (Positive)"/>
    <s v="Yes"/>
    <s v="No"/>
    <m/>
    <x v="5"/>
    <x v="26"/>
    <x v="0"/>
    <m/>
    <x v="0"/>
    <x v="0"/>
  </r>
  <r>
    <s v="Kenneth Clason - Used Trade-In Product"/>
    <n v="10"/>
    <n v="5"/>
    <d v="2026-02-05T10:12:40"/>
    <n v="5191360"/>
    <s v="Used Trade-In Product"/>
    <m/>
    <s v="Kenneth Clason"/>
    <m/>
    <s v="kenneth.clason@gmail.com"/>
    <m/>
    <s v="Tiffin;Ohio;44883"/>
    <s v="Tiffin;Ohio;44883"/>
    <s v="10 years 6 months"/>
    <s v="Yes"/>
    <m/>
    <m/>
    <s v="kenneth.clason@gmail.com"/>
    <s v="126"/>
    <m/>
    <m/>
    <m/>
    <m/>
    <m/>
    <m/>
    <m/>
    <m/>
    <d v="2026-02-05T13:16:56"/>
    <d v="2026-02-05T12:54:43"/>
    <m/>
    <s v="1137199"/>
    <m/>
    <m/>
    <m/>
    <m/>
    <m/>
    <m/>
    <m/>
    <m/>
    <m/>
    <m/>
    <m/>
    <m/>
    <m/>
    <m/>
    <m/>
    <m/>
    <m/>
    <m/>
    <m/>
    <m/>
    <m/>
    <m/>
    <s v="https://bnh.lightning.force.com/001Hs00005n0c6LIAQ"/>
    <m/>
    <m/>
    <m/>
    <m/>
    <m/>
    <m/>
    <m/>
    <m/>
    <m/>
    <m/>
    <m/>
    <m/>
    <m/>
    <m/>
    <m/>
    <m/>
    <m/>
    <m/>
    <m/>
    <m/>
    <m/>
    <m/>
    <m/>
    <m/>
    <m/>
    <m/>
    <m/>
    <m/>
    <m/>
    <m/>
    <m/>
    <m/>
    <m/>
    <m/>
    <m/>
    <m/>
    <m/>
    <m/>
    <s v="CAD"/>
    <m/>
    <s v="No"/>
    <s v="Sergio Jonusas"/>
    <s v="Sergio Jonusas"/>
    <d v="2026-02-05T10:30:25"/>
    <s v="Promoter"/>
    <s v="Closed"/>
    <m/>
    <m/>
    <s v="Yes"/>
    <m/>
    <m/>
    <m/>
    <m/>
    <m/>
    <m/>
    <m/>
    <m/>
    <m/>
    <m/>
    <m/>
    <m/>
    <m/>
    <m/>
    <m/>
    <m/>
    <s v="Very easy and quick."/>
    <m/>
    <m/>
    <m/>
    <m/>
    <s v="Higher quote would always be great!"/>
    <m/>
    <m/>
    <m/>
    <m/>
    <m/>
    <m/>
    <m/>
    <m/>
    <m/>
    <m/>
    <m/>
    <m/>
    <m/>
    <m/>
    <m/>
    <m/>
    <m/>
    <m/>
    <m/>
    <m/>
    <m/>
    <m/>
    <m/>
    <m/>
    <m/>
    <m/>
    <m/>
    <m/>
    <m/>
    <m/>
    <m/>
    <m/>
    <m/>
    <m/>
    <m/>
    <m/>
    <m/>
    <m/>
    <m/>
    <m/>
    <m/>
    <m/>
    <m/>
    <m/>
    <m/>
    <m/>
    <m/>
    <m/>
    <m/>
    <m/>
    <m/>
    <m/>
    <m/>
    <m/>
    <m/>
    <m/>
    <m/>
    <m/>
    <m/>
    <m/>
    <m/>
    <m/>
    <m/>
    <m/>
    <m/>
    <m/>
    <m/>
    <m/>
    <m/>
    <m/>
    <m/>
    <m/>
    <m/>
    <m/>
    <m/>
    <m/>
    <m/>
    <m/>
    <m/>
    <m/>
    <m/>
    <m/>
    <s v="Very easy and quick."/>
    <s v="Higher quote would always be grea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Quote Price &gt;"/>
    <s v="Trade In &gt; Overall Process &gt;, Trade In &gt; Quote Price &gt;"/>
    <m/>
    <m/>
    <s v="Trade In &gt; Overall Process &gt; (Negative), Trade In &gt; Quote Price &gt; (Negative)"/>
    <s v="Trade In &gt; Overall Process &gt; (Positive), Trade In &gt; Quote Price &gt; (Negative)"/>
    <s v="Yes"/>
    <s v="Yes"/>
    <m/>
    <x v="0"/>
    <x v="8"/>
    <x v="0"/>
    <m/>
    <x v="0"/>
    <x v="0"/>
  </r>
  <r>
    <s v="Lisa Maco - Used Trade-In Product"/>
    <n v="10"/>
    <n v="5"/>
    <d v="2026-02-05T10:12:25"/>
    <n v="5191340"/>
    <s v="Used Trade-In Product"/>
    <m/>
    <s v="Lisa Maco"/>
    <m/>
    <s v="lisa@lisamaco.com"/>
    <m/>
    <s v="Washington;District Of Columbia;20007"/>
    <m/>
    <s v="13 years 0 months"/>
    <s v="No"/>
    <m/>
    <m/>
    <s v="lisa@lisamaco.com"/>
    <s v="156"/>
    <m/>
    <m/>
    <m/>
    <m/>
    <m/>
    <m/>
    <m/>
    <m/>
    <d v="2026-02-05T13:18:21"/>
    <d v="2026-02-04T12:51:08"/>
    <m/>
    <s v="1137154"/>
    <m/>
    <m/>
    <m/>
    <m/>
    <m/>
    <m/>
    <m/>
    <m/>
    <m/>
    <m/>
    <m/>
    <m/>
    <m/>
    <m/>
    <m/>
    <m/>
    <m/>
    <m/>
    <m/>
    <m/>
    <m/>
    <m/>
    <s v="https://bnh.lightning.force.com/0012L00001Ef927QAB"/>
    <m/>
    <m/>
    <m/>
    <m/>
    <m/>
    <m/>
    <m/>
    <m/>
    <m/>
    <m/>
    <m/>
    <m/>
    <m/>
    <m/>
    <m/>
    <m/>
    <m/>
    <m/>
    <m/>
    <m/>
    <m/>
    <m/>
    <m/>
    <m/>
    <m/>
    <m/>
    <m/>
    <m/>
    <m/>
    <m/>
    <m/>
    <m/>
    <m/>
    <m/>
    <m/>
    <m/>
    <m/>
    <m/>
    <s v="CAD"/>
    <m/>
    <s v="No"/>
    <s v="Sergio Jonusas"/>
    <s v="Sergio Jonusas"/>
    <d v="2026-02-05T10:26:16"/>
    <s v="Promoter"/>
    <s v="Closed"/>
    <m/>
    <m/>
    <s v="Yes"/>
    <m/>
    <m/>
    <m/>
    <m/>
    <m/>
    <m/>
    <m/>
    <m/>
    <m/>
    <m/>
    <m/>
    <m/>
    <m/>
    <m/>
    <m/>
    <m/>
    <s v="It was all very straight-forward and there was no dickering on the price after you received the lens from me."/>
    <m/>
    <m/>
    <m/>
    <m/>
    <s v="I wish you had a description of your ranges of quality. I chatted with someone to get the explanations of each level, but having it on the same page as the form would have been a better experience. Also, I initiated a trade of old lens for a new lens through Nikon, but did not complete it. Nikon was willing to give me slightly more for my old lens and this would have been 1 transaction, but Nikon did not have the lens I wanted in stock and you did. I do like the idea of a trade-in and wish you also had that option."/>
    <m/>
    <m/>
    <m/>
    <m/>
    <m/>
    <m/>
    <m/>
    <m/>
    <m/>
    <m/>
    <m/>
    <m/>
    <m/>
    <m/>
    <m/>
    <m/>
    <m/>
    <m/>
    <m/>
    <m/>
    <m/>
    <m/>
    <m/>
    <m/>
    <m/>
    <m/>
    <m/>
    <m/>
    <m/>
    <m/>
    <m/>
    <m/>
    <m/>
    <m/>
    <m/>
    <m/>
    <m/>
    <m/>
    <m/>
    <m/>
    <m/>
    <m/>
    <m/>
    <m/>
    <m/>
    <m/>
    <m/>
    <m/>
    <m/>
    <m/>
    <m/>
    <m/>
    <m/>
    <m/>
    <m/>
    <m/>
    <m/>
    <m/>
    <m/>
    <m/>
    <m/>
    <m/>
    <m/>
    <m/>
    <m/>
    <m/>
    <m/>
    <m/>
    <m/>
    <m/>
    <m/>
    <m/>
    <m/>
    <m/>
    <m/>
    <m/>
    <m/>
    <m/>
    <m/>
    <m/>
    <m/>
    <m/>
    <s v="It was all very straight-forward and there was no dickering on the price after you received the lens from me."/>
    <s v="I wish you had a description of your ranges of quality. I chatted with someone to get the explanations of each level, but having it on the same page as the form would have been a better experience. Also, I initiated a trade of old lens for a new lens through Nikon, but did not complete it. Nikon was willing to give me slightly more for my old lens and this would have been 1 transaction, but Nikon did not have the lens I wanted in stock and you did. I do like the idea of a trade-in and wish you also had that op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Product &gt; Selection / Variety &gt;, Used &gt; Pricing &gt;"/>
    <s v="B&amp;H &gt; Competitor Mentions &gt;, B&amp;H &gt; Satisfaction &gt;, Trade In &gt; Overall Process &gt;, Trade In &gt; Timeliness of Payment &gt;, Website &gt; Content Product Details / Information &gt;"/>
    <m/>
    <m/>
    <s v="B&amp;H &gt; Satisfaction &gt; (Negative), Product &gt; Selection / Variety &gt; (Negative), Used &gt; Pricing &gt; (Positive)"/>
    <s v="B&amp;H &gt; Competitor Mentions &gt; (Positive), B&amp;H &gt; Satisfaction &gt; (Negative), Trade In &gt; Overall Process &gt; (Positive), Trade In &gt; Timeliness of Payment &gt; (Positive), Website &gt; Content Product Details / Information &gt; (Negative)"/>
    <s v="Yes"/>
    <s v="No"/>
    <m/>
    <x v="25"/>
    <x v="38"/>
    <x v="19"/>
    <m/>
    <x v="0"/>
    <x v="0"/>
  </r>
  <r>
    <s v="Barry Swidler - Used Trade-In Product"/>
    <n v="10"/>
    <n v="5"/>
    <d v="2026-02-05T09:59:20"/>
    <n v="5191297"/>
    <s v="Used Trade-In Product"/>
    <m/>
    <s v="Barry Swidler"/>
    <m/>
    <s v="barryswid@gmail.com"/>
    <m/>
    <s v="Missoula;Montana;59808"/>
    <s v="Missoula;Montana;59808"/>
    <s v="9 years 0 months"/>
    <s v="No"/>
    <m/>
    <m/>
    <s v="barryswid@gmail.com"/>
    <s v="108"/>
    <m/>
    <m/>
    <m/>
    <m/>
    <m/>
    <m/>
    <m/>
    <m/>
    <d v="2026-02-05T10:41:13"/>
    <d v="2026-02-05T12:54:23"/>
    <m/>
    <s v="1135959"/>
    <m/>
    <m/>
    <m/>
    <m/>
    <m/>
    <m/>
    <m/>
    <m/>
    <m/>
    <m/>
    <m/>
    <m/>
    <m/>
    <m/>
    <m/>
    <m/>
    <m/>
    <m/>
    <m/>
    <m/>
    <m/>
    <m/>
    <s v="https://bnh.lightning.force.com/0011a00000c0crSAAQ"/>
    <m/>
    <m/>
    <m/>
    <m/>
    <m/>
    <m/>
    <m/>
    <m/>
    <m/>
    <m/>
    <m/>
    <m/>
    <m/>
    <m/>
    <m/>
    <m/>
    <m/>
    <m/>
    <m/>
    <m/>
    <m/>
    <m/>
    <m/>
    <m/>
    <m/>
    <m/>
    <m/>
    <m/>
    <m/>
    <m/>
    <m/>
    <m/>
    <m/>
    <m/>
    <m/>
    <m/>
    <m/>
    <m/>
    <s v="CAD"/>
    <m/>
    <s v="No"/>
    <s v="Freddy Gomez"/>
    <s v="Freddy Gomez"/>
    <d v="2026-02-05T10:17:27"/>
    <s v="Promoter"/>
    <s v="Closed"/>
    <m/>
    <m/>
    <s v="Yes"/>
    <m/>
    <m/>
    <m/>
    <m/>
    <m/>
    <m/>
    <m/>
    <m/>
    <m/>
    <m/>
    <m/>
    <m/>
    <m/>
    <m/>
    <m/>
    <m/>
    <s v="How efficient it all went with excellent communication."/>
    <m/>
    <m/>
    <m/>
    <m/>
    <s v="NA"/>
    <m/>
    <m/>
    <m/>
    <m/>
    <m/>
    <m/>
    <m/>
    <m/>
    <m/>
    <m/>
    <m/>
    <m/>
    <m/>
    <m/>
    <m/>
    <m/>
    <m/>
    <m/>
    <m/>
    <m/>
    <m/>
    <m/>
    <m/>
    <m/>
    <m/>
    <m/>
    <m/>
    <m/>
    <m/>
    <m/>
    <m/>
    <m/>
    <m/>
    <m/>
    <m/>
    <m/>
    <m/>
    <m/>
    <m/>
    <m/>
    <m/>
    <m/>
    <m/>
    <m/>
    <m/>
    <m/>
    <m/>
    <m/>
    <m/>
    <m/>
    <m/>
    <m/>
    <m/>
    <m/>
    <m/>
    <m/>
    <m/>
    <m/>
    <m/>
    <m/>
    <m/>
    <m/>
    <m/>
    <m/>
    <m/>
    <m/>
    <m/>
    <m/>
    <m/>
    <m/>
    <m/>
    <m/>
    <m/>
    <m/>
    <m/>
    <m/>
    <m/>
    <m/>
    <m/>
    <m/>
    <m/>
    <m/>
    <s v="How efficient it all went with excellent communication."/>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25"/>
    <x v="0"/>
    <x v="0"/>
    <m/>
    <x v="0"/>
    <x v="0"/>
  </r>
  <r>
    <s v="Landon Johnson - Used Trade-In Product"/>
    <n v="10"/>
    <n v="5"/>
    <d v="2026-02-04T20:50:14"/>
    <n v="5190444"/>
    <s v="Used Trade-In Product"/>
    <m/>
    <s v="Landon Johnson"/>
    <m/>
    <s v="jlandon917@gmail.com"/>
    <m/>
    <s v="Ridgecrest;California;93555"/>
    <s v="Ridgecrest;California;93555"/>
    <s v="1 months"/>
    <s v="No"/>
    <m/>
    <m/>
    <s v="jlandon917@gmail.com"/>
    <s v="1"/>
    <m/>
    <m/>
    <m/>
    <m/>
    <m/>
    <m/>
    <m/>
    <m/>
    <d v="2026-02-05T09:48:40"/>
    <d v="2026-02-04T12:49:41"/>
    <m/>
    <s v="1136646"/>
    <m/>
    <m/>
    <m/>
    <m/>
    <m/>
    <m/>
    <m/>
    <m/>
    <m/>
    <m/>
    <m/>
    <m/>
    <m/>
    <m/>
    <m/>
    <m/>
    <m/>
    <m/>
    <m/>
    <m/>
    <m/>
    <m/>
    <s v="https://bnh.lightning.force.com/001WP00000ptVyqYAE"/>
    <m/>
    <m/>
    <m/>
    <m/>
    <m/>
    <m/>
    <m/>
    <m/>
    <m/>
    <m/>
    <m/>
    <m/>
    <m/>
    <m/>
    <m/>
    <m/>
    <m/>
    <m/>
    <m/>
    <m/>
    <m/>
    <m/>
    <m/>
    <m/>
    <m/>
    <m/>
    <m/>
    <m/>
    <m/>
    <m/>
    <m/>
    <m/>
    <m/>
    <m/>
    <m/>
    <m/>
    <m/>
    <m/>
    <s v="CAD"/>
    <m/>
    <s v="No"/>
    <s v="Freddy Gomez"/>
    <s v="Freddy Gomez"/>
    <d v="2026-02-04T21:01:17"/>
    <s v="Promoter"/>
    <s v="Closed"/>
    <m/>
    <m/>
    <s v="Yes"/>
    <m/>
    <m/>
    <m/>
    <m/>
    <m/>
    <m/>
    <m/>
    <m/>
    <m/>
    <m/>
    <m/>
    <m/>
    <m/>
    <m/>
    <m/>
    <m/>
    <s v="Efficiency"/>
    <m/>
    <m/>
    <m/>
    <m/>
    <s v="Time"/>
    <m/>
    <m/>
    <m/>
    <m/>
    <m/>
    <m/>
    <m/>
    <m/>
    <m/>
    <m/>
    <m/>
    <m/>
    <m/>
    <m/>
    <m/>
    <m/>
    <m/>
    <m/>
    <m/>
    <m/>
    <m/>
    <m/>
    <m/>
    <m/>
    <m/>
    <m/>
    <m/>
    <m/>
    <m/>
    <m/>
    <m/>
    <m/>
    <m/>
    <m/>
    <m/>
    <m/>
    <m/>
    <m/>
    <m/>
    <m/>
    <m/>
    <m/>
    <m/>
    <m/>
    <m/>
    <m/>
    <m/>
    <m/>
    <m/>
    <m/>
    <m/>
    <m/>
    <m/>
    <m/>
    <m/>
    <m/>
    <m/>
    <m/>
    <m/>
    <m/>
    <m/>
    <m/>
    <m/>
    <m/>
    <m/>
    <m/>
    <m/>
    <m/>
    <m/>
    <m/>
    <m/>
    <m/>
    <m/>
    <m/>
    <m/>
    <m/>
    <m/>
    <m/>
    <m/>
    <m/>
    <m/>
    <m/>
    <s v="Efficiency"/>
    <s v="Ti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3"/>
    <m/>
    <m/>
    <m/>
    <m/>
    <m/>
    <m/>
    <m/>
    <m/>
    <m/>
    <m/>
    <m/>
    <m/>
    <m/>
    <m/>
    <m/>
    <m/>
    <m/>
    <m/>
    <m/>
    <m/>
    <m/>
    <m/>
    <m/>
    <m/>
    <m/>
    <m/>
    <m/>
    <m/>
    <m/>
    <m/>
    <m/>
    <m/>
    <m/>
    <m/>
    <m/>
    <m/>
    <m/>
    <m/>
    <m/>
    <m/>
    <m/>
    <m/>
    <m/>
    <m/>
    <m/>
    <m/>
    <m/>
    <m/>
    <m/>
    <m/>
    <m/>
    <m/>
    <m/>
    <m/>
    <m/>
    <m/>
    <m/>
    <m/>
    <m/>
    <m/>
    <m/>
    <m/>
    <m/>
    <m/>
    <m/>
    <m/>
    <m/>
    <m/>
    <m/>
    <m/>
    <m/>
    <m/>
    <m/>
    <m/>
    <m/>
    <m/>
    <m/>
    <m/>
    <m/>
    <m/>
    <m/>
    <m/>
    <m/>
    <m/>
    <m/>
    <m/>
    <m/>
    <m/>
    <m/>
    <m/>
    <m/>
    <m/>
    <m/>
    <m/>
    <m/>
    <m/>
    <m/>
    <m/>
    <m/>
    <m/>
    <m/>
    <m/>
    <s v="Trade In &gt; Overall Process &gt;, Trade In &gt; Timeliness of Payment &gt;"/>
    <m/>
    <m/>
    <m/>
    <s v="Trade In &gt; Overall Process &gt; (Positive), Trade In &gt; Timeliness of Payment &gt; (Negative)"/>
    <s v="Yes"/>
    <s v="Yes"/>
    <m/>
    <x v="25"/>
    <x v="4"/>
    <x v="0"/>
    <m/>
    <x v="0"/>
    <x v="0"/>
  </r>
  <r>
    <s v="Ken Tyndall - Used Trade-In Product"/>
    <n v="10"/>
    <n v="5"/>
    <d v="2026-02-04T19:36:46"/>
    <n v="5190310"/>
    <s v="Used Trade-In Product"/>
    <m/>
    <s v="Ken Tyndall"/>
    <m/>
    <s v="historyguy@me.com"/>
    <m/>
    <s v="Trent Woods;North Carolina;28562"/>
    <s v="New Bern;North Carolina;28562"/>
    <s v="6 years 4 months"/>
    <s v="No"/>
    <m/>
    <m/>
    <s v="historyguy@me.com"/>
    <s v="76"/>
    <m/>
    <m/>
    <m/>
    <m/>
    <m/>
    <m/>
    <m/>
    <m/>
    <d v="2026-02-05T09:08:02"/>
    <d v="2026-02-04T20:27:01"/>
    <m/>
    <s v="1138866"/>
    <m/>
    <m/>
    <m/>
    <m/>
    <m/>
    <m/>
    <m/>
    <m/>
    <m/>
    <m/>
    <m/>
    <m/>
    <m/>
    <m/>
    <m/>
    <m/>
    <m/>
    <m/>
    <m/>
    <m/>
    <m/>
    <m/>
    <s v="https://bnh.lightning.force.com/0012L000012J2XlQAK"/>
    <m/>
    <m/>
    <m/>
    <m/>
    <m/>
    <m/>
    <m/>
    <m/>
    <m/>
    <m/>
    <m/>
    <m/>
    <m/>
    <m/>
    <m/>
    <m/>
    <m/>
    <m/>
    <m/>
    <m/>
    <m/>
    <m/>
    <m/>
    <m/>
    <m/>
    <m/>
    <m/>
    <m/>
    <m/>
    <m/>
    <m/>
    <m/>
    <m/>
    <m/>
    <m/>
    <m/>
    <m/>
    <m/>
    <s v="CAD"/>
    <m/>
    <s v="No"/>
    <s v="Efrat Malachi"/>
    <s v="Efrat Malachi"/>
    <d v="2026-02-04T19:55:14"/>
    <s v="Promoter"/>
    <s v="Closed"/>
    <m/>
    <m/>
    <s v="Yes"/>
    <m/>
    <m/>
    <m/>
    <m/>
    <m/>
    <m/>
    <m/>
    <m/>
    <m/>
    <m/>
    <m/>
    <m/>
    <m/>
    <m/>
    <m/>
    <m/>
    <s v="It was an easy process."/>
    <m/>
    <m/>
    <m/>
    <m/>
    <s v="Pretty simple process that I'm not sure there's enough to it to really dislike."/>
    <m/>
    <m/>
    <m/>
    <m/>
    <m/>
    <m/>
    <m/>
    <m/>
    <m/>
    <m/>
    <m/>
    <m/>
    <m/>
    <m/>
    <m/>
    <m/>
    <m/>
    <m/>
    <m/>
    <m/>
    <m/>
    <m/>
    <m/>
    <m/>
    <m/>
    <m/>
    <m/>
    <m/>
    <m/>
    <m/>
    <m/>
    <m/>
    <m/>
    <m/>
    <m/>
    <m/>
    <m/>
    <m/>
    <m/>
    <m/>
    <m/>
    <m/>
    <m/>
    <m/>
    <m/>
    <m/>
    <m/>
    <m/>
    <m/>
    <m/>
    <m/>
    <m/>
    <m/>
    <m/>
    <m/>
    <m/>
    <m/>
    <m/>
    <m/>
    <m/>
    <m/>
    <m/>
    <m/>
    <m/>
    <m/>
    <m/>
    <m/>
    <m/>
    <m/>
    <m/>
    <m/>
    <m/>
    <m/>
    <m/>
    <m/>
    <m/>
    <m/>
    <m/>
    <m/>
    <m/>
    <m/>
    <m/>
    <s v="It was an easy process."/>
    <s v="Pretty simple process that I'm not sure there's enough to it to really dislik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Eric Moor - Used Trade-In Product"/>
    <n v="10"/>
    <n v="5"/>
    <d v="2026-02-04T17:20:29"/>
    <n v="5190049"/>
    <s v="Used Trade-In Product"/>
    <m/>
    <s v="Eric Moor"/>
    <m/>
    <s v="moor110@comcast.net"/>
    <m/>
    <s v="North Adams;Michigan;49262"/>
    <s v="North Adams;Michigan;49262"/>
    <s v="22 years 1 months"/>
    <s v="Yes"/>
    <m/>
    <m/>
    <s v="moor110@comcast.net"/>
    <s v="265"/>
    <m/>
    <m/>
    <m/>
    <m/>
    <m/>
    <m/>
    <m/>
    <m/>
    <d v="2026-02-05T09:09:24"/>
    <d v="2026-02-04T19:25:57"/>
    <m/>
    <s v="1140045"/>
    <m/>
    <m/>
    <m/>
    <m/>
    <m/>
    <m/>
    <m/>
    <m/>
    <m/>
    <m/>
    <m/>
    <m/>
    <m/>
    <m/>
    <m/>
    <m/>
    <m/>
    <m/>
    <m/>
    <m/>
    <m/>
    <m/>
    <s v="https://bnh.lightning.force.com/0018X000034ZeqRQAS"/>
    <m/>
    <m/>
    <m/>
    <m/>
    <m/>
    <m/>
    <m/>
    <m/>
    <m/>
    <m/>
    <m/>
    <m/>
    <m/>
    <m/>
    <m/>
    <m/>
    <m/>
    <m/>
    <m/>
    <m/>
    <m/>
    <m/>
    <m/>
    <m/>
    <m/>
    <m/>
    <m/>
    <m/>
    <m/>
    <m/>
    <m/>
    <m/>
    <m/>
    <m/>
    <m/>
    <m/>
    <m/>
    <m/>
    <s v="CAD"/>
    <m/>
    <s v="No"/>
    <s v="Aine Hoye"/>
    <s v="Aine Hoye"/>
    <d v="2026-02-04T17:33:22"/>
    <s v="Promoter"/>
    <s v="Closed"/>
    <m/>
    <m/>
    <s v="Yes"/>
    <m/>
    <m/>
    <m/>
    <m/>
    <m/>
    <m/>
    <m/>
    <m/>
    <m/>
    <m/>
    <m/>
    <m/>
    <m/>
    <m/>
    <m/>
    <m/>
    <s v="B&amp;H communicated with me through every step of the process. From sending the quote and the shipping label, to communicating when it was received and how long it would take to get to it, I was never in the dark about the process. Thank you."/>
    <m/>
    <m/>
    <m/>
    <m/>
    <s v="Nothing."/>
    <m/>
    <m/>
    <m/>
    <m/>
    <m/>
    <m/>
    <m/>
    <m/>
    <m/>
    <m/>
    <m/>
    <m/>
    <m/>
    <m/>
    <m/>
    <m/>
    <m/>
    <m/>
    <m/>
    <m/>
    <m/>
    <m/>
    <m/>
    <m/>
    <m/>
    <m/>
    <m/>
    <m/>
    <m/>
    <m/>
    <m/>
    <m/>
    <m/>
    <m/>
    <m/>
    <m/>
    <m/>
    <m/>
    <m/>
    <m/>
    <m/>
    <m/>
    <m/>
    <m/>
    <m/>
    <m/>
    <m/>
    <m/>
    <m/>
    <m/>
    <m/>
    <m/>
    <m/>
    <m/>
    <m/>
    <m/>
    <m/>
    <m/>
    <m/>
    <m/>
    <m/>
    <m/>
    <m/>
    <m/>
    <m/>
    <m/>
    <m/>
    <m/>
    <m/>
    <m/>
    <m/>
    <m/>
    <m/>
    <m/>
    <m/>
    <m/>
    <m/>
    <m/>
    <m/>
    <m/>
    <m/>
    <m/>
    <s v="B&amp;H communicated with me through every step of the process. From sending the quote and the shipping label, to communicating when it was received and how long it would take to get to it, I was never in the dark about the process. Thank you."/>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People &gt; Follow Up &gt;, Trade In &gt; Overall Process &gt;"/>
    <m/>
    <s v="POSITIVE"/>
    <s v="Trade In &gt; Overall Process &gt; (No opinion), Trade In &gt; Overall Process &gt; (Positive)"/>
    <s v="People &gt; Follow Up &gt; (Positive), Trade In &gt; Overall Process &gt; (Positive)"/>
    <s v="Yes"/>
    <s v="Yes"/>
    <m/>
    <x v="36"/>
    <x v="0"/>
    <x v="0"/>
    <m/>
    <x v="0"/>
    <x v="0"/>
  </r>
  <r>
    <s v="Trevor Scott - Used Trade-In Product"/>
    <n v="10"/>
    <n v="5"/>
    <d v="2026-02-04T15:47:02"/>
    <n v="5189803"/>
    <s v="Used Trade-In Product"/>
    <m/>
    <s v="Trevor Scott"/>
    <m/>
    <s v="trev.r.scott@outlook.com"/>
    <m/>
    <s v="Wilmington;North Carolina;28405"/>
    <s v="Wilmington;North Carolina;28405"/>
    <s v="4 years 5 months"/>
    <s v="No"/>
    <m/>
    <m/>
    <s v="trev.r.scott@outlook.com"/>
    <s v="53"/>
    <m/>
    <m/>
    <m/>
    <m/>
    <m/>
    <m/>
    <m/>
    <m/>
    <d v="2026-02-05T14:11:10"/>
    <d v="2026-02-04T15:21:49"/>
    <m/>
    <s v="1139634"/>
    <m/>
    <m/>
    <m/>
    <m/>
    <m/>
    <m/>
    <m/>
    <m/>
    <m/>
    <m/>
    <m/>
    <m/>
    <m/>
    <m/>
    <m/>
    <m/>
    <m/>
    <m/>
    <m/>
    <m/>
    <m/>
    <m/>
    <s v="https://bnh.lightning.force.com/0012L00001H5EWPQA3"/>
    <m/>
    <m/>
    <m/>
    <m/>
    <m/>
    <m/>
    <m/>
    <m/>
    <m/>
    <m/>
    <m/>
    <m/>
    <m/>
    <m/>
    <m/>
    <m/>
    <m/>
    <m/>
    <m/>
    <m/>
    <m/>
    <m/>
    <m/>
    <m/>
    <m/>
    <m/>
    <m/>
    <m/>
    <m/>
    <m/>
    <m/>
    <m/>
    <m/>
    <m/>
    <m/>
    <m/>
    <m/>
    <m/>
    <s v="CAD"/>
    <m/>
    <s v="No"/>
    <s v="Emily Schreier"/>
    <s v="Emily Schreier"/>
    <d v="2026-02-04T16:03:49"/>
    <s v="Promoter"/>
    <s v="Closed"/>
    <m/>
    <m/>
    <s v="Yes"/>
    <m/>
    <m/>
    <m/>
    <m/>
    <m/>
    <m/>
    <m/>
    <m/>
    <m/>
    <m/>
    <m/>
    <m/>
    <m/>
    <m/>
    <m/>
    <m/>
    <s v="Very easy to navigate the whole selling process"/>
    <m/>
    <m/>
    <m/>
    <m/>
    <s v="N/A"/>
    <m/>
    <m/>
    <m/>
    <m/>
    <m/>
    <m/>
    <m/>
    <m/>
    <m/>
    <m/>
    <m/>
    <m/>
    <m/>
    <m/>
    <m/>
    <m/>
    <m/>
    <m/>
    <m/>
    <m/>
    <m/>
    <m/>
    <m/>
    <m/>
    <m/>
    <m/>
    <m/>
    <m/>
    <m/>
    <m/>
    <m/>
    <m/>
    <m/>
    <m/>
    <m/>
    <m/>
    <m/>
    <m/>
    <m/>
    <m/>
    <m/>
    <m/>
    <m/>
    <m/>
    <m/>
    <m/>
    <m/>
    <m/>
    <m/>
    <m/>
    <m/>
    <m/>
    <m/>
    <m/>
    <m/>
    <m/>
    <m/>
    <m/>
    <m/>
    <m/>
    <m/>
    <m/>
    <m/>
    <m/>
    <m/>
    <m/>
    <m/>
    <m/>
    <m/>
    <m/>
    <m/>
    <m/>
    <m/>
    <m/>
    <m/>
    <m/>
    <m/>
    <m/>
    <m/>
    <m/>
    <m/>
    <m/>
    <s v="Very easy to navigate the whole selling process"/>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Website &gt; Navigation &gt;"/>
    <s v="Trade In &gt; Overall Process &gt;"/>
    <m/>
    <m/>
    <s v="Trade In &gt; Overall Process &gt; (Positive), Website &gt; Navigation &gt; (Positive)"/>
    <s v="Trade In &gt; Overall Process &gt; (Positive)"/>
    <s v="Yes"/>
    <s v="No"/>
    <m/>
    <x v="0"/>
    <x v="0"/>
    <x v="0"/>
    <m/>
    <x v="0"/>
    <x v="0"/>
  </r>
  <r>
    <s v="Charles Coleman - Used Trade-In Product"/>
    <n v="10"/>
    <n v="5"/>
    <d v="2026-02-04T15:40:13"/>
    <n v="5189785"/>
    <s v="Used Trade-In Product"/>
    <m/>
    <s v="Charles Coleman"/>
    <m/>
    <s v="charlesdcj17@icloud.com"/>
    <m/>
    <s v="Cleveland;Mississippi;38732"/>
    <m/>
    <m/>
    <s v="No"/>
    <m/>
    <m/>
    <s v="charlesdcj17@icloud.com"/>
    <m/>
    <m/>
    <m/>
    <m/>
    <m/>
    <m/>
    <m/>
    <m/>
    <m/>
    <d v="2026-02-05T13:55:28"/>
    <d v="2026-02-04T12:50:19"/>
    <m/>
    <s v="1136446"/>
    <m/>
    <m/>
    <m/>
    <m/>
    <m/>
    <m/>
    <m/>
    <m/>
    <m/>
    <m/>
    <m/>
    <m/>
    <m/>
    <m/>
    <m/>
    <m/>
    <m/>
    <m/>
    <m/>
    <m/>
    <m/>
    <m/>
    <s v="https://bnh.lightning.force.com/001WP00000ps0x3YAA"/>
    <m/>
    <m/>
    <m/>
    <m/>
    <m/>
    <m/>
    <m/>
    <m/>
    <m/>
    <m/>
    <m/>
    <m/>
    <m/>
    <m/>
    <m/>
    <m/>
    <m/>
    <m/>
    <m/>
    <m/>
    <m/>
    <m/>
    <m/>
    <m/>
    <m/>
    <m/>
    <m/>
    <m/>
    <m/>
    <m/>
    <m/>
    <m/>
    <m/>
    <m/>
    <m/>
    <m/>
    <m/>
    <m/>
    <s v="CAD"/>
    <m/>
    <s v="No"/>
    <s v="Emily Schreier"/>
    <s v="Emily Schreier"/>
    <d v="2026-02-04T15:56:27"/>
    <s v="Promoter"/>
    <s v="Closed"/>
    <m/>
    <m/>
    <s v="Yes"/>
    <m/>
    <m/>
    <m/>
    <m/>
    <m/>
    <m/>
    <m/>
    <m/>
    <m/>
    <m/>
    <m/>
    <m/>
    <m/>
    <m/>
    <m/>
    <m/>
    <s v="Expedited process."/>
    <m/>
    <m/>
    <m/>
    <m/>
    <s v="N/A"/>
    <m/>
    <m/>
    <m/>
    <m/>
    <m/>
    <m/>
    <m/>
    <m/>
    <m/>
    <m/>
    <m/>
    <m/>
    <m/>
    <m/>
    <m/>
    <m/>
    <m/>
    <m/>
    <m/>
    <m/>
    <m/>
    <m/>
    <m/>
    <m/>
    <m/>
    <m/>
    <m/>
    <m/>
    <m/>
    <m/>
    <m/>
    <m/>
    <m/>
    <m/>
    <m/>
    <m/>
    <m/>
    <m/>
    <m/>
    <m/>
    <m/>
    <m/>
    <m/>
    <m/>
    <m/>
    <m/>
    <m/>
    <m/>
    <m/>
    <m/>
    <m/>
    <m/>
    <m/>
    <m/>
    <m/>
    <m/>
    <m/>
    <m/>
    <m/>
    <m/>
    <m/>
    <m/>
    <m/>
    <m/>
    <m/>
    <m/>
    <m/>
    <m/>
    <m/>
    <m/>
    <m/>
    <m/>
    <m/>
    <m/>
    <m/>
    <m/>
    <m/>
    <m/>
    <m/>
    <m/>
    <m/>
    <m/>
    <s v="Expedited process."/>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5"/>
    <n v="4"/>
    <n v="4"/>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5"/>
    <x v="0"/>
    <x v="0"/>
    <m/>
    <x v="0"/>
    <x v="0"/>
  </r>
  <r>
    <s v="Thomas Kennedy - Used Trade-In Product"/>
    <n v="2"/>
    <n v="1"/>
    <d v="2026-02-04T15:30:31"/>
    <n v="5189743"/>
    <s v="Used Trade-In Product"/>
    <m/>
    <s v="Thomas Kennedy"/>
    <m/>
    <s v="trentvictus@gmail.com"/>
    <m/>
    <s v="Vineland;New Jersey;08360"/>
    <s v="Vineland;New Jersey;08360"/>
    <s v="6 years 9 months"/>
    <s v="Yes"/>
    <m/>
    <m/>
    <s v="trentvictus@gmail.com"/>
    <s v="81"/>
    <m/>
    <m/>
    <m/>
    <m/>
    <m/>
    <m/>
    <m/>
    <m/>
    <d v="2026-02-10T11:23:29"/>
    <d v="2026-02-04T18:24:03"/>
    <m/>
    <s v="1139043"/>
    <m/>
    <m/>
    <m/>
    <m/>
    <m/>
    <m/>
    <m/>
    <m/>
    <m/>
    <m/>
    <m/>
    <m/>
    <m/>
    <m/>
    <m/>
    <m/>
    <m/>
    <m/>
    <m/>
    <m/>
    <m/>
    <m/>
    <s v="https://bnh.lightning.force.com/0012L00001LhyEJQAZ"/>
    <m/>
    <m/>
    <m/>
    <m/>
    <m/>
    <m/>
    <m/>
    <m/>
    <m/>
    <m/>
    <m/>
    <m/>
    <m/>
    <m/>
    <m/>
    <m/>
    <m/>
    <m/>
    <m/>
    <m/>
    <m/>
    <m/>
    <m/>
    <m/>
    <m/>
    <m/>
    <m/>
    <m/>
    <m/>
    <m/>
    <m/>
    <m/>
    <m/>
    <m/>
    <m/>
    <m/>
    <m/>
    <m/>
    <s v="CAD"/>
    <m/>
    <s v="No"/>
    <s v="Nick Badame,Avraham Schwartz,Reina Caba"/>
    <s v="Reina Caba"/>
    <d v="2026-02-04T15:42:40"/>
    <s v="Detractor "/>
    <s v="Closed"/>
    <d v="2026-02-10T11:23:21"/>
    <s v="Reina Caba (reinac@bhphoto.com)"/>
    <s v="Yes"/>
    <m/>
    <m/>
    <m/>
    <m/>
    <m/>
    <m/>
    <m/>
    <m/>
    <m/>
    <m/>
    <m/>
    <m/>
    <m/>
    <m/>
    <m/>
    <m/>
    <s v="Since 2019 B&amp;H was my go to store, have referred plenty of people here to start their photo, video experiences."/>
    <m/>
    <m/>
    <m/>
    <m/>
    <s v="Quote# 1139043 _x000a__x000a_Sent in a undamaged Black Magic Atem Mini ISO mixer was told it was chipped and there is no value to it. _x000a__x000a_Was issued a credit on the other item a Black Magic Streaming Bridge, that could not be used online, when asking to have this put in a gift card, gift card was issued without a number on the image. _x000a__x000a_Have been working with B&amp;H since 2019 and over the last hour this is by far the worst experience I've ever had, once I am done paying down my payboo account likely will be shopping elsewhere after this."/>
    <m/>
    <m/>
    <m/>
    <m/>
    <m/>
    <m/>
    <m/>
    <m/>
    <m/>
    <m/>
    <m/>
    <m/>
    <m/>
    <m/>
    <m/>
    <m/>
    <m/>
    <m/>
    <m/>
    <m/>
    <m/>
    <m/>
    <m/>
    <m/>
    <m/>
    <m/>
    <m/>
    <m/>
    <m/>
    <m/>
    <m/>
    <m/>
    <m/>
    <m/>
    <m/>
    <m/>
    <m/>
    <m/>
    <m/>
    <m/>
    <m/>
    <m/>
    <m/>
    <m/>
    <m/>
    <m/>
    <m/>
    <m/>
    <m/>
    <m/>
    <m/>
    <m/>
    <m/>
    <m/>
    <m/>
    <m/>
    <m/>
    <m/>
    <m/>
    <m/>
    <m/>
    <m/>
    <m/>
    <m/>
    <m/>
    <m/>
    <m/>
    <m/>
    <m/>
    <m/>
    <m/>
    <m/>
    <m/>
    <m/>
    <m/>
    <m/>
    <m/>
    <m/>
    <m/>
    <m/>
    <m/>
    <m/>
    <s v="Since 2019 B&amp;H was my go to store, have referred plenty of people here to start their photo, video experiences."/>
    <s v="Quote# 1139043 _x000a__x000a_Sent in a undamaged Black Magic Atem Mini ISO mixer was told it was chipped and there is no value to it. _x000a__x000a_Was issued a credit on the other item a Black Magic Streaming Bridge, that could not be used online, when asking to have this put in a gift card, gift card was issued without a number on the image. _x000a__x000a_Have been working with B&amp;H since 2019 and over the last hour this is by far the worst experience I've ever had, once I am done paying down my payboo account likely will be shopping elsewhere after thi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1"/>
    <m/>
    <m/>
    <m/>
    <m/>
    <n v="5"/>
    <n v="3"/>
    <m/>
    <m/>
    <m/>
    <m/>
    <m/>
    <m/>
    <n v="1"/>
    <n v="1"/>
    <n v="1"/>
    <n v="1"/>
    <m/>
    <m/>
    <m/>
    <m/>
    <m/>
    <m/>
    <m/>
    <m/>
    <m/>
    <m/>
    <m/>
    <m/>
    <m/>
    <m/>
    <m/>
    <m/>
    <m/>
    <m/>
    <m/>
    <m/>
    <m/>
    <m/>
    <m/>
    <m/>
    <m/>
    <m/>
    <m/>
    <m/>
    <m/>
    <m/>
    <m/>
    <m/>
    <m/>
    <m/>
    <m/>
    <m/>
    <m/>
    <m/>
    <m/>
    <m/>
    <m/>
    <m/>
    <m/>
    <m/>
    <m/>
    <m/>
    <m/>
    <m/>
    <m/>
    <m/>
    <m/>
    <m/>
    <m/>
    <m/>
    <m/>
    <m/>
    <m/>
    <m/>
    <m/>
    <m/>
    <m/>
    <m/>
    <m/>
    <m/>
    <m/>
    <m/>
    <m/>
    <m/>
    <m/>
    <m/>
    <m/>
    <m/>
    <m/>
    <m/>
    <m/>
    <m/>
    <m/>
    <m/>
    <m/>
    <m/>
    <m/>
    <m/>
    <m/>
    <m/>
    <m/>
    <m/>
    <m/>
    <m/>
    <m/>
    <m/>
    <m/>
    <m/>
    <m/>
    <m/>
    <m/>
    <m/>
    <m/>
    <m/>
    <m/>
    <m/>
    <m/>
    <s v="B&amp;H &gt; Satisfaction &gt;, Trade In &gt; Overall Process &gt;"/>
    <s v="B&amp;H &gt; Loyalty &gt;, B&amp;H &gt; Satisfaction &gt;, Payment &gt; General Mentions &gt;, Trade In &gt; Overall Process &gt;"/>
    <m/>
    <m/>
    <s v="B&amp;H &gt; Satisfaction &gt; (Strongly negative), Trade In &gt; Overall Process &gt; (Negative)"/>
    <s v="B&amp;H &gt; Loyalty &gt; (Positive), B&amp;H &gt; Satisfaction &gt; (Negative), Payment &gt; General Mentions &gt; (Negative), Trade In &gt; Overall Process &gt; (Negative)"/>
    <s v="Yes"/>
    <s v="Yes"/>
    <m/>
    <x v="16"/>
    <x v="14"/>
    <x v="20"/>
    <m/>
    <x v="0"/>
    <x v="0"/>
  </r>
  <r>
    <s v="Mauricio E Gutierrez - Used Trade-In Product"/>
    <n v="10"/>
    <n v="5"/>
    <d v="2026-02-04T14:43:51"/>
    <n v="5189634"/>
    <s v="Used Trade-In Product"/>
    <m/>
    <s v="Mauricio E Gutierrez"/>
    <m/>
    <s v="mauriciog3096@gmail.com"/>
    <m/>
    <s v="Glendale;California;91202"/>
    <s v="Glendale;California;91202"/>
    <s v="12 years 8 months"/>
    <s v="No"/>
    <m/>
    <m/>
    <s v="mauriciog3096@gmail.com"/>
    <s v="152"/>
    <m/>
    <m/>
    <m/>
    <m/>
    <m/>
    <m/>
    <m/>
    <m/>
    <d v="2026-02-05T09:13:31"/>
    <d v="2026-02-04T15:21:51"/>
    <m/>
    <s v="1138641"/>
    <m/>
    <m/>
    <m/>
    <m/>
    <m/>
    <m/>
    <m/>
    <m/>
    <m/>
    <m/>
    <m/>
    <m/>
    <m/>
    <m/>
    <m/>
    <m/>
    <m/>
    <m/>
    <m/>
    <m/>
    <m/>
    <m/>
    <s v="https://bnh.lightning.force.com/0012L00001EX03QQAT"/>
    <m/>
    <m/>
    <m/>
    <m/>
    <m/>
    <m/>
    <m/>
    <m/>
    <m/>
    <m/>
    <m/>
    <m/>
    <m/>
    <m/>
    <m/>
    <m/>
    <m/>
    <m/>
    <m/>
    <m/>
    <m/>
    <m/>
    <m/>
    <m/>
    <m/>
    <m/>
    <m/>
    <m/>
    <m/>
    <m/>
    <m/>
    <m/>
    <m/>
    <m/>
    <m/>
    <m/>
    <m/>
    <m/>
    <s v="CAD"/>
    <m/>
    <s v="No"/>
    <s v="Nick Badame"/>
    <s v="Nick Badame"/>
    <d v="2026-02-04T14:59:43"/>
    <s v="Promoter"/>
    <s v="Closed"/>
    <m/>
    <m/>
    <s v="Yes"/>
    <m/>
    <m/>
    <m/>
    <m/>
    <m/>
    <m/>
    <m/>
    <m/>
    <m/>
    <m/>
    <m/>
    <m/>
    <m/>
    <m/>
    <m/>
    <m/>
    <s v="Everything.  I would like to visit the store someday!"/>
    <m/>
    <m/>
    <m/>
    <m/>
    <s v="Not one thing."/>
    <m/>
    <m/>
    <m/>
    <m/>
    <m/>
    <m/>
    <m/>
    <m/>
    <m/>
    <m/>
    <m/>
    <m/>
    <m/>
    <m/>
    <m/>
    <m/>
    <m/>
    <m/>
    <m/>
    <m/>
    <m/>
    <m/>
    <m/>
    <m/>
    <m/>
    <m/>
    <m/>
    <m/>
    <m/>
    <m/>
    <m/>
    <m/>
    <m/>
    <m/>
    <m/>
    <m/>
    <m/>
    <m/>
    <m/>
    <m/>
    <m/>
    <m/>
    <m/>
    <m/>
    <m/>
    <m/>
    <m/>
    <m/>
    <m/>
    <m/>
    <m/>
    <m/>
    <m/>
    <m/>
    <m/>
    <m/>
    <m/>
    <m/>
    <m/>
    <m/>
    <m/>
    <m/>
    <m/>
    <m/>
    <m/>
    <m/>
    <m/>
    <m/>
    <m/>
    <m/>
    <m/>
    <m/>
    <m/>
    <m/>
    <m/>
    <m/>
    <m/>
    <m/>
    <m/>
    <m/>
    <m/>
    <m/>
    <s v="Everything.  I would like to visit the store someday!"/>
    <s v="Not one 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m/>
    <m/>
    <m/>
    <s v="B&amp;H &gt; Satisfaction &gt; (Positive)"/>
    <s v="Yes"/>
    <s v="Yes"/>
    <m/>
    <x v="25"/>
    <x v="0"/>
    <x v="0"/>
    <m/>
    <x v="0"/>
    <x v="0"/>
  </r>
  <r>
    <s v="Rollo, Watkins - Used Trade-In Product"/>
    <n v="8"/>
    <n v="5"/>
    <d v="2026-02-04T12:35:30"/>
    <n v="5189286"/>
    <s v="Used Trade-In Product"/>
    <m/>
    <s v="Rollo, Watkins"/>
    <m/>
    <s v="rollowatkins@gmail.com"/>
    <m/>
    <s v="Springfield;Missouri;65804"/>
    <m/>
    <s v="7 years 3 months"/>
    <s v="No"/>
    <m/>
    <m/>
    <s v="rollowatkins@gmail.com"/>
    <s v="87"/>
    <m/>
    <m/>
    <m/>
    <m/>
    <m/>
    <m/>
    <m/>
    <m/>
    <d v="2026-02-04T13:56:34"/>
    <d v="2026-02-04T12:51:10"/>
    <m/>
    <s v="1133834"/>
    <m/>
    <m/>
    <m/>
    <m/>
    <m/>
    <m/>
    <m/>
    <m/>
    <m/>
    <m/>
    <m/>
    <m/>
    <m/>
    <m/>
    <m/>
    <m/>
    <m/>
    <m/>
    <m/>
    <m/>
    <m/>
    <m/>
    <s v="https://bnh.lightning.force.com/001WP00000oU1RwYAK"/>
    <m/>
    <m/>
    <m/>
    <m/>
    <m/>
    <m/>
    <m/>
    <m/>
    <m/>
    <m/>
    <m/>
    <m/>
    <m/>
    <m/>
    <m/>
    <m/>
    <m/>
    <m/>
    <m/>
    <m/>
    <m/>
    <m/>
    <m/>
    <m/>
    <m/>
    <m/>
    <m/>
    <m/>
    <m/>
    <m/>
    <m/>
    <m/>
    <m/>
    <m/>
    <m/>
    <m/>
    <m/>
    <m/>
    <s v="CAD"/>
    <m/>
    <s v="No"/>
    <s v="Aine Hoye"/>
    <s v="Aine Hoye"/>
    <d v="2026-02-04T12:52:46"/>
    <s v="Passive"/>
    <s v="Closed"/>
    <m/>
    <m/>
    <s v="Yes"/>
    <m/>
    <m/>
    <m/>
    <m/>
    <m/>
    <m/>
    <m/>
    <m/>
    <m/>
    <m/>
    <m/>
    <m/>
    <m/>
    <m/>
    <m/>
    <m/>
    <s v="Check promptly arrived. Thank you."/>
    <m/>
    <m/>
    <m/>
    <m/>
    <m/>
    <m/>
    <m/>
    <m/>
    <m/>
    <m/>
    <m/>
    <m/>
    <m/>
    <m/>
    <m/>
    <m/>
    <m/>
    <m/>
    <m/>
    <m/>
    <m/>
    <m/>
    <m/>
    <m/>
    <m/>
    <m/>
    <m/>
    <m/>
    <m/>
    <m/>
    <m/>
    <m/>
    <m/>
    <m/>
    <m/>
    <m/>
    <m/>
    <m/>
    <m/>
    <m/>
    <m/>
    <m/>
    <m/>
    <m/>
    <m/>
    <m/>
    <m/>
    <m/>
    <m/>
    <m/>
    <m/>
    <m/>
    <m/>
    <m/>
    <m/>
    <m/>
    <m/>
    <m/>
    <m/>
    <m/>
    <m/>
    <m/>
    <m/>
    <m/>
    <m/>
    <m/>
    <m/>
    <m/>
    <m/>
    <m/>
    <m/>
    <m/>
    <m/>
    <m/>
    <m/>
    <m/>
    <m/>
    <m/>
    <m/>
    <m/>
    <m/>
    <m/>
    <m/>
    <m/>
    <m/>
    <m/>
    <m/>
    <s v="Check promptly arrived. Thank you."/>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Warehouse Fulfillment &gt; Timeliness &gt;"/>
    <s v="Trade In &gt; Timeliness of Payment &gt;"/>
    <m/>
    <m/>
    <s v="Warehouse Fulfillment &gt; Timeliness &gt; (Positive)"/>
    <s v="Trade In &gt; Timeliness of Payment &gt; (Positive)"/>
    <s v="Yes"/>
    <s v="No"/>
    <m/>
    <x v="37"/>
    <x v="0"/>
    <x v="0"/>
    <m/>
    <x v="0"/>
    <x v="0"/>
  </r>
  <r>
    <s v="Ellen Leffingwell - Used Trade-In Product"/>
    <n v="9"/>
    <n v="4"/>
    <d v="2026-02-04T10:37:55"/>
    <n v="5180508"/>
    <s v="Used Trade-In Product"/>
    <m/>
    <s v="Ellen Leffingwell"/>
    <m/>
    <s v="ellen_ln@yahoo.com"/>
    <m/>
    <s v="Bozrah;Connecticut;06334"/>
    <s v="Bozrah;Connecticut;06334"/>
    <s v="20 years 10 months"/>
    <s v="No"/>
    <m/>
    <m/>
    <s v="ellen_ln@yahoo.com"/>
    <s v="250"/>
    <m/>
    <m/>
    <m/>
    <m/>
    <m/>
    <m/>
    <m/>
    <m/>
    <d v="2026-02-04T15:08:27"/>
    <d v="2026-02-04T12:51:17"/>
    <m/>
    <s v="1137880"/>
    <m/>
    <m/>
    <m/>
    <m/>
    <m/>
    <m/>
    <m/>
    <m/>
    <m/>
    <m/>
    <m/>
    <m/>
    <m/>
    <m/>
    <m/>
    <m/>
    <m/>
    <m/>
    <m/>
    <m/>
    <m/>
    <m/>
    <s v="https://bnh.lightning.force.com/0012L00001LhqFYQAZ"/>
    <m/>
    <m/>
    <m/>
    <m/>
    <m/>
    <m/>
    <m/>
    <m/>
    <m/>
    <m/>
    <m/>
    <m/>
    <m/>
    <m/>
    <m/>
    <m/>
    <m/>
    <m/>
    <m/>
    <m/>
    <m/>
    <m/>
    <m/>
    <m/>
    <m/>
    <m/>
    <m/>
    <m/>
    <m/>
    <m/>
    <m/>
    <m/>
    <m/>
    <m/>
    <m/>
    <m/>
    <m/>
    <m/>
    <s v="CAD"/>
    <m/>
    <s v="No"/>
    <s v="Emily Schreier"/>
    <s v="Emily Schreier"/>
    <d v="2026-02-04T10:51:00"/>
    <s v="Promoter"/>
    <s v="Closed"/>
    <m/>
    <m/>
    <s v="Yes"/>
    <m/>
    <m/>
    <m/>
    <m/>
    <m/>
    <m/>
    <m/>
    <m/>
    <m/>
    <m/>
    <m/>
    <m/>
    <m/>
    <m/>
    <m/>
    <m/>
    <s v="B&amp;H staff are experienced and know how to inspect my equipment expertly.  It was an easy process to get a quote and send in my lens."/>
    <m/>
    <m/>
    <m/>
    <m/>
    <s v="The price quotes are lower than what I could sell my equipment for if I were to sell directly on ebay or other sites.  (Note: It's completely understandable why the price quotes are what they are, but really there is nothing else I dislike about B&amp;H used process)"/>
    <m/>
    <m/>
    <m/>
    <m/>
    <m/>
    <m/>
    <m/>
    <m/>
    <m/>
    <m/>
    <m/>
    <m/>
    <m/>
    <m/>
    <m/>
    <m/>
    <m/>
    <m/>
    <m/>
    <m/>
    <m/>
    <m/>
    <m/>
    <m/>
    <m/>
    <m/>
    <m/>
    <m/>
    <m/>
    <m/>
    <m/>
    <m/>
    <m/>
    <m/>
    <m/>
    <m/>
    <m/>
    <m/>
    <m/>
    <m/>
    <m/>
    <m/>
    <m/>
    <m/>
    <m/>
    <m/>
    <m/>
    <m/>
    <m/>
    <m/>
    <m/>
    <m/>
    <m/>
    <m/>
    <m/>
    <m/>
    <m/>
    <m/>
    <m/>
    <m/>
    <m/>
    <m/>
    <m/>
    <m/>
    <m/>
    <m/>
    <m/>
    <m/>
    <m/>
    <m/>
    <m/>
    <m/>
    <m/>
    <m/>
    <m/>
    <m/>
    <m/>
    <m/>
    <m/>
    <m/>
    <m/>
    <m/>
    <s v="B&amp;H staff are experienced and know how to inspect my equipment expertly.  It was an easy process to get a quote and send in my lens."/>
    <s v="The price quotes are lower than what I could sell my equipment for if I were to sell directly on ebay or other sites.  (Note: It's completely understandable why the price quotes are what they are, but really there is nothing else I dislike about B&amp;H used proc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Pricing &gt;"/>
    <s v="B&amp;H &gt; Competitor Mentions &gt;, People &gt; Knowledge / Recommend &gt;, Trade In &gt; Overall Process &gt;, Trade In &gt; Quote Price &gt;"/>
    <m/>
    <s v="POSITIVE"/>
    <s v="Pricing &gt; Value for Money &gt; (Negative), Trade In &gt; Overall Process &gt; (Positive), Trade In &gt; Quote Price &gt; (Negative), Trade In &gt; Quote Price &gt; (No opinion), Used &gt; Pricing &gt; (Negative), Used &gt; Pricing &gt; (No opinion)"/>
    <s v="B&amp;H &gt; Competitor Mentions &gt; (Negative), People &gt; Knowledge / Recommend &gt; (Positive), Trade In &gt; Overall Process &gt; (Positive), Trade In &gt; Quote Price &gt; (Negative), Trade In &gt; Quote Price &gt; (Positive)"/>
    <s v="Yes"/>
    <s v="Yes"/>
    <m/>
    <x v="0"/>
    <x v="39"/>
    <x v="6"/>
    <m/>
    <x v="0"/>
    <x v="0"/>
  </r>
  <r>
    <s v="Yifan Chen - Used Trade-In Product"/>
    <n v="10"/>
    <n v="5"/>
    <d v="2026-02-04T09:57:13"/>
    <n v="5180365"/>
    <s v="Used Trade-In Product"/>
    <m/>
    <s v="Yifan Chen"/>
    <m/>
    <s v="yifanyc@gmail.com"/>
    <m/>
    <s v="State College;Pennsylvania;16801"/>
    <s v="State College;Pennsylvania;16801"/>
    <s v="6 years 5 months"/>
    <s v="No"/>
    <m/>
    <m/>
    <s v="yifanyc@gmail.com"/>
    <s v="77"/>
    <m/>
    <m/>
    <m/>
    <m/>
    <m/>
    <m/>
    <m/>
    <m/>
    <d v="2026-02-04T11:24:49"/>
    <d v="2026-02-04T12:51:31"/>
    <m/>
    <s v="1137357"/>
    <m/>
    <m/>
    <m/>
    <m/>
    <m/>
    <m/>
    <m/>
    <m/>
    <m/>
    <m/>
    <m/>
    <m/>
    <m/>
    <m/>
    <m/>
    <m/>
    <m/>
    <m/>
    <m/>
    <m/>
    <m/>
    <m/>
    <s v="https://bnh.lightning.force.com/0018X00003VOF8BQAX"/>
    <m/>
    <m/>
    <m/>
    <m/>
    <m/>
    <m/>
    <m/>
    <m/>
    <m/>
    <m/>
    <m/>
    <m/>
    <m/>
    <m/>
    <m/>
    <m/>
    <m/>
    <m/>
    <m/>
    <m/>
    <m/>
    <m/>
    <m/>
    <m/>
    <m/>
    <m/>
    <m/>
    <m/>
    <m/>
    <m/>
    <m/>
    <m/>
    <m/>
    <m/>
    <m/>
    <m/>
    <m/>
    <m/>
    <s v="CAD"/>
    <m/>
    <s v="No"/>
    <s v="Freddy Gomez"/>
    <s v="Freddy Gomez"/>
    <d v="2026-02-04T10:10:34"/>
    <s v="Promoter"/>
    <s v="Closed"/>
    <m/>
    <m/>
    <s v="Yes"/>
    <m/>
    <m/>
    <m/>
    <m/>
    <m/>
    <m/>
    <m/>
    <m/>
    <m/>
    <m/>
    <m/>
    <m/>
    <m/>
    <m/>
    <m/>
    <m/>
    <s v="The process is very transparent, and there are updates to let me know the equipment has arrived at B&amp;H safely."/>
    <m/>
    <m/>
    <m/>
    <m/>
    <s v="The search tool for selecting equipment is a little wonky."/>
    <m/>
    <m/>
    <m/>
    <m/>
    <m/>
    <m/>
    <m/>
    <m/>
    <m/>
    <m/>
    <m/>
    <m/>
    <m/>
    <m/>
    <m/>
    <m/>
    <m/>
    <m/>
    <m/>
    <m/>
    <m/>
    <m/>
    <m/>
    <m/>
    <m/>
    <m/>
    <m/>
    <m/>
    <m/>
    <m/>
    <m/>
    <m/>
    <m/>
    <m/>
    <m/>
    <m/>
    <m/>
    <m/>
    <m/>
    <m/>
    <m/>
    <m/>
    <m/>
    <m/>
    <m/>
    <m/>
    <m/>
    <m/>
    <m/>
    <m/>
    <m/>
    <m/>
    <m/>
    <m/>
    <m/>
    <m/>
    <m/>
    <m/>
    <m/>
    <m/>
    <m/>
    <m/>
    <m/>
    <m/>
    <m/>
    <m/>
    <m/>
    <m/>
    <m/>
    <m/>
    <m/>
    <m/>
    <m/>
    <m/>
    <m/>
    <m/>
    <m/>
    <m/>
    <m/>
    <m/>
    <m/>
    <m/>
    <s v="The process is very transparent, and there are updates to let me know the equipment has arrived at B&amp;H safely."/>
    <s v="The search tool for selecting equipment is a little wonk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Website &gt; Search Function &gt;"/>
    <m/>
    <m/>
    <s v="Trade In &gt; Overall Process &gt; (Positive)"/>
    <s v="Trade In &gt; Overall Process &gt; (Positive), Website &gt; Search Function &gt; (Negative)"/>
    <s v="Yes"/>
    <s v="No"/>
    <m/>
    <x v="36"/>
    <x v="25"/>
    <x v="21"/>
    <m/>
    <x v="0"/>
    <x v="0"/>
  </r>
  <r>
    <s v="Arthur Bridgewater - Used Trade-In Product"/>
    <n v="10"/>
    <n v="5"/>
    <d v="2026-02-03T18:46:10"/>
    <n v="5179089"/>
    <s v="Used Trade-In Product"/>
    <m/>
    <s v="Arthur Bridgewater"/>
    <m/>
    <s v="champc73@aol.com"/>
    <m/>
    <s v="Conyers;Georgia;30013"/>
    <m/>
    <m/>
    <s v="No"/>
    <m/>
    <m/>
    <s v="champc73@aol.com"/>
    <m/>
    <m/>
    <m/>
    <m/>
    <m/>
    <m/>
    <m/>
    <m/>
    <m/>
    <d v="2026-02-04T09:15:17"/>
    <d v="2026-02-03T14:18:36"/>
    <m/>
    <s v="1139320"/>
    <m/>
    <m/>
    <m/>
    <m/>
    <m/>
    <m/>
    <m/>
    <m/>
    <m/>
    <m/>
    <m/>
    <m/>
    <m/>
    <m/>
    <m/>
    <m/>
    <m/>
    <m/>
    <m/>
    <m/>
    <m/>
    <m/>
    <s v="https://bnh.lightning.force.com/001WP00000rNnO7YAK"/>
    <m/>
    <m/>
    <m/>
    <m/>
    <m/>
    <m/>
    <m/>
    <m/>
    <m/>
    <m/>
    <m/>
    <m/>
    <m/>
    <m/>
    <m/>
    <m/>
    <m/>
    <m/>
    <m/>
    <m/>
    <m/>
    <m/>
    <m/>
    <m/>
    <m/>
    <m/>
    <m/>
    <m/>
    <m/>
    <m/>
    <m/>
    <m/>
    <m/>
    <m/>
    <m/>
    <m/>
    <m/>
    <m/>
    <s v="CAD"/>
    <m/>
    <s v="No"/>
    <s v="Efrat Malachi"/>
    <s v="Efrat Malachi"/>
    <d v="2026-02-03T19:02:10"/>
    <s v="Promoter"/>
    <s v="Closed"/>
    <m/>
    <m/>
    <s v="Yes"/>
    <m/>
    <m/>
    <m/>
    <m/>
    <m/>
    <m/>
    <m/>
    <m/>
    <m/>
    <m/>
    <m/>
    <m/>
    <m/>
    <m/>
    <m/>
    <m/>
    <s v="Once I was credited for lens, I was able to order a new lens quickly.  The salesman was very helpful."/>
    <m/>
    <m/>
    <m/>
    <m/>
    <s v="My package arrived to the store earlier than I expected, but it took several days longer than the estimated time to inspect my lens."/>
    <m/>
    <m/>
    <m/>
    <m/>
    <m/>
    <m/>
    <m/>
    <m/>
    <m/>
    <m/>
    <m/>
    <m/>
    <m/>
    <m/>
    <m/>
    <m/>
    <m/>
    <m/>
    <m/>
    <m/>
    <m/>
    <m/>
    <m/>
    <m/>
    <m/>
    <m/>
    <m/>
    <m/>
    <m/>
    <m/>
    <m/>
    <m/>
    <m/>
    <m/>
    <m/>
    <m/>
    <m/>
    <m/>
    <m/>
    <m/>
    <m/>
    <m/>
    <m/>
    <m/>
    <m/>
    <m/>
    <m/>
    <m/>
    <m/>
    <m/>
    <m/>
    <m/>
    <m/>
    <m/>
    <m/>
    <m/>
    <m/>
    <m/>
    <m/>
    <m/>
    <m/>
    <m/>
    <m/>
    <m/>
    <m/>
    <m/>
    <m/>
    <m/>
    <m/>
    <m/>
    <m/>
    <m/>
    <m/>
    <m/>
    <m/>
    <m/>
    <m/>
    <m/>
    <m/>
    <m/>
    <m/>
    <m/>
    <s v="Once I was credited for lens, I was able to order a new lens quickly.  The salesman was very helpful."/>
    <s v="My package arrived to the store earlier than I expected, but it took several days longer than the estimated time to inspect my le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3"/>
    <m/>
    <m/>
    <m/>
    <m/>
    <m/>
    <m/>
    <m/>
    <m/>
    <m/>
    <m/>
    <m/>
    <m/>
    <m/>
    <m/>
    <m/>
    <m/>
    <m/>
    <m/>
    <m/>
    <m/>
    <m/>
    <m/>
    <m/>
    <m/>
    <m/>
    <m/>
    <m/>
    <m/>
    <m/>
    <m/>
    <m/>
    <m/>
    <m/>
    <m/>
    <m/>
    <m/>
    <m/>
    <m/>
    <m/>
    <m/>
    <m/>
    <m/>
    <m/>
    <m/>
    <m/>
    <m/>
    <m/>
    <m/>
    <m/>
    <m/>
    <m/>
    <m/>
    <m/>
    <m/>
    <m/>
    <m/>
    <m/>
    <m/>
    <m/>
    <m/>
    <m/>
    <m/>
    <m/>
    <m/>
    <m/>
    <m/>
    <m/>
    <m/>
    <m/>
    <m/>
    <m/>
    <m/>
    <m/>
    <m/>
    <m/>
    <m/>
    <m/>
    <m/>
    <m/>
    <m/>
    <m/>
    <m/>
    <m/>
    <m/>
    <m/>
    <m/>
    <m/>
    <m/>
    <m/>
    <m/>
    <m/>
    <m/>
    <m/>
    <m/>
    <m/>
    <m/>
    <m/>
    <m/>
    <m/>
    <m/>
    <m/>
    <s v="People &gt; Helpful / Efficient &gt;, Warehouse Fulfillment &gt; Timeliness &gt;"/>
    <s v="People &gt; Helpful / Efficient &gt;, Trade In &gt; Overall Process &gt;, Trade In &gt; Timeliness of Quote &gt;"/>
    <m/>
    <s v="NEUTRAL"/>
    <s v="People &gt; Helpful / Efficient &gt; (Positive), Warehouse Fulfillment &gt; Timeliness &gt; (Positive)"/>
    <s v="People &gt; Helpful / Efficient &gt; (Positive), Trade In &gt; Overall Process &gt; (Positive), Trade In &gt; Timeliness of Quote &gt; (Negative)"/>
    <s v="Yes"/>
    <s v="Yes"/>
    <m/>
    <x v="7"/>
    <x v="4"/>
    <x v="0"/>
    <m/>
    <x v="0"/>
    <x v="0"/>
  </r>
  <r>
    <s v="Kenneth Speckler - Used Trade-In Product"/>
    <n v="10"/>
    <n v="5"/>
    <d v="2026-02-03T16:06:33"/>
    <n v="5178701"/>
    <s v="Used Trade-In Product"/>
    <m/>
    <s v="Kenneth Speckler"/>
    <m/>
    <s v="kspeckler@verizon.net"/>
    <m/>
    <s v="Cabin John;Maryland;20818"/>
    <s v="Cabin John;Maryland;20818"/>
    <s v="27 years 2 months"/>
    <s v="No"/>
    <m/>
    <m/>
    <s v="kspeckler@verizon.net"/>
    <s v="326"/>
    <m/>
    <m/>
    <m/>
    <m/>
    <m/>
    <m/>
    <m/>
    <m/>
    <d v="2026-02-04T08:31:59"/>
    <d v="2026-02-03T18:22:41"/>
    <m/>
    <s v="1139487"/>
    <m/>
    <m/>
    <m/>
    <m/>
    <m/>
    <m/>
    <m/>
    <m/>
    <m/>
    <m/>
    <m/>
    <m/>
    <m/>
    <m/>
    <m/>
    <m/>
    <m/>
    <m/>
    <m/>
    <m/>
    <m/>
    <m/>
    <s v="https://bnh.lightning.force.com/001WP00000rRd0NYAS"/>
    <m/>
    <m/>
    <m/>
    <m/>
    <m/>
    <m/>
    <m/>
    <m/>
    <m/>
    <m/>
    <m/>
    <m/>
    <m/>
    <m/>
    <m/>
    <m/>
    <m/>
    <m/>
    <m/>
    <m/>
    <m/>
    <m/>
    <m/>
    <m/>
    <m/>
    <m/>
    <m/>
    <m/>
    <m/>
    <m/>
    <m/>
    <m/>
    <m/>
    <m/>
    <m/>
    <m/>
    <m/>
    <m/>
    <s v="CAD"/>
    <m/>
    <s v="No"/>
    <s v="Zane Bohnert"/>
    <s v="Zane Bohnert"/>
    <d v="2026-02-03T16:16:28"/>
    <s v="Promoter"/>
    <s v="Closed"/>
    <m/>
    <m/>
    <s v="Yes"/>
    <m/>
    <m/>
    <m/>
    <m/>
    <m/>
    <m/>
    <m/>
    <m/>
    <m/>
    <m/>
    <m/>
    <m/>
    <m/>
    <m/>
    <m/>
    <m/>
    <s v="Fair Pricing"/>
    <m/>
    <m/>
    <m/>
    <m/>
    <s v="Having a hard time getting my a/c in order. Still donn't think I have my password_x000a_finalized...??"/>
    <m/>
    <m/>
    <m/>
    <m/>
    <m/>
    <m/>
    <m/>
    <m/>
    <m/>
    <m/>
    <m/>
    <m/>
    <m/>
    <m/>
    <m/>
    <m/>
    <m/>
    <m/>
    <m/>
    <m/>
    <m/>
    <m/>
    <m/>
    <m/>
    <m/>
    <m/>
    <m/>
    <m/>
    <m/>
    <m/>
    <m/>
    <m/>
    <m/>
    <m/>
    <m/>
    <m/>
    <m/>
    <m/>
    <m/>
    <m/>
    <m/>
    <m/>
    <m/>
    <m/>
    <m/>
    <m/>
    <m/>
    <m/>
    <m/>
    <m/>
    <m/>
    <m/>
    <m/>
    <m/>
    <m/>
    <m/>
    <m/>
    <m/>
    <m/>
    <m/>
    <m/>
    <m/>
    <m/>
    <m/>
    <m/>
    <m/>
    <m/>
    <m/>
    <m/>
    <m/>
    <m/>
    <m/>
    <m/>
    <m/>
    <m/>
    <m/>
    <m/>
    <m/>
    <m/>
    <m/>
    <m/>
    <m/>
    <s v="Fair Pricing"/>
    <s v="Having a hard time getting my a/c in order. Still donn't think I have my password_x000a_finaliz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4"/>
    <n v="5"/>
    <n v="5"/>
    <m/>
    <m/>
    <m/>
    <m/>
    <m/>
    <m/>
    <m/>
    <m/>
    <m/>
    <m/>
    <m/>
    <m/>
    <m/>
    <m/>
    <m/>
    <m/>
    <m/>
    <m/>
    <m/>
    <m/>
    <m/>
    <m/>
    <m/>
    <m/>
    <m/>
    <m/>
    <m/>
    <m/>
    <m/>
    <m/>
    <m/>
    <m/>
    <m/>
    <m/>
    <m/>
    <m/>
    <m/>
    <m/>
    <m/>
    <m/>
    <m/>
    <m/>
    <m/>
    <m/>
    <m/>
    <m/>
    <m/>
    <m/>
    <m/>
    <m/>
    <m/>
    <m/>
    <m/>
    <m/>
    <m/>
    <m/>
    <m/>
    <m/>
    <m/>
    <m/>
    <m/>
    <m/>
    <m/>
    <m/>
    <m/>
    <m/>
    <m/>
    <m/>
    <m/>
    <m/>
    <m/>
    <m/>
    <m/>
    <m/>
    <m/>
    <m/>
    <m/>
    <m/>
    <m/>
    <m/>
    <m/>
    <m/>
    <m/>
    <m/>
    <m/>
    <m/>
    <m/>
    <m/>
    <m/>
    <m/>
    <m/>
    <m/>
    <m/>
    <m/>
    <m/>
    <m/>
    <m/>
    <m/>
    <m/>
    <m/>
    <m/>
    <s v="Used &gt; Pricing &gt;"/>
    <s v="Account Activities &gt; Password/Access &gt;, Trade In &gt; Quote Price &gt;"/>
    <m/>
    <m/>
    <s v="Used &gt; Pricing &gt; (Positive)"/>
    <s v="Account Activities &gt; Password/Access &gt; (Negative), Trade In &gt; Quote Price &gt; (Positive)"/>
    <s v="Yes"/>
    <s v="Yes"/>
    <m/>
    <x v="3"/>
    <x v="0"/>
    <x v="0"/>
    <m/>
    <x v="0"/>
    <x v="0"/>
  </r>
  <r>
    <s v="Richard Freiman - Used Trade-In Product"/>
    <n v="9"/>
    <n v="5"/>
    <d v="2026-02-03T15:58:47"/>
    <n v="5178679"/>
    <s v="Used Trade-In Product"/>
    <m/>
    <s v="Richard Freiman"/>
    <m/>
    <s v="rfreiman@me.com"/>
    <m/>
    <s v="Hallandale Beach;Florida;33009"/>
    <m/>
    <m/>
    <s v="No"/>
    <m/>
    <m/>
    <s v="rfreiman@me.com"/>
    <m/>
    <m/>
    <m/>
    <m/>
    <m/>
    <m/>
    <m/>
    <m/>
    <m/>
    <d v="2026-02-04T08:17:49"/>
    <d v="2026-02-03T12:52:35"/>
    <m/>
    <s v="1136791"/>
    <m/>
    <m/>
    <m/>
    <m/>
    <m/>
    <m/>
    <m/>
    <m/>
    <m/>
    <m/>
    <m/>
    <m/>
    <m/>
    <m/>
    <m/>
    <m/>
    <m/>
    <m/>
    <m/>
    <m/>
    <m/>
    <m/>
    <s v="https://bnh.lightning.force.com/0011a00000iRghqAAC"/>
    <m/>
    <m/>
    <m/>
    <m/>
    <m/>
    <m/>
    <m/>
    <m/>
    <m/>
    <m/>
    <m/>
    <m/>
    <m/>
    <m/>
    <m/>
    <m/>
    <m/>
    <m/>
    <m/>
    <m/>
    <m/>
    <m/>
    <m/>
    <m/>
    <m/>
    <m/>
    <m/>
    <m/>
    <m/>
    <m/>
    <m/>
    <m/>
    <m/>
    <m/>
    <m/>
    <m/>
    <m/>
    <m/>
    <s v="CAD"/>
    <m/>
    <s v="No"/>
    <s v="Zane Bohnert"/>
    <s v="Zane Bohnert"/>
    <d v="2026-02-03T16:12:34"/>
    <s v="Promoter"/>
    <s v="Closed"/>
    <m/>
    <m/>
    <s v="Yes"/>
    <m/>
    <m/>
    <m/>
    <m/>
    <m/>
    <m/>
    <m/>
    <m/>
    <m/>
    <m/>
    <m/>
    <m/>
    <m/>
    <m/>
    <m/>
    <m/>
    <s v="Professionally done, I was a little disappointed that my strobe light was not accepted in trade, but it did have some minor damage to the battery area and I guess you have to have it perfect for you to sell it"/>
    <m/>
    <m/>
    <m/>
    <m/>
    <s v="Nothing"/>
    <m/>
    <m/>
    <m/>
    <m/>
    <m/>
    <m/>
    <m/>
    <m/>
    <m/>
    <m/>
    <m/>
    <m/>
    <m/>
    <m/>
    <m/>
    <m/>
    <m/>
    <m/>
    <m/>
    <m/>
    <m/>
    <m/>
    <m/>
    <m/>
    <m/>
    <m/>
    <m/>
    <m/>
    <m/>
    <m/>
    <m/>
    <m/>
    <m/>
    <m/>
    <m/>
    <m/>
    <m/>
    <m/>
    <m/>
    <m/>
    <m/>
    <m/>
    <m/>
    <m/>
    <m/>
    <m/>
    <m/>
    <m/>
    <m/>
    <m/>
    <m/>
    <m/>
    <m/>
    <m/>
    <m/>
    <m/>
    <m/>
    <m/>
    <m/>
    <m/>
    <m/>
    <m/>
    <m/>
    <m/>
    <m/>
    <m/>
    <m/>
    <m/>
    <m/>
    <m/>
    <m/>
    <m/>
    <m/>
    <m/>
    <m/>
    <m/>
    <m/>
    <m/>
    <m/>
    <m/>
    <m/>
    <m/>
    <s v="Professionally done, I was a little disappointed that my strobe light was not accepted in trade, but it did have some minor damage to the battery area and I guess you have to have it perfect for you to sell it"/>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n v="4"/>
    <n v="5"/>
    <n v="5"/>
    <m/>
    <m/>
    <m/>
    <m/>
    <m/>
    <m/>
    <m/>
    <m/>
    <m/>
    <m/>
    <m/>
    <m/>
    <m/>
    <m/>
    <m/>
    <m/>
    <m/>
    <m/>
    <m/>
    <m/>
    <m/>
    <m/>
    <m/>
    <m/>
    <m/>
    <m/>
    <m/>
    <m/>
    <m/>
    <m/>
    <m/>
    <m/>
    <m/>
    <m/>
    <m/>
    <m/>
    <m/>
    <m/>
    <m/>
    <m/>
    <m/>
    <m/>
    <m/>
    <m/>
    <m/>
    <m/>
    <m/>
    <m/>
    <m/>
    <m/>
    <m/>
    <m/>
    <m/>
    <m/>
    <m/>
    <m/>
    <m/>
    <m/>
    <m/>
    <m/>
    <m/>
    <m/>
    <m/>
    <m/>
    <m/>
    <m/>
    <m/>
    <m/>
    <m/>
    <m/>
    <m/>
    <m/>
    <m/>
    <m/>
    <m/>
    <m/>
    <m/>
    <m/>
    <m/>
    <m/>
    <m/>
    <m/>
    <m/>
    <m/>
    <m/>
    <m/>
    <m/>
    <m/>
    <m/>
    <m/>
    <m/>
    <m/>
    <m/>
    <m/>
    <m/>
    <m/>
    <m/>
    <m/>
    <m/>
    <m/>
    <m/>
    <s v="Product &gt; Product Function &gt;"/>
    <s v="Trade In &gt; Overall Process &gt;"/>
    <m/>
    <m/>
    <s v="Product &gt; Product Function &gt; (Negative)"/>
    <s v="Trade In &gt; Overall Process &gt; (Negative)"/>
    <s v="Yes"/>
    <s v="Yes"/>
    <m/>
    <x v="34"/>
    <x v="0"/>
    <x v="0"/>
    <m/>
    <x v="0"/>
    <x v="0"/>
  </r>
  <r>
    <s v="Gary Sylvester - Used Trade-In Product"/>
    <n v="10"/>
    <n v="5"/>
    <d v="2026-02-03T15:00:24"/>
    <n v="5178544"/>
    <s v="Used Trade-In Product"/>
    <m/>
    <s v="Gary Sylvester"/>
    <m/>
    <s v="j4cvyqxcjc@privaterelay.appleid.com"/>
    <m/>
    <s v="Madison Heights;Michigan;48071"/>
    <m/>
    <m/>
    <s v="No"/>
    <m/>
    <m/>
    <s v="j4cvyqxcjc@privaterelay.appleid.com"/>
    <m/>
    <m/>
    <m/>
    <m/>
    <m/>
    <m/>
    <m/>
    <m/>
    <m/>
    <d v="2026-02-03T15:57:29"/>
    <d v="2026-02-03T12:53:16"/>
    <m/>
    <s v="1135887"/>
    <m/>
    <m/>
    <m/>
    <m/>
    <m/>
    <m/>
    <m/>
    <m/>
    <m/>
    <m/>
    <m/>
    <m/>
    <m/>
    <m/>
    <m/>
    <m/>
    <m/>
    <m/>
    <m/>
    <m/>
    <m/>
    <m/>
    <s v="https://bnh.lightning.force.com/0012L000014IgqQQAS"/>
    <m/>
    <m/>
    <m/>
    <m/>
    <m/>
    <m/>
    <m/>
    <m/>
    <m/>
    <m/>
    <m/>
    <m/>
    <m/>
    <m/>
    <m/>
    <m/>
    <m/>
    <m/>
    <m/>
    <m/>
    <m/>
    <m/>
    <m/>
    <m/>
    <m/>
    <m/>
    <m/>
    <m/>
    <m/>
    <m/>
    <m/>
    <m/>
    <m/>
    <m/>
    <m/>
    <m/>
    <m/>
    <m/>
    <s v="CAD"/>
    <m/>
    <s v="No"/>
    <s v="Sergio Jonusas"/>
    <s v="Sergio Jonusas"/>
    <d v="2026-02-03T15:12:54"/>
    <s v="Promoter"/>
    <s v="Closed"/>
    <m/>
    <m/>
    <s v="Yes"/>
    <m/>
    <m/>
    <m/>
    <m/>
    <m/>
    <m/>
    <m/>
    <m/>
    <m/>
    <m/>
    <m/>
    <m/>
    <m/>
    <m/>
    <m/>
    <m/>
    <s v="Received $50 more than quote!   Thank you!"/>
    <m/>
    <m/>
    <m/>
    <m/>
    <s v="Nothing"/>
    <m/>
    <m/>
    <m/>
    <m/>
    <m/>
    <m/>
    <m/>
    <m/>
    <m/>
    <m/>
    <m/>
    <m/>
    <m/>
    <m/>
    <m/>
    <m/>
    <m/>
    <m/>
    <m/>
    <m/>
    <m/>
    <m/>
    <m/>
    <m/>
    <m/>
    <m/>
    <m/>
    <m/>
    <m/>
    <m/>
    <m/>
    <m/>
    <m/>
    <m/>
    <m/>
    <m/>
    <m/>
    <m/>
    <m/>
    <m/>
    <m/>
    <m/>
    <m/>
    <m/>
    <m/>
    <m/>
    <m/>
    <m/>
    <m/>
    <m/>
    <m/>
    <m/>
    <m/>
    <m/>
    <m/>
    <m/>
    <m/>
    <m/>
    <m/>
    <m/>
    <m/>
    <m/>
    <m/>
    <m/>
    <m/>
    <m/>
    <m/>
    <m/>
    <m/>
    <m/>
    <m/>
    <m/>
    <m/>
    <m/>
    <m/>
    <m/>
    <m/>
    <m/>
    <m/>
    <m/>
    <m/>
    <m/>
    <s v="Received $50 more than quote!   Thank you!"/>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Quote Price &gt;"/>
    <m/>
    <m/>
    <s v="Trade In &gt; Overall Process &gt; (No opinion)"/>
    <s v="Trade In &gt; Quote Price &gt; (Positive)"/>
    <s v="Yes"/>
    <s v="Yes"/>
    <m/>
    <x v="38"/>
    <x v="0"/>
    <x v="0"/>
    <m/>
    <x v="0"/>
    <x v="0"/>
  </r>
  <r>
    <s v="Marie Schaller - Used Trade-In Product"/>
    <n v="10"/>
    <n v="5"/>
    <d v="2026-02-03T14:59:44"/>
    <n v="5178533"/>
    <s v="Used Trade-In Product"/>
    <m/>
    <s v="Marie Schaller"/>
    <m/>
    <s v="mschaller719@gmail.com"/>
    <m/>
    <s v="Tarpon Springs;Florida;34689"/>
    <s v="Tarpon Springs;Florida;34689"/>
    <s v="9 years 3 months"/>
    <s v="No"/>
    <m/>
    <m/>
    <s v="mschaller719@gmail.com"/>
    <s v="111"/>
    <m/>
    <m/>
    <m/>
    <m/>
    <m/>
    <m/>
    <m/>
    <m/>
    <d v="2026-02-03T15:56:53"/>
    <d v="2026-02-03T15:20:27"/>
    <m/>
    <s v="1138558"/>
    <m/>
    <m/>
    <m/>
    <m/>
    <m/>
    <m/>
    <m/>
    <m/>
    <m/>
    <m/>
    <m/>
    <m/>
    <m/>
    <m/>
    <m/>
    <m/>
    <m/>
    <m/>
    <m/>
    <m/>
    <m/>
    <m/>
    <s v="https://bnh.lightning.force.com/0018X00003OTGXBQA5"/>
    <m/>
    <m/>
    <m/>
    <m/>
    <m/>
    <m/>
    <m/>
    <m/>
    <m/>
    <m/>
    <m/>
    <m/>
    <m/>
    <m/>
    <m/>
    <m/>
    <m/>
    <m/>
    <m/>
    <m/>
    <m/>
    <m/>
    <m/>
    <m/>
    <m/>
    <m/>
    <m/>
    <m/>
    <m/>
    <m/>
    <m/>
    <m/>
    <m/>
    <m/>
    <m/>
    <m/>
    <m/>
    <m/>
    <s v="CAD"/>
    <m/>
    <s v="No"/>
    <s v="Sergio Jonusas"/>
    <s v="Sergio Jonusas"/>
    <d v="2026-02-03T15:08:27"/>
    <s v="Promoter"/>
    <s v="Closed"/>
    <m/>
    <m/>
    <s v="Yes"/>
    <m/>
    <m/>
    <m/>
    <m/>
    <m/>
    <m/>
    <m/>
    <m/>
    <m/>
    <m/>
    <m/>
    <m/>
    <m/>
    <m/>
    <m/>
    <m/>
    <s v="Everything.  My quote was easy to achieve, and inspection/follow through on my trade in was quick, as was receipt of my egiftcard from trade in."/>
    <m/>
    <m/>
    <m/>
    <m/>
    <s v="Nothing at all."/>
    <m/>
    <m/>
    <m/>
    <m/>
    <m/>
    <m/>
    <m/>
    <m/>
    <m/>
    <m/>
    <m/>
    <m/>
    <m/>
    <m/>
    <m/>
    <m/>
    <m/>
    <m/>
    <m/>
    <m/>
    <m/>
    <m/>
    <m/>
    <m/>
    <m/>
    <m/>
    <m/>
    <m/>
    <m/>
    <m/>
    <m/>
    <m/>
    <m/>
    <m/>
    <m/>
    <m/>
    <m/>
    <m/>
    <m/>
    <m/>
    <m/>
    <m/>
    <m/>
    <m/>
    <m/>
    <m/>
    <m/>
    <m/>
    <m/>
    <m/>
    <m/>
    <m/>
    <m/>
    <m/>
    <m/>
    <m/>
    <m/>
    <m/>
    <m/>
    <m/>
    <m/>
    <m/>
    <m/>
    <m/>
    <m/>
    <m/>
    <m/>
    <m/>
    <m/>
    <m/>
    <m/>
    <m/>
    <m/>
    <m/>
    <m/>
    <m/>
    <m/>
    <m/>
    <m/>
    <m/>
    <m/>
    <m/>
    <s v="Everything.  My quote was easy to achieve, and inspection/follow through on my trade in was quick, as was receipt of my egiftcard from trade in."/>
    <s v="Nothing at a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Satisfaction &gt;, Trade In &gt; Overall Process &gt;"/>
    <m/>
    <m/>
    <s v="Trade In &gt; Overall Process &gt; (Positive)"/>
    <s v="B&amp;H &gt; Satisfaction &gt; (Positive), Trade In &gt; Overall Process &gt; (Positive)"/>
    <s v="Yes"/>
    <s v="Yes"/>
    <m/>
    <x v="0"/>
    <x v="40"/>
    <x v="0"/>
    <m/>
    <x v="0"/>
    <x v="0"/>
  </r>
  <r>
    <s v="Steven Sasson - Used Trade-In Product"/>
    <n v="10"/>
    <n v="5"/>
    <d v="2026-02-03T13:06:24"/>
    <n v="5178092"/>
    <s v="Used Trade-In Product"/>
    <m/>
    <s v="Steven Sasson"/>
    <m/>
    <s v="ssasson1@rochester.rr.com"/>
    <m/>
    <s v="Charlottesville;Virginia;22901"/>
    <m/>
    <s v="10 years 2 months"/>
    <s v="No"/>
    <m/>
    <m/>
    <s v="ssasson1@rochester.rr.com"/>
    <s v="122"/>
    <m/>
    <m/>
    <m/>
    <m/>
    <m/>
    <m/>
    <m/>
    <m/>
    <d v="2026-02-03T15:07:43"/>
    <d v="2026-02-03T12:52:37"/>
    <m/>
    <s v="1137496"/>
    <m/>
    <m/>
    <m/>
    <m/>
    <m/>
    <m/>
    <m/>
    <m/>
    <m/>
    <m/>
    <m/>
    <m/>
    <m/>
    <m/>
    <m/>
    <m/>
    <m/>
    <m/>
    <m/>
    <m/>
    <m/>
    <m/>
    <s v="https://bnh.lightning.force.com/001WP00000qNtvaYAC"/>
    <m/>
    <m/>
    <m/>
    <m/>
    <m/>
    <m/>
    <m/>
    <m/>
    <m/>
    <m/>
    <m/>
    <m/>
    <m/>
    <m/>
    <m/>
    <m/>
    <m/>
    <m/>
    <m/>
    <m/>
    <m/>
    <m/>
    <m/>
    <m/>
    <m/>
    <m/>
    <m/>
    <m/>
    <m/>
    <m/>
    <m/>
    <m/>
    <m/>
    <m/>
    <m/>
    <m/>
    <m/>
    <m/>
    <s v="CAD"/>
    <m/>
    <s v="No"/>
    <s v="Efrat Malachi"/>
    <s v="Efrat Malachi"/>
    <d v="2026-02-03T13:26:47"/>
    <s v="Promoter"/>
    <s v="Closed"/>
    <m/>
    <m/>
    <s v="Yes"/>
    <m/>
    <m/>
    <m/>
    <m/>
    <m/>
    <m/>
    <m/>
    <m/>
    <m/>
    <m/>
    <m/>
    <m/>
    <m/>
    <m/>
    <m/>
    <m/>
    <s v="simple process"/>
    <m/>
    <m/>
    <m/>
    <m/>
    <s v="took a while to confirm the value by B&amp;H"/>
    <m/>
    <m/>
    <m/>
    <m/>
    <m/>
    <m/>
    <m/>
    <m/>
    <m/>
    <m/>
    <m/>
    <m/>
    <m/>
    <m/>
    <m/>
    <m/>
    <m/>
    <m/>
    <m/>
    <m/>
    <m/>
    <m/>
    <m/>
    <m/>
    <m/>
    <m/>
    <m/>
    <m/>
    <m/>
    <m/>
    <m/>
    <m/>
    <m/>
    <m/>
    <m/>
    <m/>
    <m/>
    <m/>
    <m/>
    <m/>
    <m/>
    <m/>
    <m/>
    <m/>
    <m/>
    <m/>
    <m/>
    <m/>
    <m/>
    <m/>
    <m/>
    <m/>
    <m/>
    <m/>
    <m/>
    <m/>
    <m/>
    <m/>
    <m/>
    <m/>
    <m/>
    <m/>
    <m/>
    <m/>
    <m/>
    <m/>
    <m/>
    <m/>
    <m/>
    <m/>
    <m/>
    <m/>
    <m/>
    <m/>
    <m/>
    <m/>
    <m/>
    <m/>
    <m/>
    <m/>
    <m/>
    <m/>
    <s v="simple process"/>
    <s v="took a while to confirm the value by B&amp;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Quote &gt;"/>
    <m/>
    <m/>
    <s v="Trade In &gt; Overall Process &gt; (Positive)"/>
    <s v="Trade In &gt; Overall Process &gt; (Positive), Trade In &gt; Timeliness of Quote &gt; (Negative)"/>
    <s v="Yes"/>
    <s v="No"/>
    <m/>
    <x v="25"/>
    <x v="0"/>
    <x v="0"/>
    <m/>
    <x v="0"/>
    <x v="0"/>
  </r>
  <r>
    <s v="Ronald Witt - Used Trade-In Product"/>
    <n v="10"/>
    <n v="5"/>
    <d v="2026-02-03T11:16:20"/>
    <n v="5177752"/>
    <s v="Used Trade-In Product"/>
    <m/>
    <s v="Ronald Witt"/>
    <m/>
    <s v="2249362@gmail.com"/>
    <m/>
    <s v="Cedarburg;Wisconsin;53012"/>
    <m/>
    <s v="14 years 5 months"/>
    <s v="Yes"/>
    <m/>
    <m/>
    <s v="2249362@gmail.com"/>
    <s v="173"/>
    <m/>
    <m/>
    <m/>
    <m/>
    <m/>
    <m/>
    <m/>
    <m/>
    <d v="2026-02-03T15:03:05"/>
    <d v="2026-02-03T12:53:30"/>
    <m/>
    <s v="1136812"/>
    <m/>
    <m/>
    <m/>
    <m/>
    <m/>
    <m/>
    <m/>
    <m/>
    <m/>
    <m/>
    <m/>
    <m/>
    <m/>
    <m/>
    <m/>
    <m/>
    <m/>
    <m/>
    <m/>
    <m/>
    <m/>
    <m/>
    <s v="https://bnh.lightning.force.com/001Hs00005AZWagIAH"/>
    <m/>
    <m/>
    <m/>
    <m/>
    <m/>
    <m/>
    <m/>
    <m/>
    <m/>
    <m/>
    <m/>
    <m/>
    <m/>
    <m/>
    <m/>
    <m/>
    <m/>
    <m/>
    <m/>
    <m/>
    <m/>
    <m/>
    <m/>
    <m/>
    <m/>
    <m/>
    <m/>
    <m/>
    <m/>
    <m/>
    <m/>
    <m/>
    <m/>
    <m/>
    <m/>
    <m/>
    <m/>
    <m/>
    <s v="CAD"/>
    <m/>
    <s v="No"/>
    <s v="Emily Schreier"/>
    <s v="Emily Schreier"/>
    <d v="2026-02-03T11:25:00"/>
    <s v="Promoter"/>
    <s v="Closed"/>
    <m/>
    <m/>
    <s v="Yes"/>
    <m/>
    <m/>
    <m/>
    <m/>
    <m/>
    <m/>
    <m/>
    <m/>
    <m/>
    <m/>
    <m/>
    <m/>
    <m/>
    <m/>
    <m/>
    <m/>
    <s v="I've been shopping with you for nearly two decades and you are the only supplier for all my cameras and most of my computers. I say most of the computers because some of the Apple products I buy are purchase direct. However, for my business all my products typically go through your business because it is simply the best..."/>
    <m/>
    <m/>
    <m/>
    <m/>
    <s v="I think a manually cut, check and sent in the mail seems a little backwards. I think we could be starting to consider utilizing PayPal or venmo for payout systems."/>
    <m/>
    <m/>
    <m/>
    <m/>
    <m/>
    <m/>
    <m/>
    <m/>
    <m/>
    <m/>
    <m/>
    <m/>
    <m/>
    <m/>
    <m/>
    <m/>
    <m/>
    <m/>
    <m/>
    <m/>
    <m/>
    <m/>
    <m/>
    <m/>
    <m/>
    <m/>
    <m/>
    <m/>
    <m/>
    <m/>
    <m/>
    <m/>
    <m/>
    <m/>
    <m/>
    <m/>
    <m/>
    <m/>
    <m/>
    <m/>
    <m/>
    <m/>
    <m/>
    <m/>
    <m/>
    <m/>
    <m/>
    <m/>
    <m/>
    <m/>
    <m/>
    <m/>
    <m/>
    <m/>
    <m/>
    <m/>
    <m/>
    <m/>
    <m/>
    <m/>
    <m/>
    <m/>
    <m/>
    <m/>
    <m/>
    <m/>
    <m/>
    <m/>
    <m/>
    <m/>
    <m/>
    <m/>
    <m/>
    <m/>
    <m/>
    <m/>
    <m/>
    <m/>
    <m/>
    <m/>
    <m/>
    <m/>
    <s v="I've been shopping with you for nearly two decades and you are the only supplier for all my cameras and most of my computers. I say most of the computers because some of the Apple products I buy are purchase direct. However, for my business all my products typically go through your business because it is simply the best..."/>
    <s v="I think a manually cut, check and sent in the mail seems a little backwards. I think we could be starting to consider utilizing PayPal or venmo for payout system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Payment &gt; Online &gt;"/>
    <s v="B&amp;H &gt; Loyalty &gt;, B&amp;H &gt; Satisfaction &gt;, Trade In &gt; Overall Process &gt;"/>
    <m/>
    <m/>
    <s v="Payment &gt; Online &gt; (Negative)"/>
    <s v="B&amp;H &gt; Loyalty &gt; (Positive), B&amp;H &gt; Satisfaction &gt; (Positive), Trade In &gt; Overall Process &gt; (Negative)"/>
    <s v="Yes"/>
    <s v="Yes"/>
    <m/>
    <x v="39"/>
    <x v="16"/>
    <x v="0"/>
    <m/>
    <x v="0"/>
    <x v="0"/>
  </r>
  <r>
    <s v="Meredith Lee - Used Trade-In Product"/>
    <n v="10"/>
    <n v="5"/>
    <d v="2026-02-03T10:38:03"/>
    <n v="5177629"/>
    <s v="Used Trade-In Product"/>
    <m/>
    <s v="Meredith Lee"/>
    <m/>
    <s v="meri.lee@mangwe.com"/>
    <m/>
    <s v="Monticello;Minnesota;55362"/>
    <s v="Monticello;Minnesota;55362"/>
    <s v="16 years 6 months"/>
    <s v="No"/>
    <m/>
    <m/>
    <s v="meri.lee@mangwe.com"/>
    <s v="198"/>
    <m/>
    <m/>
    <m/>
    <m/>
    <m/>
    <m/>
    <m/>
    <m/>
    <d v="2026-02-03T14:58:49"/>
    <d v="2026-02-03T12:52:39"/>
    <m/>
    <s v="1135901"/>
    <m/>
    <m/>
    <m/>
    <m/>
    <m/>
    <m/>
    <m/>
    <m/>
    <m/>
    <m/>
    <m/>
    <m/>
    <m/>
    <m/>
    <m/>
    <m/>
    <m/>
    <m/>
    <m/>
    <m/>
    <m/>
    <m/>
    <s v="https://bnh.lightning.force.com/0018X00003T7QCCQA3"/>
    <m/>
    <m/>
    <m/>
    <m/>
    <m/>
    <m/>
    <m/>
    <m/>
    <m/>
    <m/>
    <m/>
    <m/>
    <m/>
    <m/>
    <m/>
    <m/>
    <m/>
    <m/>
    <m/>
    <m/>
    <m/>
    <m/>
    <m/>
    <m/>
    <m/>
    <m/>
    <m/>
    <m/>
    <m/>
    <m/>
    <m/>
    <m/>
    <m/>
    <m/>
    <m/>
    <m/>
    <m/>
    <m/>
    <s v="CAD"/>
    <m/>
    <s v="No"/>
    <s v="Emily Schreier"/>
    <s v="Emily Schreier"/>
    <d v="2026-02-03T10:48:52"/>
    <s v="Promoter"/>
    <s v="Closed"/>
    <m/>
    <m/>
    <s v="Yes"/>
    <m/>
    <m/>
    <m/>
    <m/>
    <m/>
    <m/>
    <m/>
    <m/>
    <m/>
    <m/>
    <m/>
    <m/>
    <m/>
    <m/>
    <m/>
    <m/>
    <s v="Finding a reputable and fair company to trade my dad's gear to. It was very easy to complete the process."/>
    <m/>
    <m/>
    <m/>
    <m/>
    <m/>
    <m/>
    <m/>
    <m/>
    <m/>
    <m/>
    <m/>
    <m/>
    <m/>
    <m/>
    <m/>
    <m/>
    <m/>
    <m/>
    <m/>
    <m/>
    <m/>
    <m/>
    <m/>
    <m/>
    <m/>
    <m/>
    <m/>
    <m/>
    <m/>
    <m/>
    <m/>
    <m/>
    <m/>
    <m/>
    <m/>
    <m/>
    <m/>
    <m/>
    <m/>
    <m/>
    <m/>
    <m/>
    <m/>
    <m/>
    <m/>
    <m/>
    <m/>
    <m/>
    <m/>
    <m/>
    <m/>
    <m/>
    <m/>
    <m/>
    <m/>
    <m/>
    <m/>
    <m/>
    <m/>
    <m/>
    <m/>
    <m/>
    <m/>
    <m/>
    <m/>
    <m/>
    <m/>
    <m/>
    <m/>
    <m/>
    <m/>
    <m/>
    <m/>
    <m/>
    <m/>
    <m/>
    <m/>
    <m/>
    <m/>
    <m/>
    <m/>
    <m/>
    <m/>
    <m/>
    <m/>
    <m/>
    <m/>
    <s v="Finding a reputable and fair company to trade my dad's gear to. It was very easy to complete the proc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s v="B&amp;H &gt; Reliable / Trustworthy &gt;, Trade In &gt; Overall Process &gt;"/>
    <s v="B&amp;H &gt; Reliable / Trustworthy &gt;, Trade In &gt; Overall Process &gt;"/>
    <m/>
    <m/>
    <s v="B&amp;H &gt; Reliable / Trustworthy &gt; (Positive), Trade In &gt; Overall Process &gt; (Strongly positive)"/>
    <s v="B&amp;H &gt; Reliable / Trustworthy &gt; (Positive), Trade In &gt; Overall Process &gt; (Positive)"/>
    <s v="Yes"/>
    <s v="Yes"/>
    <m/>
    <x v="0"/>
    <x v="15"/>
    <x v="0"/>
    <m/>
    <x v="0"/>
    <x v="0"/>
  </r>
  <r>
    <s v="David Migdal - Used Trade-In Product"/>
    <n v="10"/>
    <n v="5"/>
    <d v="2026-02-03T10:09:46"/>
    <n v="5177508"/>
    <s v="Used Trade-In Product"/>
    <m/>
    <s v="David Migdal"/>
    <m/>
    <s v="migdaldj@yahoo.com"/>
    <m/>
    <s v="Long Branch;New Jersey;07740"/>
    <m/>
    <m/>
    <s v="No"/>
    <m/>
    <m/>
    <s v="migdaldj@yahoo.com"/>
    <m/>
    <m/>
    <m/>
    <m/>
    <m/>
    <m/>
    <m/>
    <m/>
    <m/>
    <d v="2026-02-03T16:04:59"/>
    <d v="2026-02-03T12:52:28"/>
    <m/>
    <s v="1136268"/>
    <m/>
    <m/>
    <m/>
    <m/>
    <m/>
    <m/>
    <m/>
    <m/>
    <m/>
    <m/>
    <m/>
    <m/>
    <m/>
    <m/>
    <m/>
    <m/>
    <m/>
    <m/>
    <m/>
    <m/>
    <m/>
    <m/>
    <s v="https://bnh.lightning.force.com/001WP00000pia4CYAQ"/>
    <m/>
    <m/>
    <m/>
    <m/>
    <m/>
    <m/>
    <m/>
    <m/>
    <m/>
    <m/>
    <m/>
    <m/>
    <m/>
    <m/>
    <m/>
    <m/>
    <m/>
    <m/>
    <m/>
    <m/>
    <m/>
    <m/>
    <m/>
    <m/>
    <m/>
    <m/>
    <m/>
    <m/>
    <m/>
    <m/>
    <m/>
    <m/>
    <m/>
    <m/>
    <m/>
    <m/>
    <m/>
    <m/>
    <s v="CAD"/>
    <m/>
    <s v="No"/>
    <s v="Nick Badame"/>
    <s v="Nick Badame"/>
    <d v="2026-02-03T10:16:22"/>
    <s v="Promoter"/>
    <s v="Closed"/>
    <m/>
    <m/>
    <s v="Yes"/>
    <m/>
    <m/>
    <m/>
    <m/>
    <m/>
    <m/>
    <m/>
    <m/>
    <m/>
    <m/>
    <m/>
    <m/>
    <m/>
    <m/>
    <m/>
    <m/>
    <s v="Seamless experience with no issues...payment was prompt"/>
    <m/>
    <m/>
    <m/>
    <m/>
    <s v="N/A"/>
    <m/>
    <m/>
    <m/>
    <m/>
    <m/>
    <m/>
    <m/>
    <m/>
    <m/>
    <m/>
    <m/>
    <m/>
    <m/>
    <m/>
    <m/>
    <m/>
    <m/>
    <m/>
    <m/>
    <m/>
    <m/>
    <m/>
    <m/>
    <m/>
    <m/>
    <m/>
    <m/>
    <m/>
    <m/>
    <m/>
    <m/>
    <m/>
    <m/>
    <m/>
    <m/>
    <m/>
    <m/>
    <m/>
    <m/>
    <m/>
    <m/>
    <m/>
    <m/>
    <m/>
    <m/>
    <m/>
    <m/>
    <m/>
    <m/>
    <m/>
    <m/>
    <m/>
    <m/>
    <m/>
    <m/>
    <m/>
    <m/>
    <m/>
    <m/>
    <m/>
    <m/>
    <m/>
    <m/>
    <m/>
    <m/>
    <m/>
    <m/>
    <m/>
    <m/>
    <m/>
    <m/>
    <m/>
    <m/>
    <m/>
    <m/>
    <m/>
    <m/>
    <m/>
    <m/>
    <m/>
    <m/>
    <m/>
    <s v="Seamless experience with no issues...payment was prompt"/>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5"/>
    <n v="5"/>
    <n v="5"/>
    <m/>
    <m/>
    <m/>
    <m/>
    <m/>
    <m/>
    <m/>
    <m/>
    <m/>
    <m/>
    <m/>
    <m/>
    <m/>
    <m/>
    <m/>
    <m/>
    <m/>
    <m/>
    <m/>
    <m/>
    <m/>
    <m/>
    <m/>
    <m/>
    <m/>
    <m/>
    <m/>
    <m/>
    <m/>
    <m/>
    <m/>
    <m/>
    <m/>
    <m/>
    <m/>
    <m/>
    <m/>
    <m/>
    <m/>
    <m/>
    <m/>
    <m/>
    <m/>
    <m/>
    <m/>
    <m/>
    <m/>
    <m/>
    <m/>
    <m/>
    <m/>
    <m/>
    <m/>
    <m/>
    <m/>
    <m/>
    <m/>
    <m/>
    <m/>
    <m/>
    <m/>
    <m/>
    <m/>
    <m/>
    <m/>
    <m/>
    <m/>
    <m/>
    <m/>
    <m/>
    <m/>
    <m/>
    <m/>
    <m/>
    <m/>
    <m/>
    <m/>
    <m/>
    <m/>
    <m/>
    <m/>
    <m/>
    <m/>
    <m/>
    <m/>
    <m/>
    <m/>
    <m/>
    <m/>
    <m/>
    <m/>
    <m/>
    <m/>
    <m/>
    <m/>
    <m/>
    <m/>
    <m/>
    <m/>
    <m/>
    <m/>
    <s v="Trade In &gt; Timeliness of Payment &gt;"/>
    <s v="Trade In &gt; Overall Process &gt;, Trade In &gt; Timeliness of Payment &gt;"/>
    <m/>
    <m/>
    <s v="Trade In &gt; Timeliness of Payment &gt; (Positive)"/>
    <s v="Trade In &gt; Overall Process &gt; (Positive), Trade In &gt; Timeliness of Payment &gt; (Positive)"/>
    <s v="Yes"/>
    <s v="No"/>
    <m/>
    <x v="5"/>
    <x v="12"/>
    <x v="0"/>
    <m/>
    <x v="0"/>
    <x v="0"/>
  </r>
  <r>
    <s v="Christopher Harper - Used Trade-In Product"/>
    <n v="10"/>
    <n v="5"/>
    <d v="2026-02-03T10:01:08"/>
    <n v="5177477"/>
    <s v="Used Trade-In Product"/>
    <m/>
    <s v="Christopher Harper"/>
    <m/>
    <s v="charper2076@icloud.com"/>
    <m/>
    <s v="Clarksville;Tennessee;37043"/>
    <m/>
    <m/>
    <s v="No"/>
    <m/>
    <m/>
    <s v="charper2076@icloud.com"/>
    <m/>
    <m/>
    <m/>
    <m/>
    <m/>
    <m/>
    <m/>
    <m/>
    <m/>
    <d v="2026-02-03T16:02:33"/>
    <d v="2026-02-03T12:53:59"/>
    <m/>
    <s v="1137793"/>
    <m/>
    <m/>
    <m/>
    <m/>
    <m/>
    <m/>
    <m/>
    <m/>
    <m/>
    <m/>
    <m/>
    <m/>
    <m/>
    <m/>
    <m/>
    <m/>
    <m/>
    <m/>
    <m/>
    <m/>
    <m/>
    <m/>
    <s v="https://bnh.lightning.force.com/001WP00000qYOKPYA4"/>
    <m/>
    <m/>
    <m/>
    <m/>
    <m/>
    <m/>
    <m/>
    <m/>
    <m/>
    <m/>
    <m/>
    <m/>
    <m/>
    <m/>
    <m/>
    <m/>
    <m/>
    <m/>
    <m/>
    <m/>
    <m/>
    <m/>
    <m/>
    <m/>
    <m/>
    <m/>
    <m/>
    <m/>
    <m/>
    <m/>
    <m/>
    <m/>
    <m/>
    <m/>
    <m/>
    <m/>
    <m/>
    <m/>
    <s v="CAD"/>
    <m/>
    <s v="No"/>
    <s v="Nick Badame"/>
    <s v="Nick Badame"/>
    <d v="2026-02-03T10:08:43"/>
    <s v="Promoter"/>
    <s v="Closed"/>
    <m/>
    <m/>
    <s v="Yes"/>
    <m/>
    <m/>
    <m/>
    <m/>
    <m/>
    <m/>
    <m/>
    <m/>
    <m/>
    <m/>
    <m/>
    <m/>
    <m/>
    <m/>
    <m/>
    <m/>
    <s v="Reliable, trustworthy."/>
    <m/>
    <m/>
    <m/>
    <m/>
    <m/>
    <m/>
    <m/>
    <m/>
    <m/>
    <m/>
    <m/>
    <m/>
    <m/>
    <m/>
    <m/>
    <m/>
    <m/>
    <m/>
    <m/>
    <m/>
    <m/>
    <m/>
    <m/>
    <m/>
    <m/>
    <m/>
    <m/>
    <m/>
    <m/>
    <m/>
    <m/>
    <m/>
    <m/>
    <m/>
    <m/>
    <m/>
    <m/>
    <m/>
    <m/>
    <m/>
    <m/>
    <m/>
    <m/>
    <m/>
    <m/>
    <m/>
    <m/>
    <m/>
    <m/>
    <m/>
    <m/>
    <m/>
    <m/>
    <m/>
    <m/>
    <m/>
    <m/>
    <m/>
    <m/>
    <m/>
    <m/>
    <m/>
    <m/>
    <m/>
    <m/>
    <m/>
    <m/>
    <m/>
    <m/>
    <m/>
    <m/>
    <m/>
    <m/>
    <m/>
    <m/>
    <m/>
    <m/>
    <m/>
    <m/>
    <m/>
    <m/>
    <m/>
    <m/>
    <m/>
    <m/>
    <m/>
    <m/>
    <s v="Reliable, trustworth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s v="B&amp;H &gt; Reliable / Trustworthy &gt;"/>
    <m/>
    <m/>
    <s v="B&amp;H &gt; Reliable / Trustworthy &gt; (Positive)"/>
    <s v="B&amp;H &gt; Reliable / Trustworthy &gt; (Positive)"/>
    <s v="No"/>
    <s v="No"/>
    <m/>
    <x v="34"/>
    <x v="0"/>
    <x v="0"/>
    <m/>
    <x v="0"/>
    <x v="0"/>
  </r>
  <r>
    <s v="Steven Hirohama - Used Trade-In Product"/>
    <n v="10"/>
    <n v="5"/>
    <d v="2026-02-02T20:03:27"/>
    <n v="5176658"/>
    <s v="Used Trade-In Product"/>
    <m/>
    <s v="Steven Hirohama"/>
    <m/>
    <s v="stevenhirohama@mac.com"/>
    <m/>
    <s v="Culver City;California;90230"/>
    <s v="Culver City;California;90230"/>
    <s v="16 years 3 months"/>
    <s v="No"/>
    <m/>
    <m/>
    <s v="stevenhirohama@mac.com"/>
    <s v="195"/>
    <m/>
    <m/>
    <m/>
    <m/>
    <m/>
    <m/>
    <m/>
    <m/>
    <d v="2026-02-03T09:23:37"/>
    <d v="2026-02-02T22:19:05"/>
    <m/>
    <s v="1136452"/>
    <m/>
    <m/>
    <m/>
    <m/>
    <m/>
    <m/>
    <m/>
    <m/>
    <m/>
    <m/>
    <m/>
    <m/>
    <m/>
    <m/>
    <m/>
    <m/>
    <m/>
    <m/>
    <m/>
    <m/>
    <m/>
    <m/>
    <s v="https://bnh.lightning.force.com/0012L00001EeyhnQAB"/>
    <m/>
    <m/>
    <m/>
    <m/>
    <m/>
    <m/>
    <m/>
    <m/>
    <m/>
    <m/>
    <m/>
    <m/>
    <m/>
    <m/>
    <m/>
    <m/>
    <m/>
    <m/>
    <m/>
    <m/>
    <m/>
    <m/>
    <m/>
    <m/>
    <m/>
    <m/>
    <m/>
    <m/>
    <m/>
    <m/>
    <m/>
    <m/>
    <m/>
    <m/>
    <m/>
    <m/>
    <m/>
    <m/>
    <s v="CAD"/>
    <m/>
    <s v="No"/>
    <s v="Nick Badame"/>
    <s v="Nick Badame"/>
    <d v="2026-02-02T20:02:10"/>
    <s v="Promoter"/>
    <s v="Closed"/>
    <m/>
    <m/>
    <s v="Yes"/>
    <m/>
    <m/>
    <m/>
    <m/>
    <m/>
    <m/>
    <m/>
    <m/>
    <m/>
    <m/>
    <m/>
    <m/>
    <m/>
    <m/>
    <m/>
    <m/>
    <s v="Morris worked late on Monday to take care of my order. _x000a_I only would use B&amp;H again to trade-in - whereas some of my friends use KEH."/>
    <m/>
    <m/>
    <m/>
    <m/>
    <s v="None"/>
    <m/>
    <m/>
    <m/>
    <m/>
    <m/>
    <m/>
    <m/>
    <m/>
    <m/>
    <m/>
    <m/>
    <m/>
    <m/>
    <m/>
    <m/>
    <m/>
    <m/>
    <m/>
    <m/>
    <m/>
    <m/>
    <m/>
    <m/>
    <m/>
    <m/>
    <m/>
    <m/>
    <m/>
    <m/>
    <m/>
    <m/>
    <m/>
    <m/>
    <m/>
    <m/>
    <m/>
    <m/>
    <m/>
    <m/>
    <m/>
    <m/>
    <m/>
    <m/>
    <m/>
    <m/>
    <m/>
    <m/>
    <m/>
    <m/>
    <m/>
    <m/>
    <m/>
    <m/>
    <m/>
    <m/>
    <m/>
    <m/>
    <m/>
    <m/>
    <m/>
    <m/>
    <m/>
    <m/>
    <m/>
    <m/>
    <m/>
    <m/>
    <m/>
    <m/>
    <m/>
    <m/>
    <m/>
    <m/>
    <m/>
    <m/>
    <m/>
    <m/>
    <m/>
    <m/>
    <m/>
    <m/>
    <m/>
    <s v="Morris worked late on Monday to take care of my order. _x000a_I only would use B&amp;H again to trade-in - whereas some of my friends use KEH."/>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s v="N/A"/>
    <m/>
    <m/>
    <m/>
    <m/>
    <m/>
    <m/>
    <m/>
    <m/>
    <m/>
    <m/>
    <m/>
    <m/>
    <m/>
    <m/>
    <m/>
    <m/>
    <m/>
    <m/>
    <m/>
    <m/>
    <m/>
    <m/>
    <m/>
    <m/>
    <m/>
    <m/>
    <m/>
    <m/>
    <m/>
    <m/>
    <m/>
    <m/>
    <m/>
    <m/>
    <m/>
    <m/>
    <m/>
    <m/>
    <m/>
    <m/>
    <m/>
    <m/>
    <m/>
    <m/>
    <m/>
    <m/>
    <m/>
    <m/>
    <m/>
    <m/>
    <m/>
    <m/>
    <m/>
    <m/>
    <m/>
    <m/>
    <m/>
    <m/>
    <m/>
    <m/>
    <m/>
    <m/>
    <m/>
    <m/>
    <m/>
    <m/>
    <m/>
    <m/>
    <m/>
    <m/>
    <m/>
    <m/>
    <m/>
    <m/>
    <m/>
    <m/>
    <m/>
    <m/>
    <m/>
    <m/>
    <m/>
    <m/>
    <m/>
    <m/>
    <m/>
    <m/>
    <m/>
    <m/>
    <m/>
    <m/>
    <m/>
    <m/>
    <m/>
    <m/>
    <m/>
    <m/>
    <m/>
    <m/>
    <m/>
    <m/>
    <m/>
    <s v="Used &gt; Description &gt;"/>
    <s v="B&amp;H &gt; Competitor Mentions &gt;, B&amp;H &gt; Loyalty &gt;, People &gt; Helpful / Efficient &gt;, Trade In &gt; Overall Process &gt;"/>
    <m/>
    <s v="POSITIVE"/>
    <s v="Used &gt; Description &gt; (No opinion), Used &gt; Description &gt; (Positive)"/>
    <s v="B&amp;H &gt; Competitor Mentions &gt; (Negative), B&amp;H &gt; Loyalty &gt; (Positive), People &gt; Helpful / Efficient &gt; (Positive), Trade In &gt; Overall Process &gt; (Positive)"/>
    <s v="Yes"/>
    <s v="Yes"/>
    <m/>
    <x v="7"/>
    <x v="0"/>
    <x v="0"/>
    <m/>
    <x v="0"/>
    <x v="0"/>
  </r>
  <r>
    <s v="Gerald Jenkins - Used Trade-In Product"/>
    <n v="10"/>
    <n v="5"/>
    <d v="2026-02-02T19:02:05"/>
    <n v="5176484"/>
    <s v="Used Trade-In Product"/>
    <m/>
    <s v="Gerald Jenkins"/>
    <m/>
    <s v="artfun12@gmail.com"/>
    <m/>
    <s v="Margate;Florida;33063"/>
    <s v="Margate;Florida;33063"/>
    <s v="9 years 8 months"/>
    <s v="No"/>
    <m/>
    <m/>
    <s v="artfun12@gmail.com"/>
    <s v="116"/>
    <m/>
    <m/>
    <m/>
    <m/>
    <m/>
    <m/>
    <m/>
    <m/>
    <d v="2026-02-03T09:46:17"/>
    <d v="2026-02-02T18:19:47"/>
    <m/>
    <s v="1137826"/>
    <m/>
    <m/>
    <m/>
    <m/>
    <m/>
    <m/>
    <m/>
    <m/>
    <m/>
    <m/>
    <m/>
    <m/>
    <m/>
    <m/>
    <m/>
    <m/>
    <m/>
    <m/>
    <m/>
    <m/>
    <m/>
    <m/>
    <s v="https://bnh.lightning.force.com/0012L00001AyBAXQA3"/>
    <m/>
    <m/>
    <m/>
    <m/>
    <m/>
    <m/>
    <m/>
    <m/>
    <m/>
    <m/>
    <m/>
    <m/>
    <m/>
    <m/>
    <m/>
    <m/>
    <m/>
    <m/>
    <m/>
    <m/>
    <m/>
    <m/>
    <m/>
    <m/>
    <m/>
    <m/>
    <m/>
    <m/>
    <m/>
    <m/>
    <m/>
    <m/>
    <m/>
    <m/>
    <m/>
    <m/>
    <m/>
    <m/>
    <s v="CAD"/>
    <m/>
    <s v="No"/>
    <s v="Efrat Malachi"/>
    <s v="Efrat Malachi"/>
    <d v="2026-02-02T18:52:48"/>
    <s v="Promoter"/>
    <s v="Closed"/>
    <m/>
    <m/>
    <s v="Yes"/>
    <m/>
    <m/>
    <m/>
    <m/>
    <m/>
    <m/>
    <m/>
    <m/>
    <m/>
    <m/>
    <m/>
    <m/>
    <m/>
    <m/>
    <m/>
    <m/>
    <s v="I've been with b&amp;h for as long as I can remember.  &quot;Quite a professional  business&quot;.  Ritz camera etc have all closed but B&amp;H will always stand strong. Now excuse me while I purchase some equipment."/>
    <m/>
    <m/>
    <m/>
    <m/>
    <s v="Too far from Margate, Florida."/>
    <m/>
    <m/>
    <m/>
    <m/>
    <m/>
    <m/>
    <m/>
    <m/>
    <m/>
    <m/>
    <m/>
    <m/>
    <m/>
    <m/>
    <m/>
    <m/>
    <m/>
    <m/>
    <m/>
    <m/>
    <m/>
    <m/>
    <m/>
    <m/>
    <m/>
    <m/>
    <m/>
    <m/>
    <m/>
    <m/>
    <m/>
    <m/>
    <m/>
    <m/>
    <m/>
    <m/>
    <m/>
    <m/>
    <m/>
    <m/>
    <m/>
    <m/>
    <m/>
    <m/>
    <m/>
    <m/>
    <m/>
    <m/>
    <m/>
    <m/>
    <m/>
    <m/>
    <m/>
    <m/>
    <m/>
    <m/>
    <m/>
    <m/>
    <m/>
    <m/>
    <m/>
    <m/>
    <m/>
    <m/>
    <m/>
    <m/>
    <m/>
    <m/>
    <m/>
    <m/>
    <m/>
    <m/>
    <m/>
    <m/>
    <m/>
    <m/>
    <m/>
    <m/>
    <m/>
    <m/>
    <m/>
    <m/>
    <s v="I've been with b&amp;h for as long as I can remember.  &quot;Quite a professional  business&quot;.  Ritz camera etc have all closed but B&amp;H will always stand strong. Now excuse me while I purchase some equipment."/>
    <s v="Too far from Margate, Florid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Geographical Location &gt;, B&amp;H &gt; Loyalty &gt;, B&amp;H &gt; Reliable / Trustworthy &gt;"/>
    <m/>
    <m/>
    <m/>
    <s v="B&amp;H &gt; Geographical Location &gt; (Negative), B&amp;H &gt; Loyalty &gt; (Positive), B&amp;H &gt; Reliable / Trustworthy &gt; (Positive)"/>
    <s v="Yes"/>
    <s v="Yes"/>
    <m/>
    <x v="34"/>
    <x v="0"/>
    <x v="0"/>
    <m/>
    <x v="0"/>
    <x v="0"/>
  </r>
  <r>
    <s v="Sheree Turner - Used Trade-In Product"/>
    <n v="10"/>
    <n v="5"/>
    <d v="2026-02-02T15:32:48"/>
    <n v="5176113"/>
    <s v="Used Trade-In Product"/>
    <m/>
    <s v="Sheree Turner"/>
    <m/>
    <s v="zach.ashcraft@cityofdenton.com"/>
    <m/>
    <s v="Denton;Texas;76201"/>
    <m/>
    <m/>
    <s v="No"/>
    <m/>
    <m/>
    <s v="zach.ashcraft@cityofdenton.com"/>
    <m/>
    <m/>
    <m/>
    <m/>
    <m/>
    <m/>
    <m/>
    <m/>
    <m/>
    <d v="2026-02-03T11:07:59"/>
    <d v="2026-02-02T18:19:55"/>
    <m/>
    <s v="1134264"/>
    <m/>
    <m/>
    <m/>
    <m/>
    <m/>
    <m/>
    <m/>
    <m/>
    <m/>
    <m/>
    <m/>
    <m/>
    <m/>
    <m/>
    <m/>
    <m/>
    <m/>
    <m/>
    <m/>
    <m/>
    <m/>
    <m/>
    <s v="https://bnh.lightning.force.com/0011a00000FPf9TAAT"/>
    <m/>
    <m/>
    <m/>
    <m/>
    <m/>
    <m/>
    <m/>
    <m/>
    <m/>
    <m/>
    <m/>
    <m/>
    <m/>
    <m/>
    <m/>
    <m/>
    <m/>
    <m/>
    <m/>
    <m/>
    <m/>
    <m/>
    <m/>
    <m/>
    <m/>
    <m/>
    <m/>
    <m/>
    <m/>
    <m/>
    <m/>
    <m/>
    <m/>
    <m/>
    <m/>
    <m/>
    <m/>
    <m/>
    <s v="CAD"/>
    <m/>
    <s v="No"/>
    <s v="Efrat Malachi"/>
    <s v="Efrat Malachi"/>
    <d v="2026-02-02T15:33:07"/>
    <s v="Promoter"/>
    <s v="Closed"/>
    <m/>
    <m/>
    <s v="Yes"/>
    <m/>
    <m/>
    <m/>
    <m/>
    <m/>
    <m/>
    <m/>
    <m/>
    <m/>
    <m/>
    <m/>
    <m/>
    <m/>
    <m/>
    <m/>
    <m/>
    <s v="The web app is very streamlined."/>
    <m/>
    <m/>
    <m/>
    <m/>
    <m/>
    <m/>
    <m/>
    <m/>
    <m/>
    <m/>
    <m/>
    <m/>
    <m/>
    <m/>
    <m/>
    <m/>
    <m/>
    <m/>
    <m/>
    <m/>
    <m/>
    <m/>
    <m/>
    <m/>
    <m/>
    <m/>
    <m/>
    <m/>
    <m/>
    <m/>
    <m/>
    <m/>
    <m/>
    <m/>
    <m/>
    <m/>
    <m/>
    <m/>
    <m/>
    <m/>
    <m/>
    <m/>
    <m/>
    <m/>
    <m/>
    <m/>
    <m/>
    <m/>
    <m/>
    <m/>
    <m/>
    <m/>
    <m/>
    <m/>
    <m/>
    <m/>
    <m/>
    <m/>
    <m/>
    <m/>
    <m/>
    <m/>
    <m/>
    <m/>
    <m/>
    <m/>
    <m/>
    <m/>
    <m/>
    <m/>
    <m/>
    <m/>
    <m/>
    <m/>
    <m/>
    <m/>
    <m/>
    <m/>
    <m/>
    <m/>
    <m/>
    <m/>
    <m/>
    <m/>
    <m/>
    <m/>
    <m/>
    <s v="The web app is very streamlin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4"/>
    <m/>
    <m/>
    <m/>
    <m/>
    <m/>
    <m/>
    <n v="5"/>
    <n v="5"/>
    <n v="5"/>
    <n v="5"/>
    <m/>
    <m/>
    <m/>
    <m/>
    <m/>
    <m/>
    <m/>
    <m/>
    <m/>
    <m/>
    <m/>
    <m/>
    <m/>
    <m/>
    <m/>
    <m/>
    <m/>
    <m/>
    <m/>
    <m/>
    <m/>
    <m/>
    <m/>
    <m/>
    <m/>
    <m/>
    <m/>
    <m/>
    <m/>
    <m/>
    <m/>
    <m/>
    <m/>
    <m/>
    <m/>
    <m/>
    <m/>
    <m/>
    <m/>
    <m/>
    <m/>
    <m/>
    <m/>
    <m/>
    <m/>
    <m/>
    <m/>
    <m/>
    <m/>
    <m/>
    <m/>
    <m/>
    <m/>
    <m/>
    <m/>
    <m/>
    <m/>
    <m/>
    <m/>
    <m/>
    <m/>
    <m/>
    <m/>
    <m/>
    <m/>
    <m/>
    <m/>
    <m/>
    <m/>
    <m/>
    <m/>
    <m/>
    <m/>
    <m/>
    <m/>
    <m/>
    <m/>
    <m/>
    <m/>
    <m/>
    <m/>
    <m/>
    <m/>
    <m/>
    <m/>
    <m/>
    <m/>
    <m/>
    <m/>
    <m/>
    <m/>
    <m/>
    <m/>
    <m/>
    <m/>
    <m/>
    <m/>
    <m/>
    <m/>
    <m/>
    <m/>
    <m/>
    <s v="Mobile | App &gt; Overall Satisfaction &gt;"/>
    <m/>
    <m/>
    <m/>
    <s v="Mobile | App &gt; Overall Satisfaction &gt; (Positive)"/>
    <s v="Yes"/>
    <s v="No"/>
    <m/>
    <x v="5"/>
    <x v="0"/>
    <x v="0"/>
    <m/>
    <x v="0"/>
    <x v="0"/>
  </r>
  <r>
    <s v="John Papenberg - Used Trade-In Product"/>
    <n v="10"/>
    <n v="5"/>
    <d v="2026-02-02T14:22:11"/>
    <n v="5175942"/>
    <s v="Used Trade-In Product"/>
    <m/>
    <s v="John Papenberg"/>
    <m/>
    <s v="jpap1059@gmail.com"/>
    <m/>
    <s v="Ballwin;Missouri;63021"/>
    <s v="Ballwin;Missouri;63021"/>
    <s v="6 years 3 months"/>
    <s v="No"/>
    <m/>
    <m/>
    <s v="jpap1059@gmail.com"/>
    <s v="75"/>
    <m/>
    <m/>
    <m/>
    <m/>
    <m/>
    <m/>
    <m/>
    <m/>
    <d v="2026-02-03T08:54:17"/>
    <d v="2026-02-02T17:17:24"/>
    <m/>
    <s v="1139176"/>
    <m/>
    <m/>
    <m/>
    <m/>
    <m/>
    <m/>
    <m/>
    <m/>
    <m/>
    <m/>
    <m/>
    <m/>
    <m/>
    <m/>
    <m/>
    <m/>
    <m/>
    <m/>
    <m/>
    <m/>
    <m/>
    <m/>
    <s v="https://bnh.lightning.force.com/0012L000012K2K0QAK"/>
    <m/>
    <m/>
    <m/>
    <m/>
    <m/>
    <m/>
    <m/>
    <m/>
    <m/>
    <m/>
    <m/>
    <m/>
    <m/>
    <m/>
    <m/>
    <m/>
    <m/>
    <m/>
    <m/>
    <m/>
    <m/>
    <m/>
    <m/>
    <m/>
    <m/>
    <m/>
    <m/>
    <m/>
    <m/>
    <m/>
    <m/>
    <m/>
    <m/>
    <m/>
    <m/>
    <m/>
    <m/>
    <m/>
    <s v="CAD"/>
    <m/>
    <s v="No"/>
    <s v="Emily Schreier"/>
    <s v="Emily Schreier"/>
    <d v="2026-02-02T14:22:36"/>
    <s v="Promoter"/>
    <s v="Closed"/>
    <m/>
    <m/>
    <s v="Yes"/>
    <m/>
    <m/>
    <m/>
    <m/>
    <m/>
    <m/>
    <m/>
    <m/>
    <m/>
    <m/>
    <m/>
    <m/>
    <m/>
    <m/>
    <m/>
    <m/>
    <s v="I always feel like the prices are totally fair and I never have you all tell me that it’s not worth what I think it’s worth."/>
    <m/>
    <m/>
    <m/>
    <m/>
    <s v="Nothing at all really on this one"/>
    <m/>
    <m/>
    <m/>
    <m/>
    <m/>
    <m/>
    <m/>
    <m/>
    <m/>
    <m/>
    <m/>
    <m/>
    <m/>
    <m/>
    <m/>
    <m/>
    <m/>
    <m/>
    <m/>
    <m/>
    <m/>
    <m/>
    <m/>
    <m/>
    <m/>
    <m/>
    <m/>
    <m/>
    <m/>
    <m/>
    <m/>
    <m/>
    <m/>
    <m/>
    <m/>
    <m/>
    <m/>
    <m/>
    <m/>
    <m/>
    <m/>
    <m/>
    <m/>
    <m/>
    <m/>
    <m/>
    <m/>
    <m/>
    <m/>
    <m/>
    <m/>
    <m/>
    <m/>
    <m/>
    <m/>
    <m/>
    <m/>
    <m/>
    <m/>
    <m/>
    <m/>
    <m/>
    <m/>
    <m/>
    <m/>
    <m/>
    <m/>
    <m/>
    <m/>
    <m/>
    <m/>
    <m/>
    <m/>
    <m/>
    <m/>
    <m/>
    <m/>
    <m/>
    <m/>
    <m/>
    <m/>
    <m/>
    <s v="I always feel like the prices are totally fair and I never have you all tell me that it’s not worth what I think it’s worth."/>
    <s v="Nothing at all really on this 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m/>
    <m/>
    <s v="Pricing &gt; Value for Money &gt; (Positive), Trade In &gt; Quote Price &gt; (Positive), Used &gt; Pricing &gt; (Positive)"/>
    <s v="Trade In &gt; Overall Process &gt; (Positive), Trade In &gt; Quote Price &gt; (Positive)"/>
    <s v="Yes"/>
    <s v="Yes"/>
    <m/>
    <x v="28"/>
    <x v="0"/>
    <x v="0"/>
    <m/>
    <x v="0"/>
    <x v="0"/>
  </r>
  <r>
    <s v="Vijay Damaraju - Used Trade-In Product"/>
    <n v="10"/>
    <n v="5"/>
    <d v="2026-01-31T23:01:16"/>
    <n v="5172881"/>
    <s v="Used Trade-In Product"/>
    <m/>
    <s v="Vijay Damaraju"/>
    <m/>
    <s v="vijay.d@gmail.com"/>
    <m/>
    <s v="Holly Springs;North Carolina;27540"/>
    <m/>
    <s v="10 years 4 months"/>
    <s v="No"/>
    <m/>
    <m/>
    <s v="vijay.d@gmail.com"/>
    <s v="124"/>
    <m/>
    <m/>
    <m/>
    <m/>
    <m/>
    <m/>
    <m/>
    <m/>
    <d v="2026-02-02T10:51:57"/>
    <d v="2026-01-28T13:01:16"/>
    <m/>
    <s v="1134277"/>
    <m/>
    <m/>
    <m/>
    <m/>
    <m/>
    <m/>
    <m/>
    <m/>
    <m/>
    <m/>
    <m/>
    <m/>
    <m/>
    <m/>
    <m/>
    <m/>
    <m/>
    <m/>
    <m/>
    <m/>
    <m/>
    <m/>
    <s v="https://bnh.lightning.force.com/001WP00000ohUsXYAU"/>
    <m/>
    <m/>
    <m/>
    <m/>
    <m/>
    <m/>
    <m/>
    <m/>
    <m/>
    <m/>
    <m/>
    <m/>
    <m/>
    <m/>
    <m/>
    <m/>
    <m/>
    <m/>
    <m/>
    <m/>
    <m/>
    <m/>
    <m/>
    <m/>
    <m/>
    <m/>
    <m/>
    <m/>
    <m/>
    <m/>
    <m/>
    <m/>
    <m/>
    <m/>
    <m/>
    <m/>
    <m/>
    <m/>
    <s v="CAD"/>
    <m/>
    <s v="No"/>
    <s v="Aine Hoye"/>
    <s v="Aine Hoye"/>
    <d v="2026-01-31T23:00:07"/>
    <s v="Promoter"/>
    <s v="Closed"/>
    <m/>
    <m/>
    <s v="Yes"/>
    <m/>
    <m/>
    <m/>
    <m/>
    <m/>
    <m/>
    <m/>
    <m/>
    <m/>
    <m/>
    <m/>
    <m/>
    <m/>
    <m/>
    <m/>
    <m/>
    <s v="Very easy to select/ include all accessories to get a proper quote"/>
    <m/>
    <m/>
    <m/>
    <m/>
    <s v="Nothing"/>
    <m/>
    <m/>
    <m/>
    <m/>
    <m/>
    <m/>
    <m/>
    <m/>
    <m/>
    <m/>
    <m/>
    <m/>
    <m/>
    <m/>
    <m/>
    <m/>
    <m/>
    <m/>
    <m/>
    <m/>
    <m/>
    <m/>
    <m/>
    <m/>
    <m/>
    <m/>
    <m/>
    <m/>
    <m/>
    <m/>
    <m/>
    <m/>
    <m/>
    <m/>
    <m/>
    <m/>
    <m/>
    <m/>
    <m/>
    <m/>
    <m/>
    <m/>
    <m/>
    <m/>
    <m/>
    <m/>
    <m/>
    <m/>
    <m/>
    <m/>
    <m/>
    <m/>
    <m/>
    <m/>
    <m/>
    <m/>
    <m/>
    <m/>
    <m/>
    <m/>
    <m/>
    <m/>
    <m/>
    <m/>
    <m/>
    <m/>
    <m/>
    <m/>
    <m/>
    <m/>
    <m/>
    <m/>
    <m/>
    <m/>
    <m/>
    <m/>
    <m/>
    <m/>
    <m/>
    <m/>
    <m/>
    <m/>
    <s v="Very easy to select/ include all accessories to get a proper quot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Rich Cotte - Used Trade-In Product"/>
    <n v="10"/>
    <n v="5"/>
    <d v="2026-01-31T21:52:17"/>
    <n v="5172839"/>
    <s v="Used Trade-In Product"/>
    <m/>
    <s v="Rich Cotte"/>
    <m/>
    <s v="richc@firsthuntfoundation.org"/>
    <m/>
    <s v="Plains;Montana;59859"/>
    <s v="Plains;Montana;59859"/>
    <s v="17 years 2 months"/>
    <s v="No"/>
    <m/>
    <m/>
    <s v="richc@firsthuntfoundation.org"/>
    <s v="206"/>
    <m/>
    <m/>
    <m/>
    <m/>
    <m/>
    <m/>
    <m/>
    <m/>
    <d v="2026-02-02T10:51:31"/>
    <d v="2026-01-30T12:48:24"/>
    <m/>
    <s v="1132592"/>
    <m/>
    <m/>
    <m/>
    <m/>
    <m/>
    <m/>
    <m/>
    <m/>
    <m/>
    <m/>
    <m/>
    <m/>
    <m/>
    <m/>
    <m/>
    <m/>
    <m/>
    <m/>
    <m/>
    <m/>
    <m/>
    <m/>
    <s v="https://bnh.lightning.force.com/0018X00003Gp2GYQAZ"/>
    <m/>
    <m/>
    <m/>
    <m/>
    <m/>
    <m/>
    <m/>
    <m/>
    <m/>
    <m/>
    <m/>
    <m/>
    <m/>
    <m/>
    <m/>
    <m/>
    <m/>
    <m/>
    <m/>
    <m/>
    <m/>
    <m/>
    <m/>
    <m/>
    <m/>
    <m/>
    <m/>
    <m/>
    <m/>
    <m/>
    <m/>
    <m/>
    <m/>
    <m/>
    <m/>
    <m/>
    <m/>
    <m/>
    <s v="CAD"/>
    <m/>
    <s v="No"/>
    <s v="Aine Hoye"/>
    <s v="Aine Hoye"/>
    <d v="2026-01-31T21:51:58"/>
    <s v="Promoter"/>
    <s v="Closed"/>
    <m/>
    <m/>
    <s v="Yes"/>
    <m/>
    <m/>
    <m/>
    <m/>
    <m/>
    <m/>
    <m/>
    <m/>
    <m/>
    <m/>
    <m/>
    <m/>
    <m/>
    <m/>
    <m/>
    <m/>
    <s v="The ease of the overall process and timeliness of payment."/>
    <m/>
    <m/>
    <m/>
    <m/>
    <s v="Nothing at all!"/>
    <m/>
    <m/>
    <m/>
    <m/>
    <m/>
    <m/>
    <m/>
    <m/>
    <m/>
    <m/>
    <m/>
    <m/>
    <m/>
    <m/>
    <m/>
    <m/>
    <m/>
    <m/>
    <m/>
    <m/>
    <m/>
    <m/>
    <m/>
    <m/>
    <m/>
    <m/>
    <m/>
    <m/>
    <m/>
    <m/>
    <m/>
    <m/>
    <m/>
    <m/>
    <m/>
    <m/>
    <m/>
    <m/>
    <m/>
    <m/>
    <m/>
    <m/>
    <m/>
    <m/>
    <m/>
    <m/>
    <m/>
    <m/>
    <m/>
    <m/>
    <m/>
    <m/>
    <m/>
    <m/>
    <m/>
    <m/>
    <m/>
    <m/>
    <m/>
    <m/>
    <m/>
    <m/>
    <m/>
    <m/>
    <m/>
    <m/>
    <m/>
    <m/>
    <m/>
    <m/>
    <m/>
    <m/>
    <m/>
    <m/>
    <m/>
    <m/>
    <m/>
    <m/>
    <m/>
    <m/>
    <m/>
    <m/>
    <s v="The ease of the overall process and timeliness of payment."/>
    <s v="Nothing at a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No opinion)"/>
    <s v="Trade In &gt; Overall Process &gt; (Positive), Trade In &gt; Timeliness of Payment &gt; (Positive)"/>
    <s v="Yes"/>
    <s v="Yes"/>
    <m/>
    <x v="5"/>
    <x v="12"/>
    <x v="0"/>
    <m/>
    <x v="0"/>
    <x v="0"/>
  </r>
  <r>
    <s v="Kent Thompson - Used Trade-In Product"/>
    <n v="10"/>
    <n v="5"/>
    <d v="2026-01-31T18:15:34"/>
    <n v="5172738"/>
    <s v="Used Trade-In Product"/>
    <m/>
    <s v="Kent Thompson"/>
    <m/>
    <s v="s_man38@hotmail.com"/>
    <m/>
    <s v="New York;New York;10011"/>
    <m/>
    <m/>
    <s v="No"/>
    <m/>
    <m/>
    <s v="s_man38@hotmail.com"/>
    <m/>
    <m/>
    <m/>
    <m/>
    <m/>
    <m/>
    <m/>
    <m/>
    <m/>
    <d v="2026-02-02T10:47:28"/>
    <d v="2026-01-30T12:46:25"/>
    <m/>
    <s v="1139569"/>
    <m/>
    <m/>
    <m/>
    <m/>
    <m/>
    <m/>
    <m/>
    <m/>
    <m/>
    <m/>
    <m/>
    <m/>
    <m/>
    <m/>
    <m/>
    <m/>
    <m/>
    <m/>
    <m/>
    <m/>
    <m/>
    <m/>
    <m/>
    <m/>
    <m/>
    <m/>
    <m/>
    <m/>
    <m/>
    <m/>
    <m/>
    <m/>
    <m/>
    <m/>
    <m/>
    <m/>
    <m/>
    <m/>
    <m/>
    <m/>
    <m/>
    <m/>
    <m/>
    <m/>
    <m/>
    <m/>
    <m/>
    <m/>
    <m/>
    <m/>
    <m/>
    <m/>
    <m/>
    <m/>
    <m/>
    <m/>
    <m/>
    <m/>
    <m/>
    <m/>
    <m/>
    <s v="CAD"/>
    <m/>
    <s v="No"/>
    <s v="Aine Hoye"/>
    <s v="Aine Hoye"/>
    <d v="2026-01-31T18:15:27"/>
    <s v="Promoter"/>
    <s v="Closed"/>
    <m/>
    <m/>
    <s v="Yes"/>
    <m/>
    <m/>
    <m/>
    <m/>
    <m/>
    <m/>
    <m/>
    <m/>
    <m/>
    <m/>
    <m/>
    <m/>
    <m/>
    <m/>
    <m/>
    <m/>
    <s v="Very professional service."/>
    <m/>
    <m/>
    <m/>
    <m/>
    <m/>
    <m/>
    <m/>
    <m/>
    <m/>
    <m/>
    <m/>
    <m/>
    <m/>
    <m/>
    <m/>
    <m/>
    <m/>
    <m/>
    <m/>
    <m/>
    <m/>
    <m/>
    <m/>
    <m/>
    <m/>
    <m/>
    <m/>
    <m/>
    <m/>
    <m/>
    <m/>
    <m/>
    <m/>
    <m/>
    <m/>
    <m/>
    <m/>
    <m/>
    <m/>
    <m/>
    <m/>
    <m/>
    <m/>
    <m/>
    <m/>
    <m/>
    <m/>
    <m/>
    <m/>
    <m/>
    <m/>
    <m/>
    <m/>
    <m/>
    <m/>
    <m/>
    <m/>
    <m/>
    <m/>
    <m/>
    <m/>
    <m/>
    <m/>
    <m/>
    <m/>
    <m/>
    <m/>
    <m/>
    <m/>
    <m/>
    <m/>
    <m/>
    <m/>
    <m/>
    <m/>
    <m/>
    <m/>
    <m/>
    <m/>
    <m/>
    <m/>
    <m/>
    <m/>
    <m/>
    <m/>
    <m/>
    <m/>
    <s v="Very professional serv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s v="B&amp;H &gt; Reliable / Trustworthy &gt;"/>
    <m/>
    <m/>
    <s v="B&amp;H &gt; Reliable / Trustworthy &gt; (Positive)"/>
    <s v="B&amp;H &gt; Reliable / Trustworthy &gt; (Positive)"/>
    <s v="No"/>
    <s v="No"/>
    <m/>
    <x v="34"/>
    <x v="0"/>
    <x v="0"/>
    <m/>
    <x v="0"/>
    <x v="0"/>
  </r>
  <r>
    <s v="Kenneth Kraemer - Used Trade-In Product"/>
    <n v="9"/>
    <n v="5"/>
    <d v="2026-01-31T08:24:38"/>
    <n v="5172502"/>
    <s v="Used Trade-In Product"/>
    <m/>
    <s v="Kenneth Kraemer"/>
    <m/>
    <s v="partskenn@yahoo.com"/>
    <m/>
    <s v="Tucson;Arizona;85746"/>
    <s v="Tucson;Arizona;85746"/>
    <s v="4 months"/>
    <s v="No"/>
    <m/>
    <m/>
    <s v="partskenn@yahoo.com"/>
    <s v="4"/>
    <m/>
    <m/>
    <m/>
    <m/>
    <m/>
    <m/>
    <m/>
    <m/>
    <d v="2026-02-02T09:36:51"/>
    <d v="2026-01-29T12:46:35"/>
    <m/>
    <s v="1134822"/>
    <m/>
    <m/>
    <m/>
    <m/>
    <m/>
    <m/>
    <m/>
    <m/>
    <m/>
    <m/>
    <m/>
    <m/>
    <m/>
    <m/>
    <m/>
    <m/>
    <m/>
    <m/>
    <m/>
    <m/>
    <m/>
    <m/>
    <s v="https://bnh.lightning.force.com/001Hs00005n3vYGIAY"/>
    <m/>
    <m/>
    <m/>
    <m/>
    <m/>
    <m/>
    <m/>
    <m/>
    <m/>
    <m/>
    <m/>
    <m/>
    <m/>
    <m/>
    <m/>
    <m/>
    <m/>
    <m/>
    <m/>
    <m/>
    <m/>
    <m/>
    <m/>
    <m/>
    <m/>
    <m/>
    <m/>
    <m/>
    <m/>
    <m/>
    <m/>
    <m/>
    <m/>
    <m/>
    <m/>
    <m/>
    <m/>
    <m/>
    <s v="CAD"/>
    <m/>
    <s v="No"/>
    <s v="Emily Schreier"/>
    <s v="Emily Schreier"/>
    <d v="2026-01-31T08:22:55"/>
    <s v="Promoter"/>
    <s v="Closed"/>
    <m/>
    <m/>
    <s v="Yes"/>
    <m/>
    <m/>
    <m/>
    <m/>
    <m/>
    <m/>
    <m/>
    <m/>
    <m/>
    <m/>
    <m/>
    <m/>
    <m/>
    <m/>
    <m/>
    <m/>
    <s v="Easy"/>
    <m/>
    <m/>
    <m/>
    <m/>
    <s v="Delay in  inspecting my item before issuing payment."/>
    <m/>
    <m/>
    <m/>
    <m/>
    <m/>
    <m/>
    <m/>
    <m/>
    <m/>
    <m/>
    <m/>
    <m/>
    <m/>
    <m/>
    <m/>
    <m/>
    <m/>
    <m/>
    <m/>
    <m/>
    <m/>
    <m/>
    <m/>
    <m/>
    <m/>
    <m/>
    <m/>
    <m/>
    <m/>
    <m/>
    <m/>
    <m/>
    <m/>
    <m/>
    <m/>
    <m/>
    <m/>
    <m/>
    <m/>
    <m/>
    <m/>
    <m/>
    <m/>
    <m/>
    <m/>
    <m/>
    <m/>
    <m/>
    <m/>
    <m/>
    <m/>
    <m/>
    <m/>
    <m/>
    <m/>
    <m/>
    <m/>
    <m/>
    <m/>
    <m/>
    <m/>
    <m/>
    <m/>
    <m/>
    <m/>
    <m/>
    <m/>
    <m/>
    <m/>
    <m/>
    <m/>
    <m/>
    <m/>
    <m/>
    <m/>
    <m/>
    <m/>
    <m/>
    <m/>
    <m/>
    <m/>
    <m/>
    <s v="Easy"/>
    <s v="Delay in  inspecting my item before issuing pay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5"/>
    <n v="5"/>
    <n v="4"/>
    <m/>
    <m/>
    <m/>
    <m/>
    <m/>
    <m/>
    <m/>
    <m/>
    <m/>
    <m/>
    <m/>
    <m/>
    <m/>
    <m/>
    <m/>
    <m/>
    <m/>
    <m/>
    <m/>
    <m/>
    <m/>
    <m/>
    <m/>
    <m/>
    <m/>
    <m/>
    <m/>
    <m/>
    <m/>
    <m/>
    <m/>
    <m/>
    <m/>
    <m/>
    <m/>
    <m/>
    <m/>
    <m/>
    <m/>
    <m/>
    <m/>
    <m/>
    <m/>
    <m/>
    <m/>
    <m/>
    <m/>
    <m/>
    <m/>
    <m/>
    <m/>
    <m/>
    <m/>
    <m/>
    <m/>
    <m/>
    <m/>
    <m/>
    <m/>
    <m/>
    <m/>
    <m/>
    <m/>
    <m/>
    <m/>
    <m/>
    <m/>
    <m/>
    <m/>
    <m/>
    <m/>
    <m/>
    <m/>
    <m/>
    <m/>
    <m/>
    <m/>
    <m/>
    <m/>
    <m/>
    <m/>
    <m/>
    <m/>
    <m/>
    <m/>
    <m/>
    <m/>
    <m/>
    <m/>
    <m/>
    <m/>
    <m/>
    <m/>
    <m/>
    <m/>
    <m/>
    <m/>
    <m/>
    <m/>
    <m/>
    <m/>
    <m/>
    <s v="Trade In &gt; Overall Process &gt;, Trade In &gt; Timeliness of Payment &gt;"/>
    <m/>
    <m/>
    <m/>
    <s v="Trade In &gt; Overall Process &gt; (Positive), Trade In &gt; Timeliness of Payment &gt; (Negative)"/>
    <s v="Yes"/>
    <s v="No"/>
    <m/>
    <x v="0"/>
    <x v="4"/>
    <x v="0"/>
    <m/>
    <x v="0"/>
    <x v="0"/>
  </r>
  <r>
    <s v="John R Lego Sr. - Used Trade-In Product"/>
    <n v="10"/>
    <n v="5"/>
    <d v="2026-01-30T20:01:04"/>
    <n v="5172159"/>
    <s v="Used Trade-In Product"/>
    <m/>
    <s v="John R Lego Sr."/>
    <m/>
    <s v="ron.lego@me.com"/>
    <m/>
    <s v="Phoenixville;Pennsylvania;19460"/>
    <s v="Phoenixville;Pennsylvania;19460"/>
    <s v="19 years 1 months"/>
    <s v="No"/>
    <m/>
    <m/>
    <s v="ron.lego@me.com"/>
    <s v="229"/>
    <m/>
    <m/>
    <m/>
    <m/>
    <m/>
    <m/>
    <m/>
    <m/>
    <d v="2026-02-02T09:32:55"/>
    <d v="2026-01-30T12:47:57"/>
    <m/>
    <s v="1136633"/>
    <m/>
    <m/>
    <m/>
    <m/>
    <m/>
    <m/>
    <m/>
    <m/>
    <m/>
    <m/>
    <m/>
    <m/>
    <m/>
    <m/>
    <m/>
    <m/>
    <m/>
    <m/>
    <m/>
    <m/>
    <m/>
    <m/>
    <s v="https://bnh.lightning.force.com/0018X00003VOBTeQAP"/>
    <m/>
    <m/>
    <m/>
    <m/>
    <m/>
    <m/>
    <m/>
    <m/>
    <m/>
    <m/>
    <m/>
    <m/>
    <m/>
    <m/>
    <m/>
    <m/>
    <m/>
    <m/>
    <m/>
    <m/>
    <m/>
    <m/>
    <m/>
    <m/>
    <m/>
    <m/>
    <m/>
    <m/>
    <m/>
    <m/>
    <m/>
    <m/>
    <m/>
    <m/>
    <m/>
    <m/>
    <m/>
    <m/>
    <s v="CAD"/>
    <m/>
    <s v="No"/>
    <s v="Emily Schreier"/>
    <s v="Emily Schreier"/>
    <d v="2026-01-30T20:00:23"/>
    <s v="Promoter"/>
    <s v="Closed"/>
    <m/>
    <m/>
    <s v="Yes"/>
    <m/>
    <m/>
    <m/>
    <m/>
    <m/>
    <m/>
    <m/>
    <m/>
    <m/>
    <m/>
    <m/>
    <m/>
    <m/>
    <m/>
    <m/>
    <m/>
    <s v="Ease of doing business."/>
    <m/>
    <m/>
    <m/>
    <m/>
    <s v="Prices benchmarked a little low."/>
    <m/>
    <m/>
    <m/>
    <m/>
    <m/>
    <m/>
    <m/>
    <m/>
    <m/>
    <m/>
    <m/>
    <m/>
    <m/>
    <m/>
    <m/>
    <m/>
    <m/>
    <m/>
    <m/>
    <m/>
    <m/>
    <m/>
    <m/>
    <m/>
    <m/>
    <m/>
    <m/>
    <m/>
    <m/>
    <m/>
    <m/>
    <m/>
    <m/>
    <m/>
    <m/>
    <m/>
    <m/>
    <m/>
    <m/>
    <m/>
    <m/>
    <m/>
    <m/>
    <m/>
    <m/>
    <m/>
    <m/>
    <m/>
    <m/>
    <m/>
    <m/>
    <m/>
    <m/>
    <m/>
    <m/>
    <m/>
    <m/>
    <m/>
    <m/>
    <m/>
    <m/>
    <m/>
    <m/>
    <m/>
    <m/>
    <m/>
    <m/>
    <m/>
    <m/>
    <m/>
    <m/>
    <m/>
    <m/>
    <m/>
    <m/>
    <m/>
    <m/>
    <m/>
    <m/>
    <m/>
    <m/>
    <m/>
    <s v="Ease of doing business."/>
    <s v="Prices benchmarked a little lo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m/>
    <m/>
    <s v="Pricing &gt; Value for Money &gt; (Negative), Trade In &gt; Quote Price &gt; (Negative), Used &gt; Pricing &gt; (Negative)"/>
    <s v="Trade In &gt; Overall Process &gt; (Positive), Trade In &gt; Quote Price &gt; (Negative)"/>
    <s v="Yes"/>
    <s v="No"/>
    <m/>
    <x v="5"/>
    <x v="8"/>
    <x v="0"/>
    <m/>
    <x v="0"/>
    <x v="0"/>
  </r>
  <r>
    <s v="Darrin Lingle - Used Trade-In Product"/>
    <n v="7"/>
    <n v="3"/>
    <d v="2026-01-30T18:28:25"/>
    <n v="5172098"/>
    <s v="Used Trade-In Product"/>
    <m/>
    <s v="Darrin Lingle"/>
    <m/>
    <s v="dalin@lingletech.com"/>
    <m/>
    <s v="Lakewood;Colorado;80232"/>
    <m/>
    <s v="19 years 5 months"/>
    <s v="Yes"/>
    <m/>
    <m/>
    <s v="dalin@lingletech.com"/>
    <s v="233"/>
    <m/>
    <m/>
    <m/>
    <m/>
    <m/>
    <m/>
    <m/>
    <m/>
    <d v="2026-02-02T14:04:16"/>
    <d v="2026-01-30T12:46:32"/>
    <m/>
    <s v="1136642"/>
    <m/>
    <m/>
    <m/>
    <m/>
    <m/>
    <m/>
    <m/>
    <m/>
    <m/>
    <m/>
    <m/>
    <m/>
    <m/>
    <m/>
    <m/>
    <m/>
    <m/>
    <m/>
    <m/>
    <m/>
    <m/>
    <m/>
    <s v="https://bnh.lightning.force.com/001WP00000ptZsuYAE"/>
    <m/>
    <m/>
    <m/>
    <m/>
    <m/>
    <m/>
    <m/>
    <m/>
    <m/>
    <m/>
    <m/>
    <m/>
    <m/>
    <m/>
    <m/>
    <m/>
    <m/>
    <m/>
    <m/>
    <m/>
    <m/>
    <m/>
    <m/>
    <m/>
    <m/>
    <m/>
    <m/>
    <m/>
    <m/>
    <m/>
    <m/>
    <m/>
    <m/>
    <m/>
    <m/>
    <m/>
    <m/>
    <m/>
    <s v="CAD"/>
    <m/>
    <s v="No"/>
    <s v="Emily Schreier,Avraham Schwartz,Reina Caba"/>
    <s v="Reina Caba"/>
    <d v="2026-01-30T18:27:51"/>
    <s v="Passive"/>
    <s v="Closed"/>
    <d v="2026-02-02T14:04:01"/>
    <s v="Reina Caba (reinac@bhphoto.com)"/>
    <s v="Yes"/>
    <m/>
    <m/>
    <m/>
    <m/>
    <m/>
    <m/>
    <m/>
    <m/>
    <m/>
    <m/>
    <m/>
    <m/>
    <m/>
    <m/>
    <m/>
    <m/>
    <s v="easy to sell my gear."/>
    <m/>
    <m/>
    <m/>
    <m/>
    <s v="waiting for an old fashion paper check. MPB sends money through ACH."/>
    <m/>
    <m/>
    <m/>
    <m/>
    <m/>
    <m/>
    <m/>
    <m/>
    <m/>
    <m/>
    <m/>
    <m/>
    <m/>
    <m/>
    <m/>
    <m/>
    <m/>
    <m/>
    <m/>
    <m/>
    <m/>
    <m/>
    <m/>
    <m/>
    <m/>
    <m/>
    <m/>
    <m/>
    <m/>
    <m/>
    <m/>
    <m/>
    <m/>
    <m/>
    <m/>
    <m/>
    <m/>
    <m/>
    <m/>
    <m/>
    <m/>
    <m/>
    <m/>
    <m/>
    <m/>
    <m/>
    <m/>
    <m/>
    <m/>
    <m/>
    <m/>
    <m/>
    <m/>
    <m/>
    <m/>
    <m/>
    <m/>
    <m/>
    <m/>
    <m/>
    <m/>
    <m/>
    <m/>
    <m/>
    <m/>
    <m/>
    <m/>
    <m/>
    <m/>
    <m/>
    <m/>
    <m/>
    <m/>
    <m/>
    <m/>
    <m/>
    <m/>
    <m/>
    <m/>
    <m/>
    <m/>
    <m/>
    <s v="easy to sell my gear."/>
    <s v="waiting for an old fashion paper check. MPB sends money through AC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3"/>
    <n v="3"/>
    <n v="3"/>
    <n v="1"/>
    <m/>
    <m/>
    <m/>
    <m/>
    <m/>
    <m/>
    <m/>
    <m/>
    <m/>
    <m/>
    <m/>
    <m/>
    <m/>
    <m/>
    <m/>
    <m/>
    <m/>
    <m/>
    <m/>
    <m/>
    <m/>
    <m/>
    <m/>
    <m/>
    <m/>
    <m/>
    <m/>
    <m/>
    <m/>
    <m/>
    <m/>
    <m/>
    <m/>
    <m/>
    <m/>
    <m/>
    <m/>
    <m/>
    <m/>
    <m/>
    <m/>
    <m/>
    <m/>
    <m/>
    <m/>
    <m/>
    <m/>
    <m/>
    <m/>
    <m/>
    <m/>
    <m/>
    <m/>
    <m/>
    <m/>
    <m/>
    <m/>
    <m/>
    <m/>
    <m/>
    <m/>
    <m/>
    <m/>
    <m/>
    <m/>
    <m/>
    <m/>
    <m/>
    <m/>
    <m/>
    <m/>
    <m/>
    <m/>
    <m/>
    <m/>
    <m/>
    <m/>
    <m/>
    <m/>
    <m/>
    <m/>
    <m/>
    <m/>
    <m/>
    <m/>
    <m/>
    <m/>
    <m/>
    <m/>
    <m/>
    <m/>
    <m/>
    <m/>
    <m/>
    <m/>
    <m/>
    <m/>
    <m/>
    <m/>
    <m/>
    <m/>
    <m/>
    <s v="B&amp;H &gt; Competitor Mentions &gt;, Trade In &gt; Overall Process &gt;, Trade In &gt; Timeliness of Payment &gt;"/>
    <m/>
    <m/>
    <m/>
    <s v="B&amp;H &gt; Competitor Mentions &gt; (Negative), Trade In &gt; Overall Process &gt; (Positive), Trade In &gt; Timeliness of Payment &gt; (Negative)"/>
    <s v="Yes"/>
    <s v="Yes"/>
    <m/>
    <x v="0"/>
    <x v="41"/>
    <x v="0"/>
    <m/>
    <x v="0"/>
    <x v="0"/>
  </r>
  <r>
    <s v="Roger Dubois - Used Trade-In Product"/>
    <n v="10"/>
    <n v="5"/>
    <d v="2026-01-30T18:18:04"/>
    <n v="5172083"/>
    <s v="Used Trade-In Product"/>
    <m/>
    <s v="Roger Dubois"/>
    <m/>
    <s v="roger.a.dubois@gmail.com"/>
    <m/>
    <s v="Newport News;Virginia;23606"/>
    <m/>
    <s v="9 years 11 months"/>
    <s v="No"/>
    <m/>
    <m/>
    <s v="roger.a.dubois@gmail.com"/>
    <s v="119"/>
    <m/>
    <m/>
    <m/>
    <m/>
    <m/>
    <m/>
    <m/>
    <m/>
    <d v="2026-02-02T09:31:06"/>
    <d v="2026-01-30T14:17:38"/>
    <m/>
    <s v="1138513"/>
    <m/>
    <m/>
    <m/>
    <m/>
    <m/>
    <m/>
    <m/>
    <m/>
    <m/>
    <m/>
    <m/>
    <m/>
    <m/>
    <m/>
    <m/>
    <m/>
    <m/>
    <m/>
    <m/>
    <m/>
    <m/>
    <m/>
    <s v="https://bnh.lightning.force.com/001WP00000qxs51YAA"/>
    <m/>
    <m/>
    <m/>
    <m/>
    <m/>
    <m/>
    <m/>
    <m/>
    <m/>
    <m/>
    <m/>
    <m/>
    <m/>
    <m/>
    <m/>
    <m/>
    <m/>
    <m/>
    <m/>
    <m/>
    <m/>
    <m/>
    <m/>
    <m/>
    <m/>
    <m/>
    <m/>
    <m/>
    <m/>
    <m/>
    <m/>
    <m/>
    <m/>
    <m/>
    <m/>
    <m/>
    <m/>
    <m/>
    <s v="CAD"/>
    <m/>
    <s v="No"/>
    <s v="Emily Schreier"/>
    <s v="Emily Schreier"/>
    <d v="2026-01-30T18:16:09"/>
    <s v="Promoter"/>
    <s v="Closed"/>
    <m/>
    <m/>
    <s v="Yes"/>
    <m/>
    <m/>
    <m/>
    <m/>
    <m/>
    <m/>
    <m/>
    <m/>
    <m/>
    <m/>
    <m/>
    <m/>
    <m/>
    <m/>
    <m/>
    <m/>
    <s v="I believe the pricing was a fair trade.  I liked the confirmation email with an update to when my equipment would be evaluated.  The time to receive payment was super quick."/>
    <m/>
    <m/>
    <m/>
    <m/>
    <s v="No complaints, here."/>
    <m/>
    <m/>
    <m/>
    <m/>
    <m/>
    <m/>
    <m/>
    <m/>
    <m/>
    <m/>
    <m/>
    <m/>
    <m/>
    <m/>
    <m/>
    <m/>
    <m/>
    <m/>
    <m/>
    <m/>
    <m/>
    <m/>
    <m/>
    <m/>
    <m/>
    <m/>
    <m/>
    <m/>
    <m/>
    <m/>
    <m/>
    <m/>
    <m/>
    <m/>
    <m/>
    <m/>
    <m/>
    <m/>
    <m/>
    <m/>
    <m/>
    <m/>
    <m/>
    <m/>
    <m/>
    <m/>
    <m/>
    <m/>
    <m/>
    <m/>
    <m/>
    <m/>
    <m/>
    <m/>
    <m/>
    <m/>
    <m/>
    <m/>
    <m/>
    <m/>
    <m/>
    <m/>
    <m/>
    <m/>
    <m/>
    <m/>
    <m/>
    <m/>
    <m/>
    <m/>
    <m/>
    <m/>
    <m/>
    <m/>
    <m/>
    <m/>
    <m/>
    <m/>
    <m/>
    <m/>
    <m/>
    <m/>
    <s v="I believe the pricing was a fair trade.  I liked the confirmation email with an update to when my equipment would be evaluated.  The time to receive payment was super quick."/>
    <s v="No complaints, he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Timeliness of Payment &gt;, Used &gt; Pricing &gt;"/>
    <s v="Trade In &gt; Overall Process &gt;, Trade In &gt; Quote Price &gt;, Trade In &gt; Timeliness of Payment &gt;"/>
    <m/>
    <m/>
    <s v="Trade In &gt; Timeliness of Payment &gt; (Positive), Used &gt; Pricing &gt; (Positive)"/>
    <s v="Trade In &gt; Overall Process &gt; (Positive), Trade In &gt; Quote Price &gt; (Positive), Trade In &gt; Timeliness of Payment &gt; (Positive)"/>
    <s v="Yes"/>
    <s v="No"/>
    <m/>
    <x v="3"/>
    <x v="35"/>
    <x v="22"/>
    <m/>
    <x v="0"/>
    <x v="0"/>
  </r>
  <r>
    <s v="Russell Schwers - Used Trade-In Product"/>
    <n v="10"/>
    <n v="5"/>
    <d v="2026-01-30T15:18:05"/>
    <n v="5171830"/>
    <s v="Used Trade-In Product"/>
    <m/>
    <s v="Russell Schwers"/>
    <m/>
    <s v="r.schwers@gmail.com"/>
    <m/>
    <s v="Hollis;New Hampshire;03049"/>
    <m/>
    <m/>
    <s v="No"/>
    <m/>
    <m/>
    <s v="r.schwers@gmail.com"/>
    <m/>
    <m/>
    <m/>
    <m/>
    <m/>
    <m/>
    <m/>
    <m/>
    <m/>
    <d v="2026-02-02T09:24:16"/>
    <d v="2026-01-30T12:47:20"/>
    <m/>
    <s v="1135273"/>
    <m/>
    <m/>
    <m/>
    <m/>
    <m/>
    <m/>
    <m/>
    <m/>
    <m/>
    <m/>
    <m/>
    <m/>
    <m/>
    <m/>
    <m/>
    <m/>
    <m/>
    <m/>
    <m/>
    <m/>
    <m/>
    <m/>
    <s v="https://bnh.lightning.force.com/001WP00000p8UqJYAU"/>
    <m/>
    <m/>
    <m/>
    <m/>
    <m/>
    <m/>
    <m/>
    <m/>
    <m/>
    <m/>
    <m/>
    <m/>
    <m/>
    <m/>
    <m/>
    <m/>
    <m/>
    <m/>
    <m/>
    <m/>
    <m/>
    <m/>
    <m/>
    <m/>
    <m/>
    <m/>
    <m/>
    <m/>
    <m/>
    <m/>
    <m/>
    <m/>
    <m/>
    <m/>
    <m/>
    <m/>
    <m/>
    <m/>
    <s v="CAD"/>
    <m/>
    <s v="No"/>
    <s v="Emily Schreier"/>
    <s v="Emily Schreier"/>
    <d v="2026-01-30T15:14:37"/>
    <s v="Promoter"/>
    <s v="Closed"/>
    <m/>
    <m/>
    <s v="Yes"/>
    <m/>
    <m/>
    <m/>
    <m/>
    <m/>
    <m/>
    <m/>
    <m/>
    <m/>
    <m/>
    <m/>
    <m/>
    <m/>
    <m/>
    <m/>
    <m/>
    <s v="How Fast Your Response Was with a great Fair Offer. _x000a__x000a_I was using one of your competitors previously &amp; became so dissatisfied that will never use them again for trades or new purchases of used gear."/>
    <m/>
    <m/>
    <m/>
    <m/>
    <s v="Nothing At All"/>
    <m/>
    <m/>
    <m/>
    <m/>
    <m/>
    <m/>
    <m/>
    <m/>
    <m/>
    <m/>
    <m/>
    <m/>
    <m/>
    <m/>
    <m/>
    <m/>
    <m/>
    <m/>
    <m/>
    <m/>
    <m/>
    <m/>
    <m/>
    <m/>
    <m/>
    <m/>
    <m/>
    <m/>
    <m/>
    <m/>
    <m/>
    <m/>
    <m/>
    <m/>
    <m/>
    <m/>
    <m/>
    <m/>
    <m/>
    <m/>
    <m/>
    <m/>
    <m/>
    <m/>
    <m/>
    <m/>
    <m/>
    <m/>
    <m/>
    <m/>
    <m/>
    <m/>
    <m/>
    <m/>
    <m/>
    <m/>
    <m/>
    <m/>
    <m/>
    <m/>
    <m/>
    <m/>
    <m/>
    <m/>
    <m/>
    <m/>
    <m/>
    <m/>
    <m/>
    <m/>
    <m/>
    <m/>
    <m/>
    <m/>
    <m/>
    <m/>
    <m/>
    <m/>
    <m/>
    <m/>
    <m/>
    <m/>
    <s v="How Fast Your Response Was with a great Fair Offer. _x000a__x000a_I was using one of your competitors previously &amp; became so dissatisfied that will never use them again for trades or new purchases of used gear."/>
    <s v="Nothing At A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Competitor Mentions &gt;, Used &gt; Description &gt;"/>
    <s v="B&amp;H &gt; Competitor Mentions &gt;, Trade In &gt; Overall Process &gt;, Trade In &gt; Quote Price &gt;, Trade In &gt; Timeliness of Quote &gt;"/>
    <m/>
    <m/>
    <s v="B&amp;H &gt; Competitor Mentions &gt; (Negative), Used &gt; Description &gt; (Negative)"/>
    <s v="B&amp;H &gt; Competitor Mentions &gt; (Positive), Trade In &gt; Overall Process &gt; (Positive), Trade In &gt; Quote Price &gt; (Positive), Trade In &gt; Timeliness of Quote &gt; (Positive)"/>
    <s v="Yes"/>
    <s v="Yes"/>
    <m/>
    <x v="28"/>
    <x v="21"/>
    <x v="0"/>
    <m/>
    <x v="0"/>
    <x v="0"/>
  </r>
  <r>
    <s v="Jasmine Smith-Cherry - Used Trade-In Product"/>
    <n v="10"/>
    <n v="5"/>
    <d v="2026-01-30T13:27:48"/>
    <n v="5171482"/>
    <s v="Used Trade-In Product"/>
    <m/>
    <s v="Jasmine Smith-Cherry"/>
    <m/>
    <s v="jasminecherryartwork@gmail.com"/>
    <m/>
    <s v="Old Orchard Beach;Maine;04064"/>
    <m/>
    <s v="3 years 2 months"/>
    <s v="No"/>
    <m/>
    <m/>
    <s v="jasminecherryartwork@gmail.com"/>
    <s v="38"/>
    <m/>
    <m/>
    <m/>
    <m/>
    <m/>
    <m/>
    <m/>
    <m/>
    <d v="2026-02-02T09:20:30"/>
    <d v="2026-01-30T12:46:28"/>
    <m/>
    <s v="1134394"/>
    <m/>
    <m/>
    <m/>
    <m/>
    <m/>
    <m/>
    <m/>
    <m/>
    <m/>
    <m/>
    <m/>
    <m/>
    <m/>
    <m/>
    <m/>
    <m/>
    <m/>
    <m/>
    <m/>
    <m/>
    <m/>
    <m/>
    <s v="https://bnh.lightning.force.com/001WP00000onRwdYAE"/>
    <m/>
    <m/>
    <m/>
    <m/>
    <m/>
    <m/>
    <m/>
    <m/>
    <m/>
    <m/>
    <m/>
    <m/>
    <m/>
    <m/>
    <m/>
    <m/>
    <m/>
    <m/>
    <m/>
    <m/>
    <m/>
    <m/>
    <m/>
    <m/>
    <m/>
    <m/>
    <m/>
    <m/>
    <m/>
    <m/>
    <m/>
    <m/>
    <m/>
    <m/>
    <m/>
    <m/>
    <m/>
    <m/>
    <s v="CAD"/>
    <m/>
    <s v="No"/>
    <s v="Emily Schreier"/>
    <s v="Emily Schreier"/>
    <d v="2026-01-30T13:28:33"/>
    <s v="Promoter"/>
    <s v="Closed"/>
    <m/>
    <m/>
    <s v="Yes"/>
    <m/>
    <m/>
    <m/>
    <m/>
    <m/>
    <m/>
    <m/>
    <m/>
    <m/>
    <m/>
    <m/>
    <m/>
    <m/>
    <m/>
    <m/>
    <m/>
    <s v="Extremely easy throughout the entirety of the process"/>
    <m/>
    <m/>
    <m/>
    <m/>
    <s v="Nothing!"/>
    <m/>
    <m/>
    <m/>
    <m/>
    <m/>
    <m/>
    <m/>
    <m/>
    <m/>
    <m/>
    <m/>
    <m/>
    <m/>
    <m/>
    <m/>
    <m/>
    <m/>
    <m/>
    <m/>
    <m/>
    <m/>
    <m/>
    <m/>
    <m/>
    <m/>
    <m/>
    <m/>
    <m/>
    <m/>
    <m/>
    <m/>
    <m/>
    <m/>
    <m/>
    <m/>
    <m/>
    <m/>
    <m/>
    <m/>
    <m/>
    <m/>
    <m/>
    <m/>
    <m/>
    <m/>
    <m/>
    <m/>
    <m/>
    <m/>
    <m/>
    <m/>
    <m/>
    <m/>
    <m/>
    <m/>
    <m/>
    <m/>
    <m/>
    <m/>
    <m/>
    <m/>
    <m/>
    <m/>
    <m/>
    <m/>
    <m/>
    <m/>
    <m/>
    <m/>
    <m/>
    <m/>
    <m/>
    <m/>
    <m/>
    <m/>
    <m/>
    <m/>
    <m/>
    <m/>
    <m/>
    <m/>
    <m/>
    <s v="Extremely easy throughout the entirety of the process"/>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Yes"/>
    <m/>
    <x v="0"/>
    <x v="0"/>
    <x v="0"/>
    <m/>
    <x v="0"/>
    <x v="0"/>
  </r>
  <r>
    <s v="Sean Ardor - Used Trade-In Product"/>
    <n v="8"/>
    <n v="4"/>
    <d v="2026-01-30T13:21:03"/>
    <n v="5171466"/>
    <s v="Used Trade-In Product"/>
    <m/>
    <s v="Sean Ardor"/>
    <m/>
    <s v="promo@trueparallelgroup.com"/>
    <m/>
    <s v="La Quinta;California;92253"/>
    <s v="Indian Wells;California;92210"/>
    <s v="5 years 1 months"/>
    <s v="No"/>
    <m/>
    <m/>
    <s v="promo@trueparallelgroup.com"/>
    <s v="61"/>
    <m/>
    <m/>
    <m/>
    <m/>
    <m/>
    <m/>
    <m/>
    <m/>
    <d v="2026-02-02T13:55:15"/>
    <d v="2026-01-30T14:17:43"/>
    <m/>
    <s v="1137348"/>
    <m/>
    <m/>
    <m/>
    <m/>
    <m/>
    <m/>
    <m/>
    <m/>
    <m/>
    <m/>
    <m/>
    <m/>
    <m/>
    <m/>
    <m/>
    <m/>
    <m/>
    <m/>
    <m/>
    <m/>
    <m/>
    <m/>
    <s v="https://bnh.lightning.force.com/0018X00003VRl15QAD"/>
    <m/>
    <m/>
    <m/>
    <m/>
    <m/>
    <m/>
    <m/>
    <m/>
    <m/>
    <m/>
    <m/>
    <m/>
    <m/>
    <m/>
    <m/>
    <m/>
    <m/>
    <m/>
    <m/>
    <m/>
    <m/>
    <m/>
    <m/>
    <m/>
    <m/>
    <m/>
    <m/>
    <m/>
    <m/>
    <m/>
    <m/>
    <m/>
    <m/>
    <m/>
    <m/>
    <m/>
    <m/>
    <m/>
    <s v="CAD"/>
    <m/>
    <s v="No"/>
    <s v="Emily Schreier,Avraham Schwartz,Reina Caba"/>
    <s v="Reina Caba"/>
    <d v="2026-01-30T13:19:36"/>
    <s v="Passive"/>
    <s v="Closed"/>
    <d v="2026-02-02T13:55:10"/>
    <s v="Reina Caba (reinac@bhphoto.com)"/>
    <s v="Yes"/>
    <m/>
    <m/>
    <m/>
    <m/>
    <m/>
    <m/>
    <m/>
    <m/>
    <m/>
    <m/>
    <m/>
    <m/>
    <m/>
    <m/>
    <m/>
    <m/>
    <m/>
    <m/>
    <m/>
    <m/>
    <m/>
    <s v="It was not possible to look up my exact item through your online tool. The lookup tool is extremely imperfect - searching “canon fd /f1.4” didn’t even return Canon lenses, but non-lens products from other manufacturers. It makes it hard to sell."/>
    <m/>
    <m/>
    <m/>
    <m/>
    <m/>
    <m/>
    <m/>
    <m/>
    <m/>
    <m/>
    <m/>
    <m/>
    <m/>
    <m/>
    <m/>
    <m/>
    <m/>
    <m/>
    <m/>
    <m/>
    <m/>
    <m/>
    <m/>
    <m/>
    <m/>
    <m/>
    <m/>
    <m/>
    <m/>
    <m/>
    <m/>
    <m/>
    <m/>
    <m/>
    <m/>
    <m/>
    <m/>
    <m/>
    <m/>
    <m/>
    <m/>
    <m/>
    <m/>
    <m/>
    <m/>
    <m/>
    <m/>
    <m/>
    <m/>
    <m/>
    <m/>
    <m/>
    <m/>
    <m/>
    <m/>
    <m/>
    <m/>
    <m/>
    <m/>
    <m/>
    <m/>
    <m/>
    <m/>
    <m/>
    <m/>
    <m/>
    <m/>
    <m/>
    <m/>
    <m/>
    <m/>
    <m/>
    <m/>
    <m/>
    <m/>
    <m/>
    <m/>
    <m/>
    <m/>
    <m/>
    <m/>
    <m/>
    <m/>
    <s v="It was not possible to look up my exact item through your online tool. The lookup tool is extremely imperfect - searching “canon fd /f1.4” didn’t even return Canon lenses, but non-lens products from other manufacturers. It makes it hard to se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2"/>
    <n v="3"/>
    <m/>
    <m/>
    <m/>
    <m/>
    <m/>
    <m/>
    <n v="4"/>
    <n v="3"/>
    <n v="4"/>
    <n v="4"/>
    <m/>
    <m/>
    <m/>
    <m/>
    <m/>
    <m/>
    <m/>
    <m/>
    <m/>
    <m/>
    <m/>
    <m/>
    <m/>
    <m/>
    <m/>
    <m/>
    <m/>
    <m/>
    <m/>
    <m/>
    <m/>
    <m/>
    <m/>
    <m/>
    <m/>
    <m/>
    <m/>
    <m/>
    <m/>
    <m/>
    <m/>
    <m/>
    <m/>
    <m/>
    <m/>
    <m/>
    <m/>
    <m/>
    <m/>
    <m/>
    <m/>
    <m/>
    <m/>
    <m/>
    <m/>
    <m/>
    <m/>
    <m/>
    <m/>
    <m/>
    <m/>
    <m/>
    <m/>
    <m/>
    <m/>
    <m/>
    <m/>
    <m/>
    <m/>
    <m/>
    <m/>
    <m/>
    <m/>
    <m/>
    <m/>
    <m/>
    <m/>
    <m/>
    <m/>
    <m/>
    <m/>
    <m/>
    <m/>
    <m/>
    <m/>
    <m/>
    <m/>
    <m/>
    <m/>
    <m/>
    <m/>
    <m/>
    <m/>
    <m/>
    <m/>
    <m/>
    <m/>
    <m/>
    <m/>
    <m/>
    <m/>
    <m/>
    <m/>
    <m/>
    <m/>
    <m/>
    <m/>
    <m/>
    <m/>
    <m/>
    <m/>
    <m/>
    <s v="Website &gt; Overall Satisfaction &gt;"/>
    <m/>
    <m/>
    <m/>
    <s v="Website &gt; Overall Satisfaction &gt; (Negative)"/>
    <s v="Yes"/>
    <s v="Yes"/>
    <m/>
    <x v="40"/>
    <x v="0"/>
    <x v="0"/>
    <m/>
    <x v="0"/>
    <x v="0"/>
  </r>
  <r>
    <s v="Lindsay Sanderson - Used Trade-In Product"/>
    <n v="9"/>
    <n v="4"/>
    <d v="2026-01-30T12:58:18"/>
    <n v="5171430"/>
    <s v="Used Trade-In Product"/>
    <m/>
    <s v="Lindsay Sanderson"/>
    <m/>
    <s v="imagerybylindsay@gmail.com"/>
    <m/>
    <s v="Alpine;Utah;84004"/>
    <m/>
    <m/>
    <s v="No"/>
    <m/>
    <m/>
    <s v="imagerybylindsay@gmail.com"/>
    <m/>
    <m/>
    <m/>
    <m/>
    <m/>
    <m/>
    <m/>
    <m/>
    <m/>
    <d v="2026-02-02T09:17:11"/>
    <d v="2026-01-30T14:17:40"/>
    <m/>
    <s v="1138267"/>
    <m/>
    <m/>
    <m/>
    <m/>
    <m/>
    <m/>
    <m/>
    <m/>
    <m/>
    <m/>
    <m/>
    <m/>
    <m/>
    <m/>
    <m/>
    <m/>
    <m/>
    <m/>
    <m/>
    <m/>
    <m/>
    <m/>
    <s v="https://bnh.lightning.force.com/001WP00000qsXW6YAM"/>
    <m/>
    <m/>
    <m/>
    <m/>
    <m/>
    <m/>
    <m/>
    <m/>
    <m/>
    <m/>
    <m/>
    <m/>
    <m/>
    <m/>
    <m/>
    <m/>
    <m/>
    <m/>
    <m/>
    <m/>
    <m/>
    <m/>
    <m/>
    <m/>
    <m/>
    <m/>
    <m/>
    <m/>
    <m/>
    <m/>
    <m/>
    <m/>
    <m/>
    <m/>
    <m/>
    <m/>
    <m/>
    <m/>
    <s v="CAD"/>
    <m/>
    <s v="No"/>
    <s v="Emily Schreier"/>
    <s v="Emily Schreier"/>
    <d v="2026-01-30T12:57:37"/>
    <s v="Promoter"/>
    <s v="Closed"/>
    <m/>
    <m/>
    <s v="Yes"/>
    <m/>
    <m/>
    <m/>
    <m/>
    <m/>
    <m/>
    <m/>
    <m/>
    <m/>
    <m/>
    <m/>
    <m/>
    <m/>
    <m/>
    <m/>
    <m/>
    <s v="I appreciated the update when my used item was received."/>
    <m/>
    <m/>
    <m/>
    <m/>
    <s v="I am bummed to have lost money on the lens, but I understand this is normal."/>
    <m/>
    <m/>
    <m/>
    <m/>
    <m/>
    <m/>
    <m/>
    <m/>
    <m/>
    <m/>
    <m/>
    <m/>
    <m/>
    <m/>
    <m/>
    <m/>
    <m/>
    <m/>
    <m/>
    <m/>
    <m/>
    <m/>
    <m/>
    <m/>
    <m/>
    <m/>
    <m/>
    <m/>
    <m/>
    <m/>
    <m/>
    <m/>
    <m/>
    <m/>
    <m/>
    <m/>
    <m/>
    <m/>
    <m/>
    <m/>
    <m/>
    <m/>
    <m/>
    <m/>
    <m/>
    <m/>
    <m/>
    <m/>
    <m/>
    <m/>
    <m/>
    <m/>
    <m/>
    <m/>
    <m/>
    <m/>
    <m/>
    <m/>
    <m/>
    <m/>
    <m/>
    <m/>
    <m/>
    <m/>
    <m/>
    <m/>
    <m/>
    <m/>
    <m/>
    <m/>
    <m/>
    <m/>
    <m/>
    <m/>
    <m/>
    <m/>
    <m/>
    <m/>
    <m/>
    <m/>
    <m/>
    <m/>
    <s v="I appreciated the update when my used item was received."/>
    <s v="I am bummed to have lost money on the lens, but I understand this is norm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4"/>
    <m/>
    <m/>
    <m/>
    <m/>
    <m/>
    <m/>
    <n v="3"/>
    <n v="4"/>
    <n v="4"/>
    <s v="N/A"/>
    <m/>
    <m/>
    <m/>
    <m/>
    <m/>
    <m/>
    <m/>
    <m/>
    <m/>
    <m/>
    <m/>
    <m/>
    <m/>
    <m/>
    <m/>
    <m/>
    <m/>
    <m/>
    <m/>
    <m/>
    <m/>
    <m/>
    <m/>
    <m/>
    <m/>
    <m/>
    <m/>
    <m/>
    <m/>
    <m/>
    <m/>
    <m/>
    <m/>
    <m/>
    <m/>
    <m/>
    <m/>
    <m/>
    <m/>
    <m/>
    <m/>
    <m/>
    <m/>
    <m/>
    <m/>
    <m/>
    <m/>
    <m/>
    <m/>
    <m/>
    <m/>
    <m/>
    <m/>
    <m/>
    <m/>
    <m/>
    <m/>
    <m/>
    <m/>
    <m/>
    <m/>
    <m/>
    <m/>
    <m/>
    <m/>
    <m/>
    <m/>
    <m/>
    <m/>
    <m/>
    <m/>
    <m/>
    <m/>
    <m/>
    <m/>
    <m/>
    <m/>
    <m/>
    <m/>
    <m/>
    <m/>
    <m/>
    <m/>
    <m/>
    <m/>
    <m/>
    <m/>
    <m/>
    <m/>
    <m/>
    <m/>
    <m/>
    <m/>
    <m/>
    <m/>
    <m/>
    <m/>
    <m/>
    <m/>
    <m/>
    <m/>
    <m/>
    <s v="Trade In &gt; Overall Process &gt;, Trade In &gt; Quote Price &gt;"/>
    <m/>
    <m/>
    <m/>
    <s v="Trade In &gt; Overall Process &gt; (Positive), Trade In &gt; Quote Price &gt; (Negative)"/>
    <s v="Yes"/>
    <s v="No"/>
    <m/>
    <x v="36"/>
    <x v="8"/>
    <x v="0"/>
    <m/>
    <x v="0"/>
    <x v="0"/>
  </r>
  <r>
    <s v="Joshua Shorter - Used Trade-In Product"/>
    <n v="10"/>
    <n v="5"/>
    <d v="2026-01-30T12:33:46"/>
    <n v="5171367"/>
    <s v="Used Trade-In Product"/>
    <m/>
    <s v="Joshua Shorter"/>
    <m/>
    <s v="joshuashorter333@gmail.com"/>
    <m/>
    <s v="Las Vegas;Nevada;89131"/>
    <m/>
    <m/>
    <s v="No"/>
    <m/>
    <m/>
    <s v="joshuashorter333@gmail.com"/>
    <m/>
    <m/>
    <m/>
    <m/>
    <m/>
    <m/>
    <m/>
    <m/>
    <m/>
    <d v="2026-02-02T11:49:05"/>
    <d v="2026-01-28T13:00:59"/>
    <m/>
    <s v="1131206"/>
    <m/>
    <m/>
    <m/>
    <m/>
    <m/>
    <m/>
    <m/>
    <m/>
    <m/>
    <m/>
    <m/>
    <m/>
    <m/>
    <m/>
    <m/>
    <m/>
    <m/>
    <m/>
    <m/>
    <m/>
    <m/>
    <m/>
    <s v="https://bnh.lightning.force.com/001WP00000nCUkaYAG"/>
    <m/>
    <m/>
    <m/>
    <m/>
    <m/>
    <m/>
    <m/>
    <m/>
    <m/>
    <m/>
    <m/>
    <m/>
    <m/>
    <m/>
    <m/>
    <m/>
    <m/>
    <m/>
    <m/>
    <m/>
    <m/>
    <m/>
    <m/>
    <m/>
    <m/>
    <m/>
    <m/>
    <m/>
    <m/>
    <m/>
    <m/>
    <m/>
    <m/>
    <m/>
    <m/>
    <m/>
    <m/>
    <m/>
    <s v="CAD"/>
    <m/>
    <s v="No"/>
    <s v="Nick Badame"/>
    <s v="Nick Badame"/>
    <d v="2026-01-30T12:34:24"/>
    <s v="Promoter"/>
    <s v="Closed"/>
    <m/>
    <m/>
    <s v="Yes"/>
    <m/>
    <m/>
    <m/>
    <m/>
    <m/>
    <m/>
    <m/>
    <m/>
    <m/>
    <m/>
    <m/>
    <m/>
    <m/>
    <m/>
    <m/>
    <m/>
    <s v="It was very straightforward, the price was very reasonable, and the time it took was minimal."/>
    <m/>
    <m/>
    <m/>
    <m/>
    <s v="N/A"/>
    <m/>
    <m/>
    <m/>
    <m/>
    <m/>
    <m/>
    <m/>
    <m/>
    <m/>
    <m/>
    <m/>
    <m/>
    <m/>
    <m/>
    <m/>
    <m/>
    <m/>
    <m/>
    <m/>
    <m/>
    <m/>
    <m/>
    <m/>
    <m/>
    <m/>
    <m/>
    <m/>
    <m/>
    <m/>
    <m/>
    <m/>
    <m/>
    <m/>
    <m/>
    <m/>
    <m/>
    <m/>
    <m/>
    <m/>
    <m/>
    <m/>
    <m/>
    <m/>
    <m/>
    <m/>
    <m/>
    <m/>
    <m/>
    <m/>
    <m/>
    <m/>
    <m/>
    <m/>
    <m/>
    <m/>
    <m/>
    <m/>
    <m/>
    <m/>
    <m/>
    <m/>
    <m/>
    <m/>
    <m/>
    <m/>
    <m/>
    <m/>
    <m/>
    <m/>
    <m/>
    <m/>
    <m/>
    <m/>
    <m/>
    <m/>
    <m/>
    <m/>
    <m/>
    <m/>
    <m/>
    <m/>
    <m/>
    <s v="It was very straightforward, the price was very reasonable, and the time it took was minimal."/>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Used &gt; Pricing &gt;"/>
    <s v="Trade In &gt; Overall Process &gt;, Trade In &gt; Quote Price &gt;"/>
    <m/>
    <m/>
    <s v="Pricing &gt; Value for Money &gt; (Positive), Used &gt; Pricing &gt; (Positive)"/>
    <s v="Trade In &gt; Overall Process &gt; (Positive), Trade In &gt; Quote Price &gt; (Positive)"/>
    <s v="Yes"/>
    <s v="No"/>
    <m/>
    <x v="5"/>
    <x v="6"/>
    <x v="0"/>
    <m/>
    <x v="0"/>
    <x v="0"/>
  </r>
  <r>
    <s v="Nancy L Campbell - Used Trade-In Product"/>
    <n v="10"/>
    <n v="4"/>
    <d v="2026-01-30T12:04:47"/>
    <n v="5171228"/>
    <s v="Used Trade-In Product"/>
    <m/>
    <s v="Nancy L Campbell"/>
    <m/>
    <s v="nlcmd@earthlink.net"/>
    <m/>
    <s v="Southport;North Carolina;28461"/>
    <s v="Southport;North Carolina;28461"/>
    <s v="17 years 8 months"/>
    <s v="Yes"/>
    <m/>
    <m/>
    <s v="nlcmd@earthlink.net"/>
    <s v="212"/>
    <m/>
    <m/>
    <m/>
    <m/>
    <m/>
    <m/>
    <m/>
    <m/>
    <d v="2026-02-02T13:43:49"/>
    <d v="2026-01-30T12:47:12"/>
    <m/>
    <s v="1134262"/>
    <m/>
    <m/>
    <m/>
    <m/>
    <m/>
    <m/>
    <m/>
    <m/>
    <m/>
    <m/>
    <m/>
    <m/>
    <m/>
    <m/>
    <m/>
    <m/>
    <m/>
    <m/>
    <m/>
    <m/>
    <m/>
    <m/>
    <s v="https://bnh.lightning.force.com/001WP00000oeMlDYAU"/>
    <m/>
    <m/>
    <m/>
    <m/>
    <m/>
    <m/>
    <m/>
    <m/>
    <m/>
    <m/>
    <m/>
    <m/>
    <m/>
    <m/>
    <m/>
    <m/>
    <m/>
    <m/>
    <m/>
    <m/>
    <m/>
    <m/>
    <m/>
    <m/>
    <m/>
    <m/>
    <m/>
    <m/>
    <m/>
    <m/>
    <m/>
    <m/>
    <m/>
    <m/>
    <m/>
    <m/>
    <m/>
    <m/>
    <s v="CAD"/>
    <m/>
    <s v="No"/>
    <s v="Nick Badame,Avraham Schwartz,Reina Caba"/>
    <s v="Reina Caba"/>
    <d v="2026-01-30T12:03:54"/>
    <s v="Promoter"/>
    <s v="Closed"/>
    <d v="2026-02-02T13:43:39"/>
    <s v="Reina Caba (reinac@bhphoto.com)"/>
    <s v="Yes"/>
    <m/>
    <m/>
    <m/>
    <m/>
    <m/>
    <m/>
    <m/>
    <m/>
    <m/>
    <m/>
    <m/>
    <m/>
    <m/>
    <m/>
    <m/>
    <m/>
    <m/>
    <m/>
    <m/>
    <m/>
    <m/>
    <s v="No refund for quality UV lenses purchased from you, and would have hoped for more for my essentially unused equipment.  But, it is what it is…"/>
    <m/>
    <m/>
    <m/>
    <m/>
    <m/>
    <m/>
    <m/>
    <m/>
    <m/>
    <m/>
    <m/>
    <m/>
    <m/>
    <m/>
    <m/>
    <m/>
    <m/>
    <m/>
    <m/>
    <m/>
    <m/>
    <m/>
    <m/>
    <m/>
    <m/>
    <m/>
    <m/>
    <m/>
    <m/>
    <m/>
    <m/>
    <m/>
    <m/>
    <m/>
    <m/>
    <m/>
    <m/>
    <m/>
    <m/>
    <m/>
    <m/>
    <m/>
    <m/>
    <m/>
    <m/>
    <m/>
    <m/>
    <m/>
    <m/>
    <m/>
    <m/>
    <m/>
    <m/>
    <m/>
    <m/>
    <m/>
    <m/>
    <m/>
    <m/>
    <m/>
    <m/>
    <m/>
    <m/>
    <m/>
    <m/>
    <m/>
    <m/>
    <m/>
    <m/>
    <m/>
    <m/>
    <m/>
    <m/>
    <m/>
    <m/>
    <m/>
    <m/>
    <m/>
    <m/>
    <m/>
    <m/>
    <m/>
    <m/>
    <s v="No refund for quality UV lenses purchased from you, and would have hoped for more for my essentially unused equipment.  But, it is what it i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ricing &gt; Refund &gt;"/>
    <s v="Trade In &gt; Quote Price &gt;"/>
    <m/>
    <m/>
    <s v="Pricing &gt; Refund &gt; (Negative)"/>
    <s v="Trade In &gt; Quote Price &gt; (Negative)"/>
    <s v="Yes"/>
    <s v="No"/>
    <m/>
    <x v="29"/>
    <x v="0"/>
    <x v="0"/>
    <m/>
    <x v="0"/>
    <x v="0"/>
  </r>
  <r>
    <s v="Thomas Heim - Used Trade-In Product"/>
    <n v="10"/>
    <n v="5"/>
    <d v="2026-01-30T11:19:45"/>
    <n v="5171091"/>
    <s v="Used Trade-In Product"/>
    <m/>
    <s v="Thomas Heim"/>
    <m/>
    <s v="theim33@icloud.com"/>
    <m/>
    <s v="Westborough;Massachusetts;01581"/>
    <s v="Westborough;Massachusetts;01581"/>
    <s v="22 years 3 months"/>
    <s v="Yes"/>
    <m/>
    <m/>
    <s v="theim33@icloud.com"/>
    <s v="267"/>
    <m/>
    <m/>
    <m/>
    <m/>
    <m/>
    <m/>
    <m/>
    <m/>
    <d v="2026-02-02T12:30:11"/>
    <d v="2026-01-30T12:46:42"/>
    <m/>
    <s v="1137634"/>
    <m/>
    <m/>
    <m/>
    <m/>
    <m/>
    <m/>
    <m/>
    <m/>
    <m/>
    <m/>
    <m/>
    <m/>
    <m/>
    <m/>
    <m/>
    <m/>
    <m/>
    <m/>
    <m/>
    <m/>
    <m/>
    <m/>
    <s v="https://bnh.lightning.force.com/001Hs00004m6Z2YIAU"/>
    <m/>
    <m/>
    <m/>
    <m/>
    <m/>
    <m/>
    <m/>
    <m/>
    <m/>
    <m/>
    <m/>
    <m/>
    <m/>
    <m/>
    <m/>
    <m/>
    <m/>
    <m/>
    <m/>
    <m/>
    <m/>
    <m/>
    <m/>
    <m/>
    <m/>
    <m/>
    <m/>
    <m/>
    <m/>
    <m/>
    <m/>
    <m/>
    <m/>
    <m/>
    <m/>
    <m/>
    <m/>
    <m/>
    <s v="CAD"/>
    <m/>
    <s v="No"/>
    <s v="Nick Badame"/>
    <s v="Nick Badame"/>
    <d v="2026-01-30T11:17:09"/>
    <s v="Promoter"/>
    <s v="Closed"/>
    <m/>
    <m/>
    <s v="Yes"/>
    <m/>
    <m/>
    <m/>
    <m/>
    <m/>
    <m/>
    <m/>
    <m/>
    <m/>
    <m/>
    <m/>
    <m/>
    <m/>
    <m/>
    <m/>
    <m/>
    <s v="B&amp;H continues to set high standards which all retailers should strive for.  Highly efficient and a very professional staff who are very pleasant to deal with."/>
    <m/>
    <m/>
    <m/>
    <m/>
    <s v="Nothing"/>
    <m/>
    <m/>
    <m/>
    <m/>
    <m/>
    <m/>
    <m/>
    <m/>
    <m/>
    <m/>
    <m/>
    <m/>
    <m/>
    <m/>
    <m/>
    <m/>
    <m/>
    <m/>
    <m/>
    <m/>
    <m/>
    <m/>
    <m/>
    <m/>
    <m/>
    <m/>
    <m/>
    <m/>
    <m/>
    <m/>
    <m/>
    <m/>
    <m/>
    <m/>
    <m/>
    <m/>
    <m/>
    <m/>
    <m/>
    <m/>
    <m/>
    <m/>
    <m/>
    <m/>
    <m/>
    <m/>
    <m/>
    <m/>
    <m/>
    <m/>
    <m/>
    <m/>
    <m/>
    <m/>
    <m/>
    <m/>
    <m/>
    <m/>
    <m/>
    <m/>
    <m/>
    <m/>
    <m/>
    <m/>
    <m/>
    <m/>
    <m/>
    <m/>
    <m/>
    <m/>
    <m/>
    <m/>
    <m/>
    <m/>
    <m/>
    <m/>
    <m/>
    <m/>
    <m/>
    <m/>
    <m/>
    <m/>
    <s v="B&amp;H continues to set high standards which all retailers should strive for.  Highly efficient and a very professional staff who are very pleasant to deal with."/>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Courtesy / Professional &gt;, People &gt; Knowledge / Recommend &gt;"/>
    <s v="B&amp;H &gt; Satisfaction &gt;, People &gt; Courtesy / Professional &gt;"/>
    <m/>
    <s v="NEUTRAL"/>
    <s v="People &gt; Courtesy / Professional &gt; (Positive), People &gt; Knowledge / Recommend &gt; (Positive)"/>
    <s v="B&amp;H &gt; Satisfaction &gt; (Positive), People &gt; Courtesy / Professional &gt; (Positive)"/>
    <s v="Yes"/>
    <s v="No"/>
    <m/>
    <x v="34"/>
    <x v="24"/>
    <x v="0"/>
    <m/>
    <x v="0"/>
    <x v="0"/>
  </r>
  <r>
    <s v="Suzanne Wisher - Used Trade-In Product"/>
    <n v="10"/>
    <n v="5"/>
    <d v="2026-01-30T11:18:40"/>
    <n v="5171100"/>
    <s v="Used Trade-In Product"/>
    <m/>
    <s v="Suzanne Wisher"/>
    <m/>
    <s v="swisher65@gmail.com"/>
    <m/>
    <s v="West Hartford;Connecticut;06119"/>
    <s v="West Hartford;Connecticut;06119"/>
    <s v="1 years 10 months"/>
    <s v="No"/>
    <m/>
    <m/>
    <s v="swisher65@gmail.com"/>
    <s v="22"/>
    <m/>
    <m/>
    <m/>
    <m/>
    <m/>
    <m/>
    <m/>
    <m/>
    <d v="2026-02-02T12:06:30"/>
    <d v="2026-01-30T12:48:31"/>
    <m/>
    <s v="1137050"/>
    <m/>
    <m/>
    <m/>
    <m/>
    <m/>
    <m/>
    <m/>
    <m/>
    <m/>
    <m/>
    <m/>
    <m/>
    <m/>
    <m/>
    <m/>
    <m/>
    <m/>
    <m/>
    <m/>
    <m/>
    <m/>
    <m/>
    <s v="https://bnh.lightning.force.com/0018X00003OSTBKQA5"/>
    <m/>
    <m/>
    <m/>
    <m/>
    <m/>
    <m/>
    <m/>
    <m/>
    <m/>
    <m/>
    <m/>
    <m/>
    <m/>
    <m/>
    <m/>
    <m/>
    <m/>
    <m/>
    <m/>
    <m/>
    <m/>
    <m/>
    <m/>
    <m/>
    <m/>
    <m/>
    <m/>
    <m/>
    <m/>
    <m/>
    <m/>
    <m/>
    <m/>
    <m/>
    <m/>
    <m/>
    <m/>
    <m/>
    <s v="CAD"/>
    <m/>
    <s v="No"/>
    <s v="Nick Badame"/>
    <s v="Nick Badame"/>
    <d v="2026-01-30T11:18:56"/>
    <s v="Promoter"/>
    <s v="Closed"/>
    <m/>
    <m/>
    <s v="Yes"/>
    <m/>
    <m/>
    <m/>
    <m/>
    <m/>
    <m/>
    <m/>
    <m/>
    <m/>
    <m/>
    <m/>
    <m/>
    <m/>
    <m/>
    <m/>
    <m/>
    <s v="The ease of sending in used items and getting a decent return for them!"/>
    <m/>
    <m/>
    <m/>
    <m/>
    <s v="Nothing as usual"/>
    <m/>
    <m/>
    <m/>
    <m/>
    <m/>
    <m/>
    <m/>
    <m/>
    <m/>
    <m/>
    <m/>
    <m/>
    <m/>
    <m/>
    <m/>
    <m/>
    <m/>
    <m/>
    <m/>
    <m/>
    <m/>
    <m/>
    <m/>
    <m/>
    <m/>
    <m/>
    <m/>
    <m/>
    <m/>
    <m/>
    <m/>
    <m/>
    <m/>
    <m/>
    <m/>
    <m/>
    <m/>
    <m/>
    <m/>
    <m/>
    <m/>
    <m/>
    <m/>
    <m/>
    <m/>
    <m/>
    <m/>
    <m/>
    <m/>
    <m/>
    <m/>
    <m/>
    <m/>
    <m/>
    <m/>
    <m/>
    <m/>
    <m/>
    <m/>
    <m/>
    <m/>
    <m/>
    <m/>
    <m/>
    <m/>
    <m/>
    <m/>
    <m/>
    <m/>
    <m/>
    <m/>
    <m/>
    <m/>
    <m/>
    <m/>
    <m/>
    <m/>
    <m/>
    <m/>
    <m/>
    <m/>
    <m/>
    <s v="The ease of sending in used items and getting a decent return for them!"/>
    <s v="Nothing as usu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21"/>
    <x v="0"/>
    <x v="0"/>
    <m/>
    <x v="0"/>
    <x v="0"/>
  </r>
  <r>
    <s v="Steven Paschen - Used Trade-In Product"/>
    <n v="10"/>
    <n v="5"/>
    <d v="2026-01-30T01:01:38"/>
    <n v="5170383"/>
    <s v="Used Trade-In Product"/>
    <m/>
    <s v="Steven Paschen"/>
    <m/>
    <s v="paschen@paschen.org"/>
    <m/>
    <s v="Port Charlotte;Florida;33953"/>
    <m/>
    <s v="7 years 9 months"/>
    <s v="No"/>
    <m/>
    <m/>
    <s v="paschen@paschen.org"/>
    <s v="93"/>
    <m/>
    <m/>
    <m/>
    <m/>
    <m/>
    <m/>
    <m/>
    <m/>
    <d v="2026-01-30T12:13:33"/>
    <d v="2026-01-29T12:46:00"/>
    <m/>
    <s v="1135965"/>
    <m/>
    <m/>
    <m/>
    <m/>
    <m/>
    <m/>
    <m/>
    <m/>
    <m/>
    <m/>
    <m/>
    <m/>
    <m/>
    <m/>
    <m/>
    <m/>
    <m/>
    <m/>
    <m/>
    <m/>
    <m/>
    <m/>
    <s v="https://bnh.lightning.force.com/001WP00000pXPVkYAO"/>
    <m/>
    <m/>
    <m/>
    <m/>
    <m/>
    <m/>
    <m/>
    <m/>
    <m/>
    <m/>
    <m/>
    <m/>
    <m/>
    <m/>
    <m/>
    <m/>
    <m/>
    <m/>
    <m/>
    <m/>
    <m/>
    <m/>
    <m/>
    <m/>
    <m/>
    <m/>
    <m/>
    <m/>
    <m/>
    <m/>
    <m/>
    <m/>
    <m/>
    <m/>
    <m/>
    <m/>
    <m/>
    <m/>
    <s v="CAD"/>
    <m/>
    <s v="No"/>
    <s v="Gershon Orenstein,Sergio Jonusas,Aine Hoye"/>
    <s v="Aine Hoye"/>
    <d v="2026-01-30T01:01:23"/>
    <s v="Promoter"/>
    <s v="Closed"/>
    <m/>
    <m/>
    <s v="Yes"/>
    <m/>
    <m/>
    <m/>
    <m/>
    <m/>
    <m/>
    <m/>
    <m/>
    <m/>
    <m/>
    <m/>
    <m/>
    <m/>
    <m/>
    <m/>
    <m/>
    <s v="Very simple and straightforward"/>
    <m/>
    <m/>
    <m/>
    <m/>
    <s v="nothing here"/>
    <m/>
    <m/>
    <m/>
    <m/>
    <m/>
    <m/>
    <m/>
    <m/>
    <m/>
    <m/>
    <m/>
    <m/>
    <m/>
    <m/>
    <m/>
    <m/>
    <m/>
    <m/>
    <m/>
    <m/>
    <m/>
    <m/>
    <m/>
    <m/>
    <m/>
    <m/>
    <m/>
    <m/>
    <m/>
    <m/>
    <m/>
    <m/>
    <m/>
    <m/>
    <m/>
    <m/>
    <m/>
    <m/>
    <m/>
    <m/>
    <m/>
    <m/>
    <m/>
    <m/>
    <m/>
    <m/>
    <m/>
    <m/>
    <m/>
    <m/>
    <m/>
    <m/>
    <m/>
    <m/>
    <m/>
    <m/>
    <m/>
    <m/>
    <m/>
    <m/>
    <m/>
    <m/>
    <m/>
    <m/>
    <m/>
    <m/>
    <m/>
    <m/>
    <m/>
    <m/>
    <m/>
    <m/>
    <m/>
    <m/>
    <m/>
    <m/>
    <m/>
    <m/>
    <m/>
    <m/>
    <m/>
    <m/>
    <s v="Very simple and straightforward"/>
    <s v="nothing he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5"/>
    <x v="0"/>
    <x v="0"/>
    <m/>
    <x v="0"/>
    <x v="0"/>
  </r>
  <r>
    <s v="David Machek - Used Trade-In Product"/>
    <n v="10"/>
    <n v="5"/>
    <d v="2026-01-29T23:38:07"/>
    <n v="5170330"/>
    <s v="Used Trade-In Product"/>
    <m/>
    <s v="David Machek"/>
    <m/>
    <s v="dmachek@yahoo.com"/>
    <m/>
    <s v="Bloomington;Illinois;61704"/>
    <m/>
    <m/>
    <s v="No"/>
    <m/>
    <m/>
    <s v="dmachek@yahoo.com"/>
    <m/>
    <m/>
    <m/>
    <m/>
    <m/>
    <m/>
    <m/>
    <m/>
    <m/>
    <d v="2026-01-30T12:11:48"/>
    <d v="2026-01-29T12:46:46"/>
    <m/>
    <s v="1135593"/>
    <m/>
    <m/>
    <m/>
    <m/>
    <m/>
    <m/>
    <m/>
    <m/>
    <m/>
    <m/>
    <m/>
    <m/>
    <m/>
    <m/>
    <m/>
    <m/>
    <m/>
    <m/>
    <m/>
    <m/>
    <m/>
    <m/>
    <s v="https://bnh.lightning.force.com/001WP00000pK4mxYAC"/>
    <m/>
    <m/>
    <m/>
    <m/>
    <m/>
    <m/>
    <m/>
    <m/>
    <m/>
    <m/>
    <m/>
    <m/>
    <m/>
    <m/>
    <m/>
    <m/>
    <m/>
    <m/>
    <m/>
    <m/>
    <m/>
    <m/>
    <m/>
    <m/>
    <m/>
    <m/>
    <m/>
    <m/>
    <m/>
    <m/>
    <m/>
    <m/>
    <m/>
    <m/>
    <m/>
    <m/>
    <m/>
    <m/>
    <s v="CAD"/>
    <m/>
    <s v="No"/>
    <s v="Gershon Orenstein,Sergio Jonusas,Aine Hoye"/>
    <s v="Aine Hoye"/>
    <d v="2026-01-29T23:36:26"/>
    <s v="Promoter"/>
    <s v="Closed"/>
    <m/>
    <m/>
    <s v="Yes"/>
    <m/>
    <m/>
    <m/>
    <m/>
    <m/>
    <m/>
    <m/>
    <m/>
    <m/>
    <m/>
    <m/>
    <m/>
    <m/>
    <m/>
    <m/>
    <m/>
    <s v="Quote was a fair price. It was easy to ship to you and email noticed once you received my gear and payment in hand within two weeks!! Very happy thank you"/>
    <m/>
    <m/>
    <m/>
    <m/>
    <s v="Nothing everything was straight forward!"/>
    <m/>
    <m/>
    <m/>
    <m/>
    <m/>
    <m/>
    <m/>
    <m/>
    <m/>
    <m/>
    <m/>
    <m/>
    <m/>
    <m/>
    <m/>
    <m/>
    <m/>
    <m/>
    <m/>
    <m/>
    <m/>
    <m/>
    <m/>
    <m/>
    <m/>
    <m/>
    <m/>
    <m/>
    <m/>
    <m/>
    <m/>
    <m/>
    <m/>
    <m/>
    <m/>
    <m/>
    <m/>
    <m/>
    <m/>
    <m/>
    <m/>
    <m/>
    <m/>
    <m/>
    <m/>
    <m/>
    <m/>
    <m/>
    <m/>
    <m/>
    <m/>
    <m/>
    <m/>
    <m/>
    <m/>
    <m/>
    <m/>
    <m/>
    <m/>
    <m/>
    <m/>
    <m/>
    <m/>
    <m/>
    <m/>
    <m/>
    <m/>
    <m/>
    <m/>
    <m/>
    <m/>
    <m/>
    <m/>
    <m/>
    <m/>
    <m/>
    <m/>
    <m/>
    <m/>
    <m/>
    <m/>
    <m/>
    <s v="Quote was a fair price. It was easy to ship to you and email noticed once you received my gear and payment in hand within two weeks!! Very happy thank you"/>
    <s v="Nothing everything was straight forwar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Trade In &gt; Timeliness of Payment &gt;"/>
    <m/>
    <m/>
    <s v="Pricing &gt; Value for Money &gt; (Positive), Trade In &gt; Quote Price &gt; (Positive), Used &gt; Pricing &gt; (Positive)"/>
    <s v="Trade In &gt; Overall Process &gt; (Positive), Trade In &gt; Quote Price &gt; (Positive), Trade In &gt; Timeliness of Payment &gt; (Positive)"/>
    <s v="Yes"/>
    <s v="No"/>
    <m/>
    <x v="21"/>
    <x v="15"/>
    <x v="18"/>
    <s v="Fast payment"/>
    <x v="0"/>
    <x v="0"/>
  </r>
  <r>
    <s v="Steven Sirois - Used Trade-In Product"/>
    <n v="10"/>
    <n v="5"/>
    <d v="2026-01-29T17:52:16"/>
    <n v="5169798"/>
    <s v="Used Trade-In Product"/>
    <m/>
    <s v="Steven Sirois"/>
    <m/>
    <s v="sirois72@gmail.com"/>
    <m/>
    <s v="Kansas City;Missouri;64154"/>
    <s v="Kansas City;Missouri;64154"/>
    <s v="1 months"/>
    <s v="No"/>
    <m/>
    <m/>
    <s v="sirois72@gmail.com"/>
    <s v="1"/>
    <m/>
    <m/>
    <m/>
    <m/>
    <m/>
    <m/>
    <m/>
    <m/>
    <d v="2026-01-30T08:13:02"/>
    <d v="2026-01-29T19:25:05"/>
    <m/>
    <s v="1137794"/>
    <m/>
    <m/>
    <m/>
    <m/>
    <m/>
    <m/>
    <m/>
    <m/>
    <m/>
    <m/>
    <m/>
    <m/>
    <m/>
    <m/>
    <m/>
    <m/>
    <m/>
    <m/>
    <m/>
    <m/>
    <m/>
    <m/>
    <s v="https://bnh.lightning.force.com/001WP00000ndK69YAE"/>
    <m/>
    <m/>
    <m/>
    <m/>
    <m/>
    <m/>
    <m/>
    <m/>
    <m/>
    <m/>
    <m/>
    <m/>
    <m/>
    <m/>
    <m/>
    <m/>
    <m/>
    <m/>
    <m/>
    <m/>
    <m/>
    <m/>
    <m/>
    <m/>
    <m/>
    <m/>
    <m/>
    <m/>
    <m/>
    <m/>
    <m/>
    <m/>
    <m/>
    <m/>
    <m/>
    <m/>
    <m/>
    <m/>
    <s v="CAD"/>
    <m/>
    <s v="No"/>
    <s v="Sergio Jonusas"/>
    <s v="Sergio Jonusas"/>
    <d v="2026-01-29T17:51:40"/>
    <s v="Promoter"/>
    <s v="Closed"/>
    <m/>
    <m/>
    <s v="Yes"/>
    <m/>
    <m/>
    <m/>
    <m/>
    <m/>
    <m/>
    <m/>
    <m/>
    <m/>
    <m/>
    <m/>
    <m/>
    <m/>
    <m/>
    <m/>
    <m/>
    <s v="Your store is very easy to deal with, fast response, good service"/>
    <m/>
    <m/>
    <m/>
    <m/>
    <s v="NA"/>
    <m/>
    <m/>
    <m/>
    <m/>
    <m/>
    <m/>
    <m/>
    <m/>
    <m/>
    <m/>
    <m/>
    <m/>
    <m/>
    <m/>
    <m/>
    <m/>
    <m/>
    <m/>
    <m/>
    <m/>
    <m/>
    <m/>
    <m/>
    <m/>
    <m/>
    <m/>
    <m/>
    <m/>
    <m/>
    <m/>
    <m/>
    <m/>
    <m/>
    <m/>
    <m/>
    <m/>
    <m/>
    <m/>
    <m/>
    <m/>
    <m/>
    <m/>
    <m/>
    <m/>
    <m/>
    <m/>
    <m/>
    <m/>
    <m/>
    <m/>
    <m/>
    <m/>
    <m/>
    <m/>
    <m/>
    <m/>
    <m/>
    <m/>
    <m/>
    <m/>
    <m/>
    <m/>
    <m/>
    <m/>
    <m/>
    <m/>
    <m/>
    <m/>
    <m/>
    <m/>
    <m/>
    <m/>
    <m/>
    <m/>
    <m/>
    <m/>
    <m/>
    <m/>
    <m/>
    <m/>
    <m/>
    <m/>
    <s v="Your store is very easy to deal with, fast response, good servic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Trade In &gt; Overall Process &gt;"/>
    <m/>
    <m/>
    <m/>
    <s v="B&amp;H &gt; Satisfaction &gt; (Positive), Trade In &gt; Overall Process &gt; (Positive)"/>
    <s v="Yes"/>
    <s v="No"/>
    <m/>
    <x v="21"/>
    <x v="21"/>
    <x v="10"/>
    <m/>
    <x v="0"/>
    <x v="0"/>
  </r>
  <r>
    <s v="Johanna Heidorn - Used Trade-In Product"/>
    <n v="10"/>
    <n v="5"/>
    <d v="2026-01-29T17:36:27"/>
    <n v="5169766"/>
    <s v="Used Trade-In Product"/>
    <m/>
    <s v="Johanna Heidorn"/>
    <m/>
    <s v="jheidorn@umn.edu"/>
    <m/>
    <s v="Burnsville;Minnesota;55337"/>
    <m/>
    <m/>
    <s v="No"/>
    <m/>
    <m/>
    <s v="jheidorn@umn.edu"/>
    <m/>
    <m/>
    <m/>
    <m/>
    <m/>
    <m/>
    <m/>
    <m/>
    <m/>
    <d v="2026-01-30T08:09:20"/>
    <d v="2026-01-29T19:24:40"/>
    <m/>
    <s v="1134931"/>
    <m/>
    <m/>
    <m/>
    <m/>
    <m/>
    <m/>
    <m/>
    <m/>
    <m/>
    <m/>
    <m/>
    <m/>
    <m/>
    <m/>
    <m/>
    <m/>
    <m/>
    <m/>
    <m/>
    <m/>
    <m/>
    <m/>
    <s v="https://bnh.lightning.force.com/001WP00000ovdKcYAI"/>
    <m/>
    <m/>
    <m/>
    <m/>
    <m/>
    <m/>
    <m/>
    <m/>
    <m/>
    <m/>
    <m/>
    <m/>
    <m/>
    <m/>
    <m/>
    <m/>
    <m/>
    <m/>
    <m/>
    <m/>
    <m/>
    <m/>
    <m/>
    <m/>
    <m/>
    <m/>
    <m/>
    <m/>
    <m/>
    <m/>
    <m/>
    <m/>
    <m/>
    <m/>
    <m/>
    <m/>
    <m/>
    <m/>
    <s v="CAD"/>
    <m/>
    <s v="No"/>
    <s v="Zane Bohnert"/>
    <s v="Zane Bohnert"/>
    <d v="2026-01-29T17:32:15"/>
    <s v="Promoter"/>
    <s v="Closed"/>
    <m/>
    <m/>
    <s v="Yes"/>
    <m/>
    <m/>
    <m/>
    <m/>
    <m/>
    <m/>
    <m/>
    <m/>
    <m/>
    <m/>
    <m/>
    <m/>
    <m/>
    <m/>
    <m/>
    <m/>
    <s v="I have trusted B &amp; H for over a decade and have never been disappointed. They continue to prove themselves with great and efficient service. I will continue to shop and trade in gear because I receive fair quotes and pricing and always walk away a happy customer. Thanks for making it easy!"/>
    <m/>
    <m/>
    <m/>
    <m/>
    <s v="I have nothing bad to say about my experience."/>
    <m/>
    <m/>
    <m/>
    <m/>
    <m/>
    <m/>
    <m/>
    <m/>
    <m/>
    <m/>
    <m/>
    <m/>
    <m/>
    <m/>
    <m/>
    <m/>
    <m/>
    <m/>
    <m/>
    <m/>
    <m/>
    <m/>
    <m/>
    <m/>
    <m/>
    <m/>
    <m/>
    <m/>
    <m/>
    <m/>
    <m/>
    <m/>
    <m/>
    <m/>
    <m/>
    <m/>
    <m/>
    <m/>
    <m/>
    <m/>
    <m/>
    <m/>
    <m/>
    <m/>
    <m/>
    <m/>
    <m/>
    <m/>
    <m/>
    <m/>
    <m/>
    <m/>
    <m/>
    <m/>
    <m/>
    <m/>
    <m/>
    <m/>
    <m/>
    <m/>
    <m/>
    <m/>
    <m/>
    <m/>
    <m/>
    <m/>
    <m/>
    <m/>
    <m/>
    <m/>
    <m/>
    <m/>
    <m/>
    <m/>
    <m/>
    <m/>
    <m/>
    <m/>
    <m/>
    <m/>
    <m/>
    <m/>
    <s v="I have trusted B &amp; H for over a decade and have never been disappointed. They continue to prove themselves with great and efficient service. I will continue to shop and trade in gear because I receive fair quotes and pricing and always walk away a happy customer. Thanks for making it easy!"/>
    <s v="I have nothing bad to say about my experie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Trade In &gt; Overall Process &gt;, Trade In &gt; Quote Price &gt;, Used &gt; Pricing &gt;"/>
    <s v="B&amp;H &gt; Loyalty &gt;, B&amp;H &gt; Reliable / Trustworthy &gt;, B&amp;H &gt; Satisfaction &gt;, Pricing &gt; Value for Money &gt;, Trade In &gt; Overall Process &gt;, Trade In &gt; Quote Price &gt;"/>
    <m/>
    <m/>
    <s v="B&amp;H &gt; Reliable / Trustworthy &gt; (Positive), Trade In &gt; Overall Process &gt; (Positive), Trade In &gt; Quote Price &gt; (Positive), Used &gt; Pricing &gt; (Positive)"/>
    <s v="B&amp;H &gt; Loyalty &gt; (Positive), B&amp;H &gt; Reliable / Trustworthy &gt; (Positive), B&amp;H &gt; Satisfaction &gt; (Positive), Pricing &gt; Value for Money &gt; (Positive), Trade In &gt; Overall Process &gt; (Positive), Trade In &gt; Quote Price &gt; (Positive)"/>
    <s v="Yes"/>
    <s v="No"/>
    <m/>
    <x v="17"/>
    <x v="0"/>
    <x v="0"/>
    <m/>
    <x v="0"/>
    <x v="0"/>
  </r>
  <r>
    <s v="Lori Mitchell - Used Trade-In Product"/>
    <n v="10"/>
    <n v="5"/>
    <d v="2026-01-29T16:36:26"/>
    <n v="5169649"/>
    <s v="Used Trade-In Product"/>
    <m/>
    <s v="Lori Mitchell"/>
    <m/>
    <s v="ldm58@yahoo.com"/>
    <m/>
    <s v="Leander;Texas;78641"/>
    <m/>
    <m/>
    <s v="No"/>
    <m/>
    <m/>
    <s v="ldm58@yahoo.com"/>
    <m/>
    <m/>
    <m/>
    <m/>
    <m/>
    <m/>
    <m/>
    <m/>
    <m/>
    <d v="2026-01-30T08:08:19"/>
    <d v="2026-01-29T17:22:34"/>
    <m/>
    <s v="1138575"/>
    <m/>
    <m/>
    <m/>
    <m/>
    <m/>
    <m/>
    <m/>
    <m/>
    <m/>
    <m/>
    <m/>
    <m/>
    <m/>
    <m/>
    <m/>
    <m/>
    <m/>
    <m/>
    <m/>
    <m/>
    <m/>
    <m/>
    <s v="https://bnh.lightning.force.com/001WP00000r1MRWYA2"/>
    <m/>
    <m/>
    <m/>
    <m/>
    <m/>
    <m/>
    <m/>
    <m/>
    <m/>
    <m/>
    <m/>
    <m/>
    <m/>
    <m/>
    <m/>
    <m/>
    <m/>
    <m/>
    <m/>
    <m/>
    <m/>
    <m/>
    <m/>
    <m/>
    <m/>
    <m/>
    <m/>
    <m/>
    <m/>
    <m/>
    <m/>
    <m/>
    <m/>
    <m/>
    <m/>
    <m/>
    <m/>
    <m/>
    <s v="CAD"/>
    <m/>
    <s v="No"/>
    <s v="Aine Hoye"/>
    <s v="Aine Hoye"/>
    <d v="2026-01-29T16:37:07"/>
    <s v="Promoter"/>
    <s v="Closed"/>
    <m/>
    <m/>
    <s v="Yes"/>
    <m/>
    <m/>
    <m/>
    <m/>
    <m/>
    <m/>
    <m/>
    <m/>
    <m/>
    <m/>
    <m/>
    <m/>
    <m/>
    <m/>
    <m/>
    <m/>
    <s v="The ease is submitting."/>
    <m/>
    <m/>
    <m/>
    <m/>
    <m/>
    <m/>
    <m/>
    <m/>
    <m/>
    <m/>
    <m/>
    <m/>
    <m/>
    <m/>
    <m/>
    <m/>
    <m/>
    <m/>
    <m/>
    <m/>
    <m/>
    <m/>
    <m/>
    <m/>
    <m/>
    <m/>
    <m/>
    <m/>
    <m/>
    <m/>
    <m/>
    <m/>
    <m/>
    <m/>
    <m/>
    <m/>
    <m/>
    <m/>
    <m/>
    <m/>
    <m/>
    <m/>
    <m/>
    <m/>
    <m/>
    <m/>
    <m/>
    <m/>
    <m/>
    <m/>
    <m/>
    <m/>
    <m/>
    <m/>
    <m/>
    <m/>
    <m/>
    <m/>
    <m/>
    <m/>
    <m/>
    <m/>
    <m/>
    <m/>
    <m/>
    <m/>
    <m/>
    <m/>
    <m/>
    <m/>
    <m/>
    <m/>
    <m/>
    <m/>
    <m/>
    <m/>
    <m/>
    <m/>
    <m/>
    <m/>
    <m/>
    <m/>
    <m/>
    <m/>
    <m/>
    <m/>
    <m/>
    <s v="The ease is submitt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23"/>
    <x v="0"/>
    <x v="0"/>
    <m/>
    <x v="0"/>
    <x v="0"/>
  </r>
  <r>
    <s v="Katherine Hidalgo - Used Trade-In Product"/>
    <n v="10"/>
    <n v="5"/>
    <d v="2026-01-29T13:58:59"/>
    <n v="5169280"/>
    <s v="Used Trade-In Product"/>
    <m/>
    <s v="Katherine Hidalgo"/>
    <m/>
    <s v="kat_hidalgo@yahoo.com"/>
    <m/>
    <s v="Leander;Texas;78641"/>
    <s v="Leander;Texas;78641"/>
    <s v="21 years 2 months"/>
    <s v="Yes"/>
    <m/>
    <m/>
    <s v="kat_hidalgo@yahoo.com"/>
    <s v="254"/>
    <m/>
    <m/>
    <m/>
    <m/>
    <m/>
    <m/>
    <m/>
    <m/>
    <d v="2026-01-30T07:58:34"/>
    <d v="2026-01-29T16:20:00"/>
    <m/>
    <s v="1135473"/>
    <m/>
    <m/>
    <m/>
    <m/>
    <m/>
    <m/>
    <m/>
    <m/>
    <m/>
    <m/>
    <m/>
    <m/>
    <m/>
    <m/>
    <m/>
    <m/>
    <m/>
    <m/>
    <m/>
    <m/>
    <m/>
    <m/>
    <s v="https://bnh.lightning.force.com/0012L00000tuF7RQAU"/>
    <m/>
    <m/>
    <m/>
    <m/>
    <m/>
    <m/>
    <m/>
    <m/>
    <m/>
    <m/>
    <m/>
    <m/>
    <m/>
    <m/>
    <m/>
    <m/>
    <m/>
    <m/>
    <m/>
    <m/>
    <m/>
    <m/>
    <m/>
    <m/>
    <m/>
    <m/>
    <m/>
    <m/>
    <m/>
    <m/>
    <m/>
    <m/>
    <m/>
    <m/>
    <m/>
    <m/>
    <m/>
    <m/>
    <s v="CAD"/>
    <m/>
    <s v="No"/>
    <s v="Zane Bohnert"/>
    <s v="Zane Bohnert"/>
    <d v="2026-01-29T13:58:55"/>
    <s v="Promoter"/>
    <s v="Closed"/>
    <m/>
    <m/>
    <s v="Yes"/>
    <m/>
    <m/>
    <m/>
    <m/>
    <m/>
    <m/>
    <m/>
    <m/>
    <m/>
    <m/>
    <m/>
    <m/>
    <m/>
    <m/>
    <m/>
    <m/>
    <s v="Doing everything online"/>
    <m/>
    <m/>
    <m/>
    <m/>
    <m/>
    <m/>
    <m/>
    <m/>
    <m/>
    <m/>
    <m/>
    <m/>
    <m/>
    <m/>
    <m/>
    <m/>
    <m/>
    <m/>
    <m/>
    <m/>
    <m/>
    <m/>
    <m/>
    <m/>
    <m/>
    <m/>
    <m/>
    <m/>
    <m/>
    <m/>
    <m/>
    <m/>
    <m/>
    <m/>
    <m/>
    <m/>
    <m/>
    <m/>
    <m/>
    <m/>
    <m/>
    <m/>
    <m/>
    <m/>
    <m/>
    <m/>
    <m/>
    <m/>
    <m/>
    <m/>
    <m/>
    <m/>
    <m/>
    <m/>
    <m/>
    <m/>
    <m/>
    <m/>
    <m/>
    <m/>
    <m/>
    <m/>
    <m/>
    <m/>
    <m/>
    <m/>
    <m/>
    <m/>
    <m/>
    <m/>
    <m/>
    <m/>
    <m/>
    <m/>
    <m/>
    <m/>
    <m/>
    <m/>
    <m/>
    <m/>
    <m/>
    <m/>
    <m/>
    <m/>
    <m/>
    <m/>
    <m/>
    <s v="Doing everything onli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41"/>
    <x v="0"/>
    <x v="0"/>
    <m/>
    <x v="0"/>
    <x v="0"/>
  </r>
  <r>
    <s v="Thomas Sutcliffe - Used Trade-In Product"/>
    <n v="10"/>
    <n v="5"/>
    <d v="2026-01-29T13:32:08"/>
    <n v="5169216"/>
    <s v="Used Trade-In Product"/>
    <m/>
    <s v="Thomas Sutcliffe"/>
    <m/>
    <s v="thomas60sutcliffe@gmail.com"/>
    <m/>
    <s v="Richmond;Rhode Island;02812"/>
    <s v="Richmond;Rhode Island;02812"/>
    <s v="1 years 8 months"/>
    <s v="No"/>
    <m/>
    <m/>
    <s v="thomas60sutcliffe@gmail.com"/>
    <s v="20"/>
    <m/>
    <m/>
    <m/>
    <m/>
    <m/>
    <m/>
    <m/>
    <m/>
    <d v="2026-01-30T07:54:53"/>
    <d v="2026-01-29T12:46:11"/>
    <m/>
    <s v="1136175"/>
    <m/>
    <m/>
    <m/>
    <m/>
    <m/>
    <m/>
    <m/>
    <m/>
    <m/>
    <m/>
    <m/>
    <m/>
    <m/>
    <m/>
    <m/>
    <m/>
    <m/>
    <m/>
    <m/>
    <m/>
    <m/>
    <m/>
    <s v="https://bnh.lightning.force.com/0018X00003SdbGLQAZ"/>
    <m/>
    <m/>
    <m/>
    <m/>
    <m/>
    <m/>
    <m/>
    <m/>
    <m/>
    <m/>
    <m/>
    <m/>
    <m/>
    <m/>
    <m/>
    <m/>
    <m/>
    <m/>
    <m/>
    <m/>
    <m/>
    <m/>
    <m/>
    <m/>
    <m/>
    <m/>
    <m/>
    <m/>
    <m/>
    <m/>
    <m/>
    <m/>
    <m/>
    <m/>
    <m/>
    <m/>
    <m/>
    <m/>
    <s v="CAD"/>
    <m/>
    <s v="No"/>
    <s v="Zane Bohnert"/>
    <s v="Zane Bohnert"/>
    <d v="2026-01-29T13:28:24"/>
    <s v="Promoter"/>
    <s v="Closed"/>
    <m/>
    <m/>
    <s v="Yes"/>
    <m/>
    <m/>
    <m/>
    <m/>
    <m/>
    <m/>
    <m/>
    <m/>
    <m/>
    <m/>
    <m/>
    <m/>
    <m/>
    <m/>
    <m/>
    <m/>
    <s v="The process was very easy and straightforward."/>
    <m/>
    <m/>
    <m/>
    <m/>
    <s v="Although the equipment I sold was older, it included all the original items to include packaging, instructions etc. with the lens being in perfect condition I would have expected a bit more than the actual quote once it was reviewed by your team."/>
    <m/>
    <m/>
    <m/>
    <m/>
    <m/>
    <m/>
    <m/>
    <m/>
    <m/>
    <m/>
    <m/>
    <m/>
    <m/>
    <m/>
    <m/>
    <m/>
    <m/>
    <m/>
    <m/>
    <m/>
    <m/>
    <m/>
    <m/>
    <m/>
    <m/>
    <m/>
    <m/>
    <m/>
    <m/>
    <m/>
    <m/>
    <m/>
    <m/>
    <m/>
    <m/>
    <m/>
    <m/>
    <m/>
    <m/>
    <m/>
    <m/>
    <m/>
    <m/>
    <m/>
    <m/>
    <m/>
    <m/>
    <m/>
    <m/>
    <m/>
    <m/>
    <m/>
    <m/>
    <m/>
    <m/>
    <m/>
    <m/>
    <m/>
    <m/>
    <m/>
    <m/>
    <m/>
    <m/>
    <m/>
    <m/>
    <m/>
    <m/>
    <m/>
    <m/>
    <m/>
    <m/>
    <m/>
    <m/>
    <m/>
    <m/>
    <m/>
    <m/>
    <m/>
    <m/>
    <m/>
    <m/>
    <m/>
    <s v="The process was very easy and straightforward."/>
    <s v="Although the equipment I sold was older, it included all the original items to include packaging, instructions etc. with the lens being in perfect condition I would have expected a bit more than the actual quote once it was reviewed by your tea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Negative), Trade In &gt; Overall Process &gt; (Positive)"/>
    <s v="Trade In &gt; Overall Process &gt; (Positive), Trade In &gt; Quote Price &gt; (Negative)"/>
    <s v="Yes"/>
    <s v="No"/>
    <m/>
    <x v="21"/>
    <x v="8"/>
    <x v="0"/>
    <m/>
    <x v="0"/>
    <x v="0"/>
  </r>
  <r>
    <s v="Reynaldo Martinez - Used Trade-In Product"/>
    <n v="9"/>
    <n v="5"/>
    <d v="2026-01-29T13:31:55"/>
    <n v="5169212"/>
    <s v="Used Trade-In Product"/>
    <m/>
    <s v="Reynaldo Martinez"/>
    <m/>
    <s v="reymartinezz@gmail.com"/>
    <m/>
    <s v="North Bay Village;Florida;33141"/>
    <m/>
    <s v="10 years 10 months"/>
    <s v="Yes"/>
    <m/>
    <m/>
    <s v="reymartinezz@gmail.com"/>
    <s v="130"/>
    <m/>
    <m/>
    <m/>
    <m/>
    <m/>
    <m/>
    <m/>
    <m/>
    <d v="2026-01-30T07:54:09"/>
    <d v="2026-01-29T12:45:10"/>
    <m/>
    <s v="1136990"/>
    <m/>
    <m/>
    <m/>
    <m/>
    <m/>
    <m/>
    <m/>
    <m/>
    <m/>
    <m/>
    <m/>
    <m/>
    <m/>
    <m/>
    <m/>
    <m/>
    <m/>
    <m/>
    <m/>
    <m/>
    <m/>
    <m/>
    <s v="https://bnh.lightning.force.com/0011a00000G6b6gAAB"/>
    <m/>
    <m/>
    <m/>
    <m/>
    <m/>
    <m/>
    <m/>
    <m/>
    <m/>
    <m/>
    <m/>
    <m/>
    <m/>
    <m/>
    <m/>
    <m/>
    <m/>
    <m/>
    <m/>
    <m/>
    <m/>
    <m/>
    <m/>
    <m/>
    <m/>
    <m/>
    <m/>
    <m/>
    <m/>
    <m/>
    <m/>
    <m/>
    <m/>
    <m/>
    <m/>
    <m/>
    <m/>
    <m/>
    <s v="CAD"/>
    <m/>
    <s v="No"/>
    <s v="Zane Bohnert"/>
    <s v="Zane Bohnert"/>
    <d v="2026-01-29T13:26:43"/>
    <s v="Promoter"/>
    <s v="Closed"/>
    <m/>
    <m/>
    <s v="Yes"/>
    <m/>
    <m/>
    <m/>
    <m/>
    <m/>
    <m/>
    <m/>
    <m/>
    <m/>
    <m/>
    <m/>
    <m/>
    <m/>
    <m/>
    <m/>
    <m/>
    <s v="Seriousness, responsibility, and quick contact."/>
    <m/>
    <m/>
    <m/>
    <m/>
    <s v="It took a long time to send the check after receiving the merchandise. More than two weeks seems like a long time to me."/>
    <m/>
    <m/>
    <m/>
    <m/>
    <m/>
    <m/>
    <m/>
    <m/>
    <m/>
    <m/>
    <m/>
    <m/>
    <m/>
    <m/>
    <m/>
    <m/>
    <m/>
    <m/>
    <m/>
    <m/>
    <m/>
    <m/>
    <m/>
    <m/>
    <m/>
    <m/>
    <m/>
    <m/>
    <m/>
    <m/>
    <m/>
    <m/>
    <m/>
    <m/>
    <m/>
    <m/>
    <m/>
    <m/>
    <m/>
    <m/>
    <m/>
    <m/>
    <m/>
    <m/>
    <m/>
    <m/>
    <m/>
    <m/>
    <m/>
    <m/>
    <m/>
    <m/>
    <m/>
    <m/>
    <m/>
    <m/>
    <m/>
    <m/>
    <m/>
    <m/>
    <m/>
    <m/>
    <m/>
    <m/>
    <m/>
    <m/>
    <m/>
    <m/>
    <m/>
    <m/>
    <m/>
    <m/>
    <m/>
    <m/>
    <m/>
    <m/>
    <m/>
    <m/>
    <m/>
    <m/>
    <m/>
    <m/>
    <s v="Seriousness, responsibility, and quick contact."/>
    <s v="It took a long time to send the check after receiving the merchandise. More than two weeks seems like a long time to 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3"/>
    <m/>
    <m/>
    <m/>
    <m/>
    <m/>
    <m/>
    <m/>
    <m/>
    <m/>
    <m/>
    <m/>
    <m/>
    <m/>
    <m/>
    <m/>
    <m/>
    <m/>
    <m/>
    <m/>
    <m/>
    <m/>
    <m/>
    <m/>
    <m/>
    <m/>
    <m/>
    <m/>
    <m/>
    <m/>
    <m/>
    <m/>
    <m/>
    <m/>
    <m/>
    <m/>
    <m/>
    <m/>
    <m/>
    <m/>
    <m/>
    <m/>
    <m/>
    <m/>
    <m/>
    <m/>
    <m/>
    <m/>
    <m/>
    <m/>
    <m/>
    <m/>
    <m/>
    <m/>
    <m/>
    <m/>
    <m/>
    <m/>
    <m/>
    <m/>
    <m/>
    <m/>
    <m/>
    <m/>
    <m/>
    <m/>
    <m/>
    <m/>
    <m/>
    <m/>
    <m/>
    <m/>
    <m/>
    <m/>
    <m/>
    <m/>
    <m/>
    <m/>
    <m/>
    <m/>
    <m/>
    <m/>
    <m/>
    <m/>
    <m/>
    <m/>
    <m/>
    <m/>
    <m/>
    <m/>
    <m/>
    <m/>
    <m/>
    <m/>
    <m/>
    <m/>
    <m/>
    <m/>
    <m/>
    <m/>
    <m/>
    <m/>
    <m/>
    <s v="People &gt; Courtesy / Professional &gt;, Trade In &gt; Timeliness of Payment &gt;, Trade In &gt; Timeliness of Quote &gt;"/>
    <m/>
    <m/>
    <m/>
    <s v="People &gt; Courtesy / Professional &gt; (Positive), Trade In &gt; Timeliness of Payment &gt; (Negative), Trade In &gt; Timeliness of Quote &gt; (Positive)"/>
    <s v="Yes"/>
    <s v="No"/>
    <m/>
    <x v="31"/>
    <x v="42"/>
    <x v="9"/>
    <m/>
    <x v="0"/>
    <x v="0"/>
  </r>
  <r>
    <s v="Savannah Sosebee - Used Trade-In Product"/>
    <n v="10"/>
    <n v="5"/>
    <d v="2026-01-29T12:37:04"/>
    <n v="5169032"/>
    <s v="Used Trade-In Product"/>
    <m/>
    <s v="Savannah Sosebee"/>
    <m/>
    <s v="savsosebee@gmail.com"/>
    <m/>
    <s v="Cartersville;Georgia;30120"/>
    <m/>
    <m/>
    <s v="No"/>
    <m/>
    <m/>
    <s v="savsosebee@gmail.com"/>
    <m/>
    <m/>
    <m/>
    <m/>
    <m/>
    <m/>
    <m/>
    <m/>
    <m/>
    <d v="2026-01-29T13:57:11"/>
    <d v="2026-01-29T12:46:58"/>
    <m/>
    <s v="1136195"/>
    <m/>
    <m/>
    <m/>
    <m/>
    <m/>
    <m/>
    <m/>
    <m/>
    <m/>
    <m/>
    <m/>
    <m/>
    <m/>
    <m/>
    <m/>
    <m/>
    <m/>
    <m/>
    <m/>
    <m/>
    <m/>
    <m/>
    <s v="https://bnh.lightning.force.com/001WP00000pfzc4YAA"/>
    <m/>
    <m/>
    <m/>
    <m/>
    <m/>
    <m/>
    <m/>
    <m/>
    <m/>
    <m/>
    <m/>
    <m/>
    <m/>
    <m/>
    <m/>
    <m/>
    <m/>
    <m/>
    <m/>
    <m/>
    <m/>
    <m/>
    <m/>
    <m/>
    <m/>
    <m/>
    <m/>
    <m/>
    <m/>
    <m/>
    <m/>
    <m/>
    <m/>
    <m/>
    <m/>
    <m/>
    <m/>
    <m/>
    <s v="CAD"/>
    <m/>
    <s v="No"/>
    <s v="Efrat Malachi"/>
    <s v="Efrat Malachi"/>
    <d v="2026-01-29T12:20:56"/>
    <s v="Promoter"/>
    <s v="Closed"/>
    <m/>
    <m/>
    <s v="Yes"/>
    <m/>
    <m/>
    <m/>
    <m/>
    <m/>
    <m/>
    <m/>
    <m/>
    <m/>
    <m/>
    <m/>
    <m/>
    <m/>
    <m/>
    <m/>
    <m/>
    <s v="You guys gave me the best quote, easy to live chat with an associate if needed and turn around times were great!"/>
    <m/>
    <m/>
    <m/>
    <m/>
    <m/>
    <m/>
    <m/>
    <m/>
    <m/>
    <m/>
    <m/>
    <m/>
    <m/>
    <m/>
    <m/>
    <m/>
    <m/>
    <m/>
    <m/>
    <m/>
    <m/>
    <m/>
    <m/>
    <m/>
    <m/>
    <m/>
    <m/>
    <m/>
    <m/>
    <m/>
    <m/>
    <m/>
    <m/>
    <m/>
    <m/>
    <m/>
    <m/>
    <m/>
    <m/>
    <m/>
    <m/>
    <m/>
    <m/>
    <m/>
    <m/>
    <m/>
    <m/>
    <m/>
    <m/>
    <m/>
    <m/>
    <m/>
    <m/>
    <m/>
    <m/>
    <m/>
    <m/>
    <m/>
    <m/>
    <m/>
    <m/>
    <m/>
    <m/>
    <m/>
    <m/>
    <m/>
    <m/>
    <m/>
    <m/>
    <m/>
    <m/>
    <m/>
    <m/>
    <m/>
    <m/>
    <m/>
    <m/>
    <m/>
    <m/>
    <m/>
    <m/>
    <m/>
    <m/>
    <m/>
    <m/>
    <m/>
    <m/>
    <s v="You guys gave me the best quote, easy to live chat with an associate if needed and turn around times were grea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Chat Experience &gt; Satisfaction &gt;, Trade In &gt; Overall Process &gt;"/>
    <s v="Chat Experience &gt; Satisfaction &gt;, Trade In &gt; Overall Process &gt;, Trade In &gt; Quote Price &gt;"/>
    <m/>
    <s v="POSITIVE"/>
    <s v="B&amp;H &gt; Satisfaction &gt; (Positive), Chat Experience &gt; Satisfaction &gt; (Positive), Trade In &gt; Overall Process &gt; (Positive)"/>
    <s v="Chat Experience &gt; Satisfaction &gt; (Positive), Trade In &gt; Overall Process &gt; (Positive), Trade In &gt; Quote Price &gt; (Positive)"/>
    <s v="Yes"/>
    <s v="No"/>
    <m/>
    <x v="42"/>
    <x v="21"/>
    <x v="23"/>
    <m/>
    <x v="0"/>
    <x v="0"/>
  </r>
  <r>
    <s v="Divine Velasquez - Used Trade-In Product"/>
    <n v="10"/>
    <n v="5"/>
    <d v="2026-01-29T12:23:11"/>
    <n v="5169031"/>
    <s v="Used Trade-In Product"/>
    <m/>
    <s v="Divine Velasquez"/>
    <m/>
    <s v="divinemvelasquez@gmail.com"/>
    <m/>
    <s v="Mountain View;California;94041"/>
    <s v="Mountain View;California;94041"/>
    <s v="1 months"/>
    <s v="No"/>
    <m/>
    <m/>
    <s v="divinemvelasquez@gmail.com"/>
    <s v="1"/>
    <m/>
    <m/>
    <m/>
    <m/>
    <m/>
    <m/>
    <m/>
    <m/>
    <d v="2026-01-29T15:10:30"/>
    <d v="2026-01-28T17:21:31"/>
    <m/>
    <s v="1135002"/>
    <m/>
    <m/>
    <m/>
    <m/>
    <m/>
    <m/>
    <m/>
    <m/>
    <m/>
    <m/>
    <m/>
    <m/>
    <m/>
    <m/>
    <m/>
    <m/>
    <m/>
    <m/>
    <m/>
    <m/>
    <m/>
    <m/>
    <s v="https://bnh.lightning.force.com/001WP00000oyGANYA2"/>
    <m/>
    <m/>
    <m/>
    <m/>
    <m/>
    <m/>
    <m/>
    <m/>
    <m/>
    <m/>
    <m/>
    <m/>
    <m/>
    <m/>
    <m/>
    <m/>
    <m/>
    <m/>
    <m/>
    <m/>
    <m/>
    <m/>
    <m/>
    <m/>
    <m/>
    <m/>
    <m/>
    <m/>
    <m/>
    <m/>
    <m/>
    <m/>
    <m/>
    <m/>
    <m/>
    <m/>
    <m/>
    <m/>
    <s v="CAD"/>
    <m/>
    <s v="No"/>
    <s v="Aine Hoye"/>
    <s v="Aine Hoye"/>
    <d v="2026-01-29T12:20:56"/>
    <s v="Promoter"/>
    <s v="Closed"/>
    <m/>
    <m/>
    <s v="Yes"/>
    <m/>
    <m/>
    <m/>
    <m/>
    <m/>
    <m/>
    <m/>
    <m/>
    <m/>
    <m/>
    <m/>
    <m/>
    <m/>
    <m/>
    <m/>
    <m/>
    <s v="B&amp;H was honest about everything and called me back to explain the issues that made the camera ineligible, but was also willing to send it back or recycle it. I appreciate that."/>
    <m/>
    <m/>
    <m/>
    <m/>
    <s v="That I couldn't see the progress of the selling process. After I sent it I was just kinda in the dark about what was happening until I got an email. I would have been nice to see some sort status or info on my gear on the website, and see info on the quote, the gear I sent, that I had shipped it etc."/>
    <m/>
    <m/>
    <m/>
    <m/>
    <m/>
    <m/>
    <m/>
    <m/>
    <m/>
    <m/>
    <m/>
    <m/>
    <m/>
    <m/>
    <m/>
    <m/>
    <m/>
    <m/>
    <m/>
    <m/>
    <m/>
    <m/>
    <m/>
    <m/>
    <m/>
    <m/>
    <m/>
    <m/>
    <m/>
    <m/>
    <m/>
    <m/>
    <m/>
    <m/>
    <m/>
    <m/>
    <m/>
    <m/>
    <m/>
    <m/>
    <m/>
    <m/>
    <m/>
    <m/>
    <m/>
    <m/>
    <m/>
    <m/>
    <m/>
    <m/>
    <m/>
    <m/>
    <m/>
    <m/>
    <m/>
    <m/>
    <m/>
    <m/>
    <m/>
    <m/>
    <m/>
    <m/>
    <m/>
    <m/>
    <m/>
    <m/>
    <m/>
    <m/>
    <m/>
    <m/>
    <m/>
    <m/>
    <m/>
    <m/>
    <m/>
    <m/>
    <m/>
    <m/>
    <m/>
    <m/>
    <m/>
    <m/>
    <s v="B&amp;H was honest about everything and called me back to explain the issues that made the camera ineligible, but was also willing to send it back or recycle it. I appreciate that."/>
    <s v="That I couldn't see the progress of the selling process. After I sent it I was just kinda in the dark about what was happening until I got an email. I would have been nice to see some sort status or info on my gear on the website, and see info on the quote, the gear I sent, that I had shipped it etc."/>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s v="N/A"/>
    <m/>
    <m/>
    <m/>
    <m/>
    <n v="5"/>
    <n v="5"/>
    <m/>
    <m/>
    <m/>
    <m/>
    <m/>
    <m/>
    <s v="N/A"/>
    <n v="5"/>
    <s v="N/A"/>
    <s v="N/A"/>
    <m/>
    <m/>
    <m/>
    <m/>
    <m/>
    <m/>
    <m/>
    <m/>
    <m/>
    <m/>
    <m/>
    <m/>
    <m/>
    <m/>
    <m/>
    <m/>
    <m/>
    <m/>
    <m/>
    <m/>
    <m/>
    <m/>
    <m/>
    <m/>
    <m/>
    <m/>
    <m/>
    <m/>
    <m/>
    <m/>
    <m/>
    <m/>
    <m/>
    <m/>
    <m/>
    <m/>
    <m/>
    <m/>
    <m/>
    <m/>
    <m/>
    <m/>
    <m/>
    <m/>
    <m/>
    <m/>
    <m/>
    <m/>
    <m/>
    <m/>
    <m/>
    <m/>
    <m/>
    <m/>
    <m/>
    <m/>
    <m/>
    <m/>
    <m/>
    <m/>
    <m/>
    <m/>
    <m/>
    <m/>
    <m/>
    <m/>
    <m/>
    <m/>
    <m/>
    <m/>
    <m/>
    <m/>
    <m/>
    <m/>
    <m/>
    <m/>
    <m/>
    <m/>
    <m/>
    <m/>
    <m/>
    <m/>
    <m/>
    <m/>
    <m/>
    <m/>
    <m/>
    <m/>
    <m/>
    <m/>
    <m/>
    <m/>
    <m/>
    <m/>
    <m/>
    <m/>
    <m/>
    <m/>
    <m/>
    <m/>
    <m/>
    <s v="B&amp;H &gt; Reliable / Trustworthy &gt;, Trade In &gt; Overall Process &gt;, Website &gt; Order Tracking &gt;"/>
    <s v="B&amp;H &gt; Reliable / Trustworthy &gt;, People &gt; Overall Satisfaction &gt;, Trade In &gt; Overall Process &gt;"/>
    <m/>
    <m/>
    <s v="B&amp;H &gt; Reliable / Trustworthy &gt; (Positive), Trade In &gt; Overall Process &gt; (Negative), Website &gt; Order Tracking &gt; (Negative)"/>
    <s v="B&amp;H &gt; Reliable / Trustworthy &gt; (Positive), People &gt; Overall Satisfaction &gt; (Positive), Trade In &gt; Overall Process &gt; (Negative), Trade In &gt; Overall Process &gt; (Positive)"/>
    <s v="Yes"/>
    <s v="Yes"/>
    <m/>
    <x v="16"/>
    <x v="43"/>
    <x v="24"/>
    <m/>
    <x v="0"/>
    <x v="0"/>
  </r>
  <r>
    <s v="Adam Morley - Used Trade-In Product"/>
    <n v="10"/>
    <n v="4"/>
    <d v="2026-01-29T11:46:52"/>
    <n v="5168934"/>
    <s v="Used Trade-In Product"/>
    <m/>
    <s v="Adam Morley"/>
    <m/>
    <s v="morleycontracting@gmail.com"/>
    <m/>
    <s v="Georgetown;Kentucky;40324"/>
    <m/>
    <m/>
    <s v="No"/>
    <m/>
    <m/>
    <s v="morleycontracting@gmail.com"/>
    <m/>
    <m/>
    <m/>
    <m/>
    <m/>
    <m/>
    <m/>
    <m/>
    <m/>
    <d v="2026-01-29T14:21:33"/>
    <d v="2026-01-28T13:01:54"/>
    <m/>
    <s v="1135112"/>
    <m/>
    <m/>
    <m/>
    <m/>
    <m/>
    <m/>
    <m/>
    <m/>
    <m/>
    <m/>
    <m/>
    <m/>
    <m/>
    <m/>
    <m/>
    <m/>
    <m/>
    <m/>
    <m/>
    <m/>
    <m/>
    <m/>
    <s v="https://bnh.lightning.force.com/001WP00000p0fnaYAA"/>
    <m/>
    <m/>
    <m/>
    <m/>
    <m/>
    <m/>
    <m/>
    <m/>
    <m/>
    <m/>
    <m/>
    <m/>
    <m/>
    <m/>
    <m/>
    <m/>
    <m/>
    <m/>
    <m/>
    <m/>
    <m/>
    <m/>
    <m/>
    <m/>
    <m/>
    <m/>
    <m/>
    <m/>
    <m/>
    <m/>
    <m/>
    <m/>
    <m/>
    <m/>
    <m/>
    <m/>
    <m/>
    <m/>
    <s v="CAD"/>
    <m/>
    <s v="No"/>
    <s v="Andrea Garcia"/>
    <s v="Andrea Garcia"/>
    <d v="2026-01-29T11:46:18"/>
    <s v="Promoter"/>
    <s v="Closed"/>
    <m/>
    <m/>
    <s v="Yes"/>
    <m/>
    <m/>
    <m/>
    <m/>
    <m/>
    <m/>
    <m/>
    <m/>
    <m/>
    <m/>
    <m/>
    <m/>
    <m/>
    <m/>
    <m/>
    <m/>
    <s v="Good price for the stuff"/>
    <m/>
    <m/>
    <m/>
    <m/>
    <s v="Not being able to receive payment electronically_x000a_Difficulty finding the product in the quote builder"/>
    <m/>
    <m/>
    <m/>
    <m/>
    <m/>
    <m/>
    <m/>
    <m/>
    <m/>
    <m/>
    <m/>
    <m/>
    <m/>
    <m/>
    <m/>
    <m/>
    <m/>
    <m/>
    <m/>
    <m/>
    <m/>
    <m/>
    <m/>
    <m/>
    <m/>
    <m/>
    <m/>
    <m/>
    <m/>
    <m/>
    <m/>
    <m/>
    <m/>
    <m/>
    <m/>
    <m/>
    <m/>
    <m/>
    <m/>
    <m/>
    <m/>
    <m/>
    <m/>
    <m/>
    <m/>
    <m/>
    <m/>
    <m/>
    <m/>
    <m/>
    <m/>
    <m/>
    <m/>
    <m/>
    <m/>
    <m/>
    <m/>
    <m/>
    <m/>
    <m/>
    <m/>
    <m/>
    <m/>
    <m/>
    <m/>
    <m/>
    <m/>
    <m/>
    <m/>
    <m/>
    <m/>
    <m/>
    <m/>
    <m/>
    <m/>
    <m/>
    <m/>
    <m/>
    <m/>
    <m/>
    <m/>
    <m/>
    <s v="Good price for the stuff"/>
    <s v="Not being able to receive payment electronically_x000a_Difficulty finding the product in the quote builde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2"/>
    <n v="5"/>
    <m/>
    <m/>
    <m/>
    <m/>
    <m/>
    <m/>
    <n v="5"/>
    <n v="4"/>
    <n v="4"/>
    <n v="3"/>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Pricing &gt;"/>
    <s v="Trade In &gt; Overall Process &gt;, Trade In &gt; Quote Price &gt;"/>
    <m/>
    <m/>
    <s v="Pricing &gt; Value for Money &gt; (Positive), Trade In &gt; Overall Process &gt; (Negative), Trade In &gt; Quote Price &gt; (Positive), Used &gt; Pricing &gt; (Positive)"/>
    <s v="Trade In &gt; Overall Process &gt; (Negative), Trade In &gt; Quote Price &gt; (Positive)"/>
    <s v="Yes"/>
    <s v="No"/>
    <m/>
    <x v="10"/>
    <x v="16"/>
    <x v="25"/>
    <m/>
    <x v="0"/>
    <x v="0"/>
  </r>
  <r>
    <s v="Eric Peebles - Used Trade-In Product"/>
    <n v="10"/>
    <n v="5"/>
    <d v="2026-01-29T11:19:01"/>
    <n v="5168848"/>
    <s v="Used Trade-In Product"/>
    <m/>
    <s v="Eric Peebles"/>
    <m/>
    <s v="peebles.eric@gmail.com"/>
    <m/>
    <s v="Fairfax;Virginia;22031"/>
    <s v="Fairfax;Virginia;22031"/>
    <s v="11 years 0 months"/>
    <s v="No"/>
    <m/>
    <m/>
    <s v="peebles.eric@gmail.com"/>
    <s v="132"/>
    <m/>
    <m/>
    <m/>
    <m/>
    <m/>
    <m/>
    <m/>
    <m/>
    <d v="2026-01-29T13:44:52"/>
    <d v="2026-01-27T14:18:13"/>
    <m/>
    <s v="1137551"/>
    <m/>
    <m/>
    <m/>
    <m/>
    <m/>
    <m/>
    <m/>
    <m/>
    <m/>
    <m/>
    <m/>
    <m/>
    <m/>
    <m/>
    <m/>
    <m/>
    <m/>
    <m/>
    <m/>
    <m/>
    <m/>
    <m/>
    <s v="https://bnh.lightning.force.com/0012L00001Li9EbQAJ"/>
    <m/>
    <m/>
    <m/>
    <m/>
    <m/>
    <m/>
    <m/>
    <m/>
    <m/>
    <m/>
    <m/>
    <m/>
    <m/>
    <m/>
    <m/>
    <m/>
    <m/>
    <m/>
    <m/>
    <m/>
    <m/>
    <m/>
    <m/>
    <m/>
    <m/>
    <m/>
    <m/>
    <m/>
    <m/>
    <m/>
    <m/>
    <m/>
    <m/>
    <m/>
    <m/>
    <m/>
    <m/>
    <m/>
    <s v="CAD"/>
    <m/>
    <s v="No"/>
    <s v="Emily Schreier"/>
    <s v="Emily Schreier"/>
    <d v="2026-01-29T11:17:41"/>
    <s v="Promoter"/>
    <s v="Closed"/>
    <m/>
    <m/>
    <s v="Yes"/>
    <m/>
    <m/>
    <m/>
    <m/>
    <m/>
    <m/>
    <m/>
    <m/>
    <m/>
    <m/>
    <m/>
    <m/>
    <m/>
    <m/>
    <m/>
    <m/>
    <s v="Very easy to complete the process."/>
    <m/>
    <m/>
    <m/>
    <m/>
    <s v="Nothing comes to mind."/>
    <m/>
    <m/>
    <m/>
    <m/>
    <m/>
    <m/>
    <m/>
    <m/>
    <m/>
    <m/>
    <m/>
    <m/>
    <m/>
    <m/>
    <m/>
    <m/>
    <m/>
    <m/>
    <m/>
    <m/>
    <m/>
    <m/>
    <m/>
    <m/>
    <m/>
    <m/>
    <m/>
    <m/>
    <m/>
    <m/>
    <m/>
    <m/>
    <m/>
    <m/>
    <m/>
    <m/>
    <m/>
    <m/>
    <m/>
    <m/>
    <m/>
    <m/>
    <m/>
    <m/>
    <m/>
    <m/>
    <m/>
    <m/>
    <m/>
    <m/>
    <m/>
    <m/>
    <m/>
    <m/>
    <m/>
    <m/>
    <m/>
    <m/>
    <m/>
    <m/>
    <m/>
    <m/>
    <m/>
    <m/>
    <m/>
    <m/>
    <m/>
    <m/>
    <m/>
    <m/>
    <m/>
    <m/>
    <m/>
    <m/>
    <m/>
    <m/>
    <m/>
    <m/>
    <m/>
    <m/>
    <m/>
    <m/>
    <s v="Very easy to complete the process."/>
    <s v="Nothing comes to min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Eric Heaton - Used Trade-In Product"/>
    <n v="10"/>
    <n v="5"/>
    <d v="2026-01-29T10:39:34"/>
    <n v="5168739"/>
    <s v="Used Trade-In Product"/>
    <m/>
    <s v="Eric Heaton"/>
    <m/>
    <s v="e.heaton@cox.net"/>
    <m/>
    <s v="Gilbert;Arizona;85233"/>
    <s v="Gilbert;Arizona;85233"/>
    <s v="14 years 5 months"/>
    <s v="No"/>
    <m/>
    <m/>
    <s v="e.heaton@cox.net"/>
    <s v="173"/>
    <m/>
    <m/>
    <m/>
    <m/>
    <m/>
    <m/>
    <m/>
    <m/>
    <d v="2026-01-29T13:51:33"/>
    <d v="2026-01-29T12:44:26"/>
    <m/>
    <s v="1135206"/>
    <m/>
    <m/>
    <m/>
    <m/>
    <m/>
    <m/>
    <m/>
    <m/>
    <m/>
    <m/>
    <m/>
    <m/>
    <m/>
    <m/>
    <m/>
    <m/>
    <m/>
    <m/>
    <m/>
    <m/>
    <m/>
    <m/>
    <s v="https://bnh.lightning.force.com/0011a00000FvFMVAA3"/>
    <m/>
    <m/>
    <m/>
    <m/>
    <m/>
    <m/>
    <m/>
    <m/>
    <m/>
    <m/>
    <m/>
    <m/>
    <m/>
    <m/>
    <m/>
    <m/>
    <m/>
    <m/>
    <m/>
    <m/>
    <m/>
    <m/>
    <m/>
    <m/>
    <m/>
    <m/>
    <m/>
    <m/>
    <m/>
    <m/>
    <m/>
    <m/>
    <m/>
    <m/>
    <m/>
    <m/>
    <m/>
    <m/>
    <s v="CAD"/>
    <m/>
    <s v="No"/>
    <s v="Nick Badame"/>
    <s v="Nick Badame"/>
    <d v="2026-01-29T10:38:34"/>
    <s v="Promoter"/>
    <s v="Closed"/>
    <m/>
    <m/>
    <s v="Yes"/>
    <m/>
    <m/>
    <m/>
    <m/>
    <m/>
    <m/>
    <m/>
    <m/>
    <m/>
    <m/>
    <m/>
    <m/>
    <m/>
    <m/>
    <m/>
    <m/>
    <s v="Strong offer and free shipping."/>
    <m/>
    <m/>
    <m/>
    <m/>
    <s v="Long wait after shipping."/>
    <m/>
    <m/>
    <m/>
    <m/>
    <m/>
    <m/>
    <m/>
    <m/>
    <m/>
    <m/>
    <m/>
    <m/>
    <m/>
    <m/>
    <m/>
    <m/>
    <m/>
    <m/>
    <m/>
    <m/>
    <m/>
    <m/>
    <m/>
    <m/>
    <m/>
    <m/>
    <m/>
    <m/>
    <m/>
    <m/>
    <m/>
    <m/>
    <m/>
    <m/>
    <m/>
    <m/>
    <m/>
    <m/>
    <m/>
    <m/>
    <m/>
    <m/>
    <m/>
    <m/>
    <m/>
    <m/>
    <m/>
    <m/>
    <m/>
    <m/>
    <m/>
    <m/>
    <m/>
    <m/>
    <m/>
    <m/>
    <m/>
    <m/>
    <m/>
    <m/>
    <m/>
    <m/>
    <m/>
    <m/>
    <m/>
    <m/>
    <m/>
    <m/>
    <m/>
    <m/>
    <m/>
    <m/>
    <m/>
    <m/>
    <m/>
    <m/>
    <m/>
    <m/>
    <m/>
    <m/>
    <m/>
    <m/>
    <s v="Strong offer and free shipping."/>
    <s v="Long wait after shipp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Pricing &gt; Delivery Fees &gt;, Warehouse Fulfillment &gt; Timeliness &gt;"/>
    <s v="Pricing &gt; Delivery Fees &gt;, Trade In &gt; Quote Price &gt;, Trade In &gt; Timeliness of Payment &gt;"/>
    <m/>
    <m/>
    <s v="Pricing &gt; Delivery Fees &gt; (Positive), Warehouse Fulfillment &gt; Timeliness &gt; (Negative)"/>
    <s v="Pricing &gt; Delivery Fees &gt; (Positive), Trade In &gt; Quote Price &gt; (Positive), Trade In &gt; Timeliness of Payment &gt; (Negative)"/>
    <s v="Yes"/>
    <s v="No"/>
    <m/>
    <x v="10"/>
    <x v="44"/>
    <x v="4"/>
    <m/>
    <x v="0"/>
    <x v="0"/>
  </r>
  <r>
    <s v="Jackie Bryant - Used Trade-In Product"/>
    <n v="10"/>
    <n v="5"/>
    <d v="2026-01-29T10:33:32"/>
    <n v="5168705"/>
    <s v="Used Trade-In Product"/>
    <m/>
    <s v="Jackie Bryant"/>
    <m/>
    <s v="tdybryant@aol.com"/>
    <m/>
    <s v="Evans;Georgia;30809"/>
    <s v="Evans;Georgia;30809"/>
    <s v="2 years 11 months"/>
    <s v="No"/>
    <m/>
    <m/>
    <s v="tdybryant@aol.com"/>
    <s v="35"/>
    <m/>
    <m/>
    <m/>
    <m/>
    <m/>
    <m/>
    <m/>
    <m/>
    <d v="2026-02-03T12:44:15"/>
    <d v="2026-01-29T13:14:53"/>
    <m/>
    <s v="1137775"/>
    <m/>
    <m/>
    <m/>
    <m/>
    <m/>
    <m/>
    <m/>
    <m/>
    <m/>
    <m/>
    <m/>
    <m/>
    <m/>
    <m/>
    <m/>
    <m/>
    <m/>
    <m/>
    <m/>
    <m/>
    <m/>
    <m/>
    <s v="https://bnh.lightning.force.com/0018X00003EFLX0QAP"/>
    <m/>
    <m/>
    <m/>
    <m/>
    <m/>
    <m/>
    <m/>
    <m/>
    <m/>
    <m/>
    <m/>
    <m/>
    <m/>
    <m/>
    <m/>
    <m/>
    <m/>
    <m/>
    <m/>
    <m/>
    <m/>
    <m/>
    <m/>
    <m/>
    <m/>
    <m/>
    <m/>
    <m/>
    <m/>
    <m/>
    <m/>
    <m/>
    <m/>
    <m/>
    <m/>
    <m/>
    <m/>
    <m/>
    <s v="CAD"/>
    <m/>
    <s v="No"/>
    <s v="Nick Badame,Avraham Schwartz,Reina Caba,Avraham Schwartz,Reina Caba"/>
    <s v="Reina Caba"/>
    <d v="2026-01-29T10:29:42"/>
    <s v="Promoter"/>
    <s v="Closed"/>
    <d v="2026-02-03T12:44:08"/>
    <s v="Reina Caba (reinac@bhphoto.com)"/>
    <s v="Yes"/>
    <m/>
    <m/>
    <m/>
    <m/>
    <m/>
    <m/>
    <m/>
    <m/>
    <m/>
    <m/>
    <m/>
    <m/>
    <m/>
    <m/>
    <m/>
    <m/>
    <s v="The ease of your web based application to complete this transaction."/>
    <m/>
    <m/>
    <m/>
    <m/>
    <s v="I thought I would get a little more for the transaction because I provided an extra battery in the package along with lense hoods for both lenses."/>
    <m/>
    <m/>
    <m/>
    <m/>
    <m/>
    <m/>
    <m/>
    <m/>
    <m/>
    <m/>
    <m/>
    <m/>
    <m/>
    <m/>
    <m/>
    <m/>
    <m/>
    <m/>
    <m/>
    <m/>
    <m/>
    <m/>
    <m/>
    <m/>
    <m/>
    <m/>
    <m/>
    <m/>
    <m/>
    <m/>
    <m/>
    <m/>
    <m/>
    <m/>
    <m/>
    <m/>
    <m/>
    <m/>
    <m/>
    <m/>
    <m/>
    <m/>
    <m/>
    <m/>
    <m/>
    <m/>
    <m/>
    <m/>
    <m/>
    <m/>
    <m/>
    <m/>
    <m/>
    <m/>
    <m/>
    <m/>
    <m/>
    <m/>
    <m/>
    <m/>
    <m/>
    <m/>
    <m/>
    <m/>
    <m/>
    <m/>
    <m/>
    <m/>
    <m/>
    <m/>
    <m/>
    <m/>
    <m/>
    <m/>
    <m/>
    <m/>
    <m/>
    <m/>
    <m/>
    <m/>
    <m/>
    <m/>
    <s v="The ease of your web based application to complete this transaction."/>
    <s v="I thought I would get a little more for the transaction because I provided an extra battery in the package along with lense hoods for both lens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5"/>
    <n v="4"/>
    <n v="5"/>
    <m/>
    <m/>
    <m/>
    <m/>
    <m/>
    <m/>
    <m/>
    <m/>
    <m/>
    <m/>
    <m/>
    <m/>
    <m/>
    <m/>
    <m/>
    <m/>
    <m/>
    <m/>
    <m/>
    <m/>
    <m/>
    <m/>
    <m/>
    <m/>
    <m/>
    <m/>
    <m/>
    <m/>
    <m/>
    <m/>
    <m/>
    <m/>
    <m/>
    <m/>
    <m/>
    <m/>
    <m/>
    <m/>
    <m/>
    <m/>
    <m/>
    <m/>
    <m/>
    <m/>
    <m/>
    <m/>
    <m/>
    <m/>
    <m/>
    <m/>
    <m/>
    <m/>
    <m/>
    <m/>
    <m/>
    <m/>
    <m/>
    <m/>
    <m/>
    <m/>
    <m/>
    <m/>
    <m/>
    <m/>
    <m/>
    <m/>
    <m/>
    <m/>
    <m/>
    <m/>
    <m/>
    <m/>
    <m/>
    <m/>
    <m/>
    <m/>
    <m/>
    <m/>
    <m/>
    <m/>
    <m/>
    <m/>
    <m/>
    <m/>
    <m/>
    <m/>
    <m/>
    <m/>
    <m/>
    <m/>
    <m/>
    <m/>
    <m/>
    <m/>
    <m/>
    <m/>
    <m/>
    <m/>
    <m/>
    <m/>
    <m/>
    <m/>
    <s v="Trade In &gt; Overall Process &gt;, Trade In &gt; Quote Price &gt;"/>
    <m/>
    <m/>
    <m/>
    <s v="Trade In &gt; Overall Process &gt; (Positive), Trade In &gt; Quote Price &gt; (Negative)"/>
    <s v="Yes"/>
    <s v="Yes"/>
    <m/>
    <x v="5"/>
    <x v="8"/>
    <x v="0"/>
    <m/>
    <x v="0"/>
    <x v="0"/>
  </r>
  <r>
    <s v="John Ko - Used Trade-In Product"/>
    <n v="10"/>
    <n v="5"/>
    <d v="2026-01-29T10:04:33"/>
    <n v="5168542"/>
    <s v="Used Trade-In Product"/>
    <m/>
    <s v="John Ko"/>
    <m/>
    <s v="setfuture2@gmail.com"/>
    <m/>
    <s v="Leesburg;Virginia;20175"/>
    <s v="Leesburg;Virginia;20175"/>
    <s v="7 years 10 months"/>
    <s v="No"/>
    <m/>
    <m/>
    <s v="setfuture2@gmail.com"/>
    <s v="94"/>
    <m/>
    <m/>
    <m/>
    <m/>
    <m/>
    <m/>
    <m/>
    <m/>
    <d v="2026-01-29T14:33:20"/>
    <d v="2026-01-29T12:44:56"/>
    <m/>
    <s v="1136232"/>
    <m/>
    <m/>
    <m/>
    <m/>
    <m/>
    <m/>
    <m/>
    <m/>
    <m/>
    <m/>
    <m/>
    <m/>
    <m/>
    <m/>
    <m/>
    <m/>
    <m/>
    <m/>
    <m/>
    <m/>
    <m/>
    <m/>
    <s v="https://bnh.lightning.force.com/0011a00000peV4CAAU"/>
    <m/>
    <m/>
    <m/>
    <m/>
    <m/>
    <m/>
    <m/>
    <m/>
    <m/>
    <m/>
    <m/>
    <m/>
    <m/>
    <m/>
    <m/>
    <m/>
    <m/>
    <m/>
    <m/>
    <m/>
    <m/>
    <m/>
    <m/>
    <m/>
    <m/>
    <m/>
    <m/>
    <m/>
    <m/>
    <m/>
    <m/>
    <m/>
    <m/>
    <m/>
    <m/>
    <m/>
    <m/>
    <m/>
    <s v="CAD"/>
    <m/>
    <s v="No"/>
    <s v="Zane Bohnert"/>
    <s v="Zane Bohnert"/>
    <d v="2026-01-29T10:00:14"/>
    <s v="Promoter"/>
    <s v="Closed"/>
    <m/>
    <m/>
    <s v="Yes"/>
    <m/>
    <m/>
    <m/>
    <m/>
    <m/>
    <m/>
    <m/>
    <m/>
    <m/>
    <m/>
    <m/>
    <m/>
    <m/>
    <m/>
    <m/>
    <m/>
    <s v="Responsive associates and mailed my sd card back"/>
    <m/>
    <m/>
    <m/>
    <m/>
    <s v="Slow check process, still don't have 8 days after mailing notification"/>
    <m/>
    <m/>
    <m/>
    <m/>
    <m/>
    <m/>
    <m/>
    <m/>
    <m/>
    <m/>
    <m/>
    <m/>
    <m/>
    <m/>
    <m/>
    <m/>
    <m/>
    <m/>
    <m/>
    <m/>
    <m/>
    <m/>
    <m/>
    <m/>
    <m/>
    <m/>
    <m/>
    <m/>
    <m/>
    <m/>
    <m/>
    <m/>
    <m/>
    <m/>
    <m/>
    <m/>
    <m/>
    <m/>
    <m/>
    <m/>
    <m/>
    <m/>
    <m/>
    <m/>
    <m/>
    <m/>
    <m/>
    <m/>
    <m/>
    <m/>
    <m/>
    <m/>
    <m/>
    <m/>
    <m/>
    <m/>
    <m/>
    <m/>
    <m/>
    <m/>
    <m/>
    <m/>
    <m/>
    <m/>
    <m/>
    <m/>
    <m/>
    <m/>
    <m/>
    <m/>
    <m/>
    <m/>
    <m/>
    <m/>
    <m/>
    <m/>
    <m/>
    <m/>
    <m/>
    <m/>
    <m/>
    <m/>
    <s v="Responsive associates and mailed my sd card back"/>
    <s v="Slow check process, still don't have 8 days after mailing notificat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2"/>
    <m/>
    <m/>
    <m/>
    <m/>
    <m/>
    <m/>
    <m/>
    <m/>
    <m/>
    <m/>
    <m/>
    <m/>
    <m/>
    <m/>
    <m/>
    <m/>
    <m/>
    <m/>
    <m/>
    <m/>
    <m/>
    <m/>
    <m/>
    <m/>
    <m/>
    <m/>
    <m/>
    <m/>
    <m/>
    <m/>
    <m/>
    <m/>
    <m/>
    <m/>
    <m/>
    <m/>
    <m/>
    <m/>
    <m/>
    <m/>
    <m/>
    <m/>
    <m/>
    <m/>
    <m/>
    <m/>
    <m/>
    <m/>
    <m/>
    <m/>
    <m/>
    <m/>
    <m/>
    <m/>
    <m/>
    <m/>
    <m/>
    <m/>
    <m/>
    <m/>
    <m/>
    <m/>
    <m/>
    <m/>
    <m/>
    <m/>
    <m/>
    <m/>
    <m/>
    <m/>
    <m/>
    <m/>
    <m/>
    <m/>
    <m/>
    <m/>
    <m/>
    <m/>
    <m/>
    <m/>
    <m/>
    <m/>
    <m/>
    <m/>
    <m/>
    <m/>
    <m/>
    <m/>
    <m/>
    <m/>
    <m/>
    <m/>
    <m/>
    <m/>
    <m/>
    <m/>
    <m/>
    <m/>
    <m/>
    <m/>
    <m/>
    <s v="People &gt; Communication Listening &gt;, People &gt; Courtesy / Professional &gt;, People &gt; Helpful / Efficient &gt;, People &gt; Overall Satisfaction &gt;, Trade In &gt; Overall Process &gt;"/>
    <s v="People &gt; Communication Skills &gt;, Trade In &gt; Overall Process &gt;, Trade In &gt; Timeliness of Payment &gt;"/>
    <m/>
    <m/>
    <s v="People &gt; Communication Listening &gt; (Positive), People &gt; Courtesy / Professional &gt; (Positive), People &gt; Helpful / Efficient &gt; (Positive), People &gt; Overall Satisfaction &gt; (Positive), Trade In &gt; Overall Process &gt; (Negative)"/>
    <s v="People &gt; Communication Skills &gt; (Positive), Trade In &gt; Overall Process &gt; (Positive), Trade In &gt; Timeliness of Payment &gt; (Negative)"/>
    <s v="Yes"/>
    <s v="No"/>
    <m/>
    <x v="31"/>
    <x v="11"/>
    <x v="0"/>
    <m/>
    <x v="0"/>
    <x v="0"/>
  </r>
  <r>
    <s v="Elizabeth Whitcomb - Used Trade-In Product"/>
    <n v="10"/>
    <n v="5"/>
    <d v="2026-01-29T09:58:45"/>
    <n v="5168530"/>
    <s v="Used Trade-In Product"/>
    <m/>
    <s v="Elizabeth Whitcomb"/>
    <m/>
    <s v="lizannwhit@gmail.com"/>
    <m/>
    <s v="Waukesha;Wisconsin;53188"/>
    <s v="Waukesha;Wisconsin;53188"/>
    <s v="21 years 1 months"/>
    <s v="Yes"/>
    <m/>
    <m/>
    <s v="lizannwhit@gmail.com"/>
    <s v="253"/>
    <m/>
    <m/>
    <m/>
    <m/>
    <m/>
    <m/>
    <m/>
    <m/>
    <d v="2026-01-29T14:30:48"/>
    <d v="2026-01-29T12:46:06"/>
    <m/>
    <s v="1134705"/>
    <m/>
    <m/>
    <m/>
    <m/>
    <m/>
    <m/>
    <m/>
    <m/>
    <m/>
    <m/>
    <m/>
    <m/>
    <m/>
    <m/>
    <m/>
    <m/>
    <m/>
    <m/>
    <m/>
    <m/>
    <m/>
    <m/>
    <s v="https://bnh.lightning.force.com/0011a00000FQ7tpAAD"/>
    <m/>
    <m/>
    <m/>
    <m/>
    <m/>
    <m/>
    <m/>
    <m/>
    <m/>
    <m/>
    <m/>
    <m/>
    <m/>
    <m/>
    <m/>
    <m/>
    <m/>
    <m/>
    <m/>
    <m/>
    <m/>
    <m/>
    <m/>
    <m/>
    <m/>
    <m/>
    <m/>
    <m/>
    <m/>
    <m/>
    <m/>
    <m/>
    <m/>
    <m/>
    <m/>
    <m/>
    <m/>
    <m/>
    <s v="CAD"/>
    <m/>
    <s v="No"/>
    <s v="Zane Bohnert"/>
    <s v="Zane Bohnert"/>
    <d v="2026-01-29T09:56:40"/>
    <s v="Promoter"/>
    <s v="Closed"/>
    <m/>
    <m/>
    <s v="Yes"/>
    <m/>
    <m/>
    <m/>
    <m/>
    <m/>
    <m/>
    <m/>
    <m/>
    <m/>
    <m/>
    <m/>
    <m/>
    <m/>
    <m/>
    <m/>
    <m/>
    <s v="The experience was easy and direct. I knew exactly where my item was in the peeves at all times and payment was quick once the review of my item was complete"/>
    <m/>
    <m/>
    <m/>
    <m/>
    <s v="Nothing to dislike at all"/>
    <m/>
    <m/>
    <m/>
    <m/>
    <m/>
    <m/>
    <m/>
    <m/>
    <m/>
    <m/>
    <m/>
    <m/>
    <m/>
    <m/>
    <m/>
    <m/>
    <m/>
    <m/>
    <m/>
    <m/>
    <m/>
    <m/>
    <m/>
    <m/>
    <m/>
    <m/>
    <m/>
    <m/>
    <m/>
    <m/>
    <m/>
    <m/>
    <m/>
    <m/>
    <m/>
    <m/>
    <m/>
    <m/>
    <m/>
    <m/>
    <m/>
    <m/>
    <m/>
    <m/>
    <m/>
    <m/>
    <m/>
    <m/>
    <m/>
    <m/>
    <m/>
    <m/>
    <m/>
    <m/>
    <m/>
    <m/>
    <m/>
    <m/>
    <m/>
    <m/>
    <m/>
    <m/>
    <m/>
    <m/>
    <m/>
    <m/>
    <m/>
    <m/>
    <m/>
    <m/>
    <m/>
    <m/>
    <m/>
    <m/>
    <m/>
    <m/>
    <m/>
    <m/>
    <m/>
    <m/>
    <m/>
    <m/>
    <s v="The experience was easy and direct. I knew exactly where my item was in the peeves at all times and payment was quick once the review of my item was complete"/>
    <s v="Nothing to dislike at a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Timeliness of Payment &gt;"/>
    <s v="Trade In &gt; Overall Process &gt;, Trade In &gt; Timeliness of Payment &gt;"/>
    <m/>
    <m/>
    <s v="Trade In &gt; Timeliness of Payment &gt; (Positive)"/>
    <s v="Trade In &gt; Overall Process &gt; (Positive), Trade In &gt; Timeliness of Payment &gt; (Positive)"/>
    <s v="Yes"/>
    <s v="No"/>
    <m/>
    <x v="0"/>
    <x v="35"/>
    <x v="22"/>
    <m/>
    <x v="0"/>
    <x v="0"/>
  </r>
  <r>
    <s v="Catherine Gaidos - Used Trade-In Product"/>
    <n v="10"/>
    <n v="5"/>
    <d v="2026-01-29T09:56:16"/>
    <n v="5168508"/>
    <s v="Used Trade-In Product"/>
    <m/>
    <s v="Catherine Gaidos"/>
    <m/>
    <s v="gaidos@twinvalley.net"/>
    <m/>
    <s v="Manhattan;Kansas;66503"/>
    <s v="Manhattan;Kansas;66503"/>
    <s v="8 years 3 months"/>
    <s v="Yes"/>
    <m/>
    <m/>
    <s v="gaidos@twinvalley.net"/>
    <s v="99"/>
    <m/>
    <m/>
    <m/>
    <m/>
    <m/>
    <m/>
    <m/>
    <m/>
    <d v="2026-01-29T14:29:21"/>
    <d v="2026-01-29T12:45:33"/>
    <m/>
    <s v="1135456"/>
    <m/>
    <m/>
    <m/>
    <m/>
    <m/>
    <m/>
    <m/>
    <m/>
    <m/>
    <m/>
    <m/>
    <m/>
    <m/>
    <m/>
    <m/>
    <m/>
    <m/>
    <m/>
    <m/>
    <m/>
    <m/>
    <m/>
    <s v="https://bnh.lightning.force.com/0018X000034WPejQAG"/>
    <m/>
    <m/>
    <m/>
    <m/>
    <m/>
    <m/>
    <m/>
    <m/>
    <m/>
    <m/>
    <m/>
    <m/>
    <m/>
    <m/>
    <m/>
    <m/>
    <m/>
    <m/>
    <m/>
    <m/>
    <m/>
    <m/>
    <m/>
    <m/>
    <m/>
    <m/>
    <m/>
    <m/>
    <m/>
    <m/>
    <m/>
    <m/>
    <m/>
    <m/>
    <m/>
    <m/>
    <m/>
    <m/>
    <s v="CAD"/>
    <m/>
    <s v="No"/>
    <s v="Zane Bohnert"/>
    <s v="Zane Bohnert"/>
    <d v="2026-01-29T09:50:10"/>
    <s v="Promoter"/>
    <s v="Closed"/>
    <m/>
    <m/>
    <s v="Yes"/>
    <m/>
    <m/>
    <m/>
    <m/>
    <m/>
    <m/>
    <m/>
    <m/>
    <m/>
    <m/>
    <m/>
    <m/>
    <m/>
    <m/>
    <m/>
    <m/>
    <s v="Easy to use."/>
    <m/>
    <m/>
    <m/>
    <m/>
    <s v="Feel like decrease in quote amount was for reasons different than what they should have been. I don’t believe I said I would include battery, charger etc. Would have been fine with decrease for condition or something like that. Not enough to really care about but would have made it more palatable."/>
    <m/>
    <m/>
    <m/>
    <m/>
    <m/>
    <m/>
    <m/>
    <m/>
    <m/>
    <m/>
    <m/>
    <m/>
    <m/>
    <m/>
    <m/>
    <m/>
    <m/>
    <m/>
    <m/>
    <m/>
    <m/>
    <m/>
    <m/>
    <m/>
    <m/>
    <m/>
    <m/>
    <m/>
    <m/>
    <m/>
    <m/>
    <m/>
    <m/>
    <m/>
    <m/>
    <m/>
    <m/>
    <m/>
    <m/>
    <m/>
    <m/>
    <m/>
    <m/>
    <m/>
    <m/>
    <m/>
    <m/>
    <m/>
    <m/>
    <m/>
    <m/>
    <m/>
    <m/>
    <m/>
    <m/>
    <m/>
    <m/>
    <m/>
    <m/>
    <m/>
    <m/>
    <m/>
    <m/>
    <m/>
    <m/>
    <m/>
    <m/>
    <m/>
    <m/>
    <m/>
    <m/>
    <m/>
    <m/>
    <m/>
    <m/>
    <m/>
    <m/>
    <m/>
    <m/>
    <m/>
    <m/>
    <m/>
    <s v="Easy to use."/>
    <s v="Feel like decrease in quote amount was for reasons different than what they should have been. I don’t believe I said I would include battery, charger etc. Would have been fine with decrease for condition or something like that. Not enough to really care about but would have made it more palat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4"/>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Negative)"/>
    <s v="Trade In &gt; Overall Process &gt; (Positive), Trade In &gt; Quote Price &gt; (Negative)"/>
    <s v="Yes"/>
    <s v="Yes"/>
    <m/>
    <x v="0"/>
    <x v="45"/>
    <x v="0"/>
    <m/>
    <x v="0"/>
    <x v="0"/>
  </r>
  <r>
    <s v="K Leslie Hammond - Used Trade-In Product"/>
    <n v="10"/>
    <n v="5"/>
    <d v="2026-01-29T09:47:34"/>
    <n v="5168493"/>
    <s v="Used Trade-In Product"/>
    <m/>
    <s v="K Leslie Hammond"/>
    <m/>
    <s v="klhdesign1@gmail.com"/>
    <m/>
    <s v="Tucson;Arizona;85750"/>
    <s v="Tucson;Arizona;85750"/>
    <s v="10 years 7 months"/>
    <s v="No"/>
    <m/>
    <m/>
    <s v="klhdesign1@gmail.com"/>
    <s v="127"/>
    <m/>
    <m/>
    <m/>
    <m/>
    <m/>
    <m/>
    <m/>
    <m/>
    <d v="2026-01-29T14:27:33"/>
    <d v="2026-01-29T12:44:43"/>
    <m/>
    <s v="1134157"/>
    <m/>
    <m/>
    <m/>
    <m/>
    <m/>
    <m/>
    <m/>
    <m/>
    <m/>
    <m/>
    <m/>
    <m/>
    <m/>
    <m/>
    <m/>
    <m/>
    <m/>
    <m/>
    <m/>
    <m/>
    <m/>
    <m/>
    <s v="https://bnh.lightning.force.com/001WP00000oaBIPYA2"/>
    <m/>
    <m/>
    <m/>
    <m/>
    <m/>
    <m/>
    <m/>
    <m/>
    <m/>
    <m/>
    <m/>
    <m/>
    <m/>
    <m/>
    <m/>
    <m/>
    <m/>
    <m/>
    <m/>
    <m/>
    <m/>
    <m/>
    <m/>
    <m/>
    <m/>
    <m/>
    <m/>
    <m/>
    <m/>
    <m/>
    <m/>
    <m/>
    <m/>
    <m/>
    <m/>
    <m/>
    <m/>
    <m/>
    <s v="CAD"/>
    <m/>
    <s v="No"/>
    <s v="Zane Bohnert"/>
    <s v="Zane Bohnert"/>
    <d v="2026-01-29T09:47:44"/>
    <s v="Promoter"/>
    <s v="Closed"/>
    <m/>
    <m/>
    <s v="Yes"/>
    <m/>
    <m/>
    <m/>
    <m/>
    <m/>
    <m/>
    <m/>
    <m/>
    <m/>
    <m/>
    <m/>
    <m/>
    <m/>
    <m/>
    <m/>
    <m/>
    <s v="I have been a client of B&amp;H for 20 years and I find the information online or in person excellent."/>
    <m/>
    <m/>
    <m/>
    <m/>
    <m/>
    <m/>
    <m/>
    <m/>
    <m/>
    <m/>
    <m/>
    <m/>
    <m/>
    <m/>
    <m/>
    <m/>
    <m/>
    <m/>
    <m/>
    <m/>
    <m/>
    <m/>
    <m/>
    <m/>
    <m/>
    <m/>
    <m/>
    <m/>
    <m/>
    <m/>
    <m/>
    <m/>
    <m/>
    <m/>
    <m/>
    <m/>
    <m/>
    <m/>
    <m/>
    <m/>
    <m/>
    <m/>
    <m/>
    <m/>
    <m/>
    <m/>
    <m/>
    <m/>
    <m/>
    <m/>
    <m/>
    <m/>
    <m/>
    <m/>
    <m/>
    <m/>
    <m/>
    <m/>
    <m/>
    <m/>
    <m/>
    <m/>
    <m/>
    <m/>
    <m/>
    <m/>
    <m/>
    <m/>
    <m/>
    <m/>
    <m/>
    <m/>
    <m/>
    <m/>
    <m/>
    <m/>
    <m/>
    <m/>
    <m/>
    <m/>
    <m/>
    <m/>
    <m/>
    <m/>
    <m/>
    <m/>
    <m/>
    <s v="I have been a client of B&amp;H for 20 years and I find the information online or in person excell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Communication Skills &gt;"/>
    <s v="B&amp;H &gt; Loyalty &gt;, People &gt; Knowledge / Recommend &gt;, Website &gt; Content Product Details / Information &gt;"/>
    <m/>
    <m/>
    <s v="People &gt; Communication Skills &gt; (Positive)"/>
    <s v="B&amp;H &gt; Loyalty &gt; (Positive), People &gt; Knowledge / Recommend &gt; (Positive), Website &gt; Content Product Details / Information &gt; (Positive)"/>
    <s v="Yes"/>
    <s v="No"/>
    <m/>
    <x v="7"/>
    <x v="0"/>
    <x v="0"/>
    <m/>
    <x v="0"/>
    <x v="0"/>
  </r>
  <r>
    <s v="Asgeir Olafsson - Used Trade-In Product"/>
    <n v="10"/>
    <n v="5"/>
    <d v="2026-01-29T07:54:52"/>
    <n v="5168237"/>
    <s v="Used Trade-In Product"/>
    <m/>
    <s v="Asgeir Olafsson"/>
    <m/>
    <s v="amolafsson@gmail.com"/>
    <m/>
    <s v="Iceland"/>
    <s v="Iceland"/>
    <s v="2 years 7 months"/>
    <s v="No"/>
    <m/>
    <m/>
    <s v="amolafsson@gmail.com"/>
    <s v="31"/>
    <m/>
    <m/>
    <m/>
    <m/>
    <m/>
    <m/>
    <m/>
    <m/>
    <d v="2026-01-29T09:40:21"/>
    <d v="2026-01-28T15:20:28"/>
    <m/>
    <s v="1136921"/>
    <m/>
    <m/>
    <m/>
    <m/>
    <m/>
    <m/>
    <m/>
    <m/>
    <m/>
    <m/>
    <m/>
    <m/>
    <m/>
    <m/>
    <m/>
    <m/>
    <m/>
    <m/>
    <m/>
    <m/>
    <m/>
    <m/>
    <s v="https://bnh.lightning.force.com/0018X00003IezeaQAB"/>
    <m/>
    <m/>
    <m/>
    <m/>
    <m/>
    <m/>
    <m/>
    <m/>
    <m/>
    <m/>
    <m/>
    <m/>
    <m/>
    <m/>
    <m/>
    <m/>
    <m/>
    <m/>
    <m/>
    <m/>
    <m/>
    <m/>
    <m/>
    <m/>
    <m/>
    <m/>
    <m/>
    <m/>
    <m/>
    <m/>
    <m/>
    <m/>
    <m/>
    <m/>
    <m/>
    <m/>
    <m/>
    <m/>
    <s v="CAD"/>
    <m/>
    <s v="No"/>
    <s v="Zane Bohnert"/>
    <s v="Zane Bohnert"/>
    <d v="2026-01-29T07:50:53"/>
    <s v="Promoter"/>
    <s v="Closed"/>
    <m/>
    <m/>
    <s v="Yes"/>
    <m/>
    <m/>
    <m/>
    <m/>
    <m/>
    <m/>
    <m/>
    <m/>
    <m/>
    <m/>
    <m/>
    <m/>
    <m/>
    <m/>
    <m/>
    <m/>
    <s v="yase of use the service. i got paid as the quote said so the judgment was fair."/>
    <m/>
    <m/>
    <m/>
    <m/>
    <s v="i live in a small town in Iceland so i had to travel to Reykjavik to talk to fedx with extra cost. also i had to pay over 170usd for the shipping. i dont think that is fair."/>
    <m/>
    <m/>
    <m/>
    <m/>
    <m/>
    <m/>
    <m/>
    <m/>
    <m/>
    <m/>
    <m/>
    <m/>
    <m/>
    <m/>
    <m/>
    <m/>
    <m/>
    <m/>
    <m/>
    <m/>
    <m/>
    <m/>
    <m/>
    <m/>
    <m/>
    <m/>
    <m/>
    <m/>
    <m/>
    <m/>
    <m/>
    <m/>
    <m/>
    <m/>
    <m/>
    <m/>
    <m/>
    <m/>
    <m/>
    <m/>
    <m/>
    <m/>
    <m/>
    <m/>
    <m/>
    <m/>
    <m/>
    <m/>
    <m/>
    <m/>
    <m/>
    <m/>
    <m/>
    <m/>
    <m/>
    <m/>
    <m/>
    <m/>
    <m/>
    <m/>
    <m/>
    <m/>
    <m/>
    <m/>
    <m/>
    <m/>
    <m/>
    <m/>
    <m/>
    <m/>
    <m/>
    <m/>
    <m/>
    <m/>
    <m/>
    <m/>
    <m/>
    <m/>
    <m/>
    <m/>
    <m/>
    <m/>
    <s v="yase of use the service. i got paid as the quote said so the judgment was fair."/>
    <s v="i live in a small town in Iceland so i had to travel to Reykjavik to talk to fedx with extra cost. also i had to pay over 170usd for the shipping. i dont think that is fai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4"/>
    <n v="5"/>
    <n v="4"/>
    <m/>
    <m/>
    <m/>
    <m/>
    <m/>
    <m/>
    <m/>
    <m/>
    <m/>
    <m/>
    <m/>
    <m/>
    <m/>
    <m/>
    <m/>
    <m/>
    <m/>
    <m/>
    <m/>
    <m/>
    <m/>
    <m/>
    <m/>
    <m/>
    <m/>
    <m/>
    <m/>
    <m/>
    <m/>
    <m/>
    <m/>
    <m/>
    <m/>
    <m/>
    <m/>
    <m/>
    <m/>
    <m/>
    <m/>
    <m/>
    <m/>
    <m/>
    <m/>
    <m/>
    <m/>
    <m/>
    <m/>
    <m/>
    <m/>
    <m/>
    <m/>
    <m/>
    <m/>
    <m/>
    <m/>
    <m/>
    <m/>
    <m/>
    <m/>
    <m/>
    <m/>
    <m/>
    <m/>
    <m/>
    <m/>
    <m/>
    <m/>
    <m/>
    <m/>
    <m/>
    <m/>
    <m/>
    <m/>
    <m/>
    <m/>
    <m/>
    <m/>
    <m/>
    <m/>
    <m/>
    <m/>
    <m/>
    <m/>
    <m/>
    <m/>
    <m/>
    <m/>
    <m/>
    <m/>
    <m/>
    <m/>
    <m/>
    <m/>
    <m/>
    <m/>
    <m/>
    <m/>
    <m/>
    <m/>
    <m/>
    <m/>
    <s v="Trade In &gt; Overall Process &gt;, Used &gt; Description &gt;"/>
    <s v="Trade In &gt; Overall Process &gt;, Trade In &gt; Quote Price &gt;"/>
    <m/>
    <m/>
    <s v="Trade In &gt; Overall Process &gt; (No opinion), Used &gt; Description &gt; (No opinion)"/>
    <s v="Trade In &gt; Overall Process &gt; (Negative), Trade In &gt; Overall Process &gt; (Positive), Trade In &gt; Quote Price &gt; (Positive)"/>
    <s v="Yes"/>
    <s v="Yes"/>
    <m/>
    <x v="5"/>
    <x v="9"/>
    <x v="26"/>
    <m/>
    <x v="0"/>
    <x v="0"/>
  </r>
  <r>
    <s v="Robert Slavonia - Used Trade-In Product"/>
    <n v="10"/>
    <n v="5"/>
    <d v="2026-01-29T00:01:22"/>
    <n v="5167980"/>
    <s v="Used Trade-In Product"/>
    <m/>
    <s v="Robert Slavonia"/>
    <m/>
    <s v="bslavonia@nc.rr.com"/>
    <m/>
    <s v="Pittsboro;North Carolina;27312"/>
    <m/>
    <m/>
    <s v="No"/>
    <m/>
    <m/>
    <s v="bslavonia@nc.rr.com"/>
    <m/>
    <m/>
    <m/>
    <m/>
    <m/>
    <m/>
    <m/>
    <m/>
    <m/>
    <d v="2026-01-29T10:30:23"/>
    <d v="2026-01-28T13:03:08"/>
    <m/>
    <s v="1136213"/>
    <m/>
    <m/>
    <m/>
    <m/>
    <m/>
    <m/>
    <m/>
    <m/>
    <m/>
    <m/>
    <m/>
    <m/>
    <m/>
    <m/>
    <m/>
    <m/>
    <m/>
    <m/>
    <m/>
    <m/>
    <m/>
    <m/>
    <s v="https://bnh.lightning.force.com/001WP00000pfhIMYAY"/>
    <m/>
    <m/>
    <m/>
    <m/>
    <m/>
    <m/>
    <m/>
    <m/>
    <m/>
    <m/>
    <m/>
    <m/>
    <m/>
    <m/>
    <m/>
    <m/>
    <m/>
    <m/>
    <m/>
    <m/>
    <m/>
    <m/>
    <m/>
    <m/>
    <m/>
    <m/>
    <m/>
    <m/>
    <m/>
    <m/>
    <m/>
    <m/>
    <m/>
    <m/>
    <m/>
    <m/>
    <m/>
    <m/>
    <s v="CAD"/>
    <m/>
    <s v="No"/>
    <s v="Nick Badame"/>
    <s v="Nick Badame"/>
    <d v="2026-01-28T23:57:17"/>
    <s v="Promoter"/>
    <s v="Closed"/>
    <m/>
    <m/>
    <s v="Yes"/>
    <m/>
    <m/>
    <m/>
    <m/>
    <m/>
    <m/>
    <m/>
    <m/>
    <m/>
    <m/>
    <m/>
    <m/>
    <m/>
    <m/>
    <m/>
    <m/>
    <s v="The ease of the experience, the honesty of B&amp;H, the feed back and prompt payment."/>
    <m/>
    <m/>
    <m/>
    <m/>
    <s v="Not being able to increase the payment against follow up purchase from B&amp;H"/>
    <m/>
    <m/>
    <m/>
    <m/>
    <m/>
    <m/>
    <m/>
    <m/>
    <m/>
    <m/>
    <m/>
    <m/>
    <m/>
    <m/>
    <m/>
    <m/>
    <m/>
    <m/>
    <m/>
    <m/>
    <m/>
    <m/>
    <m/>
    <m/>
    <m/>
    <m/>
    <m/>
    <m/>
    <m/>
    <m/>
    <m/>
    <m/>
    <m/>
    <m/>
    <m/>
    <m/>
    <m/>
    <m/>
    <m/>
    <m/>
    <m/>
    <m/>
    <m/>
    <m/>
    <m/>
    <m/>
    <m/>
    <m/>
    <m/>
    <m/>
    <m/>
    <m/>
    <m/>
    <m/>
    <m/>
    <m/>
    <m/>
    <m/>
    <m/>
    <m/>
    <m/>
    <m/>
    <m/>
    <m/>
    <m/>
    <m/>
    <m/>
    <m/>
    <m/>
    <m/>
    <m/>
    <m/>
    <m/>
    <m/>
    <m/>
    <m/>
    <m/>
    <m/>
    <m/>
    <m/>
    <m/>
    <m/>
    <s v="The ease of the experience, the honesty of B&amp;H, the feed back and prompt payment."/>
    <s v="Not being able to increase the payment against follow up purchase from B&amp;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People &gt; Follow Up &gt;, Trade In &gt; Timeliness of Payment &gt;"/>
    <s v="B&amp;H &gt; Reliable / Trustworthy &gt;, Trade In &gt; Quote Price &gt;, Trade In &gt; Timeliness of Payment &gt;"/>
    <m/>
    <m/>
    <s v="B&amp;H &gt; Reliable / Trustworthy &gt; (Positive), People &gt; Follow Up &gt; (Negative), Trade In &gt; Timeliness of Payment &gt; (Positive)"/>
    <s v="B&amp;H &gt; Reliable / Trustworthy &gt; (Positive), Trade In &gt; Quote Price &gt; (Negative), Trade In &gt; Timeliness of Payment &gt; (Positive)"/>
    <s v="Yes"/>
    <s v="No"/>
    <m/>
    <x v="5"/>
    <x v="25"/>
    <x v="22"/>
    <m/>
    <x v="0"/>
    <x v="0"/>
  </r>
  <r>
    <s v="Floyd R Pearson - Used Trade-In Product"/>
    <n v="10"/>
    <n v="5"/>
    <d v="2026-01-28T22:17:46"/>
    <n v="5167830"/>
    <s v="Used Trade-In Product"/>
    <m/>
    <s v="Floyd R Pearson"/>
    <m/>
    <s v="randallpearson40@gmail.com"/>
    <m/>
    <s v="Santa Barbara;California;93101"/>
    <s v="Santa Barbara;California;93101"/>
    <s v="3 years 0 months"/>
    <s v="No"/>
    <m/>
    <m/>
    <s v="randallpearson40@gmail.com"/>
    <s v="36"/>
    <m/>
    <m/>
    <m/>
    <m/>
    <m/>
    <m/>
    <m/>
    <m/>
    <d v="2026-01-29T10:24:21"/>
    <d v="2026-01-28T13:03:13"/>
    <m/>
    <s v="1134023"/>
    <m/>
    <m/>
    <m/>
    <m/>
    <m/>
    <m/>
    <m/>
    <m/>
    <m/>
    <m/>
    <m/>
    <m/>
    <m/>
    <m/>
    <m/>
    <m/>
    <m/>
    <m/>
    <m/>
    <m/>
    <m/>
    <m/>
    <s v="https://bnh.lightning.force.com/0018X00003OTGSxQAP"/>
    <m/>
    <m/>
    <m/>
    <m/>
    <m/>
    <m/>
    <m/>
    <m/>
    <m/>
    <m/>
    <m/>
    <m/>
    <m/>
    <m/>
    <m/>
    <m/>
    <m/>
    <m/>
    <m/>
    <m/>
    <m/>
    <m/>
    <m/>
    <m/>
    <m/>
    <m/>
    <m/>
    <m/>
    <m/>
    <m/>
    <m/>
    <m/>
    <m/>
    <m/>
    <m/>
    <m/>
    <m/>
    <m/>
    <s v="CAD"/>
    <m/>
    <s v="No"/>
    <s v="Nick Badame"/>
    <s v="Nick Badame"/>
    <d v="2026-01-28T22:17:25"/>
    <s v="Promoter"/>
    <s v="Closed"/>
    <m/>
    <m/>
    <s v="Yes"/>
    <m/>
    <m/>
    <m/>
    <m/>
    <m/>
    <m/>
    <m/>
    <m/>
    <m/>
    <m/>
    <m/>
    <m/>
    <m/>
    <m/>
    <m/>
    <m/>
    <s v="It was very quick and easy!"/>
    <m/>
    <m/>
    <m/>
    <m/>
    <s v="Nothing"/>
    <m/>
    <m/>
    <m/>
    <m/>
    <m/>
    <m/>
    <m/>
    <m/>
    <m/>
    <m/>
    <m/>
    <m/>
    <m/>
    <m/>
    <m/>
    <m/>
    <m/>
    <m/>
    <m/>
    <m/>
    <m/>
    <m/>
    <m/>
    <m/>
    <m/>
    <m/>
    <m/>
    <m/>
    <m/>
    <m/>
    <m/>
    <m/>
    <m/>
    <m/>
    <m/>
    <m/>
    <m/>
    <m/>
    <m/>
    <m/>
    <m/>
    <m/>
    <m/>
    <m/>
    <m/>
    <m/>
    <m/>
    <m/>
    <m/>
    <m/>
    <m/>
    <m/>
    <m/>
    <m/>
    <m/>
    <m/>
    <m/>
    <m/>
    <m/>
    <m/>
    <m/>
    <m/>
    <m/>
    <m/>
    <m/>
    <m/>
    <m/>
    <m/>
    <m/>
    <m/>
    <m/>
    <m/>
    <m/>
    <m/>
    <m/>
    <m/>
    <m/>
    <m/>
    <m/>
    <m/>
    <m/>
    <m/>
    <s v="It was very quick and easy!"/>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Strongly positive)"/>
    <s v="Yes"/>
    <s v="No"/>
    <m/>
    <x v="0"/>
    <x v="0"/>
    <x v="0"/>
    <m/>
    <x v="0"/>
    <x v="0"/>
  </r>
  <r>
    <s v="Jeffrey Hausknecht - Used Trade-In Product"/>
    <n v="10"/>
    <n v="5"/>
    <d v="2026-01-28T14:09:00"/>
    <n v="5166725"/>
    <s v="Used Trade-In Product"/>
    <m/>
    <s v="Jeffrey Hausknecht"/>
    <m/>
    <s v="jeffreykeith17@gmail.com"/>
    <m/>
    <s v="Carolina Beach;North Carolina;28428"/>
    <m/>
    <s v="4 years 7 months"/>
    <s v="No"/>
    <m/>
    <m/>
    <s v="jeffreykeith17@gmail.com"/>
    <s v="55"/>
    <m/>
    <m/>
    <m/>
    <m/>
    <m/>
    <m/>
    <m/>
    <m/>
    <d v="2026-01-29T08:14:08"/>
    <d v="2026-01-27T13:15:00"/>
    <m/>
    <s v="1134911"/>
    <m/>
    <m/>
    <m/>
    <m/>
    <m/>
    <m/>
    <m/>
    <m/>
    <m/>
    <m/>
    <m/>
    <m/>
    <m/>
    <m/>
    <m/>
    <m/>
    <m/>
    <m/>
    <m/>
    <m/>
    <m/>
    <m/>
    <s v="https://bnh.lightning.force.com/001WP00000owRBfYAM"/>
    <m/>
    <m/>
    <m/>
    <m/>
    <m/>
    <m/>
    <m/>
    <m/>
    <m/>
    <m/>
    <m/>
    <m/>
    <m/>
    <m/>
    <m/>
    <m/>
    <m/>
    <m/>
    <m/>
    <m/>
    <m/>
    <m/>
    <m/>
    <m/>
    <m/>
    <m/>
    <m/>
    <m/>
    <m/>
    <m/>
    <m/>
    <m/>
    <m/>
    <m/>
    <m/>
    <m/>
    <m/>
    <m/>
    <s v="CAD"/>
    <m/>
    <s v="No"/>
    <s v="Aine Hoye"/>
    <s v="Aine Hoye"/>
    <d v="2026-01-28T14:07:58"/>
    <s v="Promoter"/>
    <s v="Closed"/>
    <m/>
    <m/>
    <s v="Yes"/>
    <m/>
    <m/>
    <m/>
    <m/>
    <m/>
    <m/>
    <m/>
    <m/>
    <m/>
    <m/>
    <m/>
    <m/>
    <m/>
    <m/>
    <m/>
    <m/>
    <s v="B&amp;H always makes the process simple and easy.  They have good communication and their offers are more than fair. Always happy dealing with them and will remain my first choice for my photography needs.  Good stuff."/>
    <m/>
    <m/>
    <m/>
    <m/>
    <m/>
    <m/>
    <m/>
    <m/>
    <m/>
    <m/>
    <m/>
    <m/>
    <m/>
    <m/>
    <m/>
    <m/>
    <m/>
    <m/>
    <m/>
    <m/>
    <m/>
    <m/>
    <m/>
    <m/>
    <m/>
    <m/>
    <m/>
    <m/>
    <m/>
    <m/>
    <m/>
    <m/>
    <m/>
    <m/>
    <m/>
    <m/>
    <m/>
    <m/>
    <m/>
    <m/>
    <m/>
    <m/>
    <m/>
    <m/>
    <m/>
    <m/>
    <m/>
    <m/>
    <m/>
    <m/>
    <m/>
    <m/>
    <m/>
    <m/>
    <m/>
    <m/>
    <m/>
    <m/>
    <m/>
    <m/>
    <m/>
    <m/>
    <m/>
    <m/>
    <m/>
    <m/>
    <m/>
    <m/>
    <m/>
    <m/>
    <m/>
    <m/>
    <m/>
    <m/>
    <m/>
    <m/>
    <m/>
    <m/>
    <m/>
    <m/>
    <m/>
    <m/>
    <m/>
    <m/>
    <m/>
    <m/>
    <m/>
    <s v="B&amp;H always makes the process simple and easy.  They have good communication and their offers are more than fair. Always happy dealing with them and will remain my first choice for my photography needs.  Good stuff."/>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Satisfaction &gt;, People &gt; Follow Up &gt;, Trade In &gt; Overall Process &gt;, Trade In &gt; Quote Price &gt;"/>
    <m/>
    <m/>
    <s v="Trade In &gt; Overall Process &gt; (Positive)"/>
    <s v="B&amp;H &gt; Satisfaction &gt; (Positive), People &gt; Follow Up &gt; (Positive), Trade In &gt; Overall Process &gt; (Positive), Trade In &gt; Quote Price &gt; (Positive)"/>
    <s v="Yes"/>
    <s v="No"/>
    <m/>
    <x v="0"/>
    <x v="21"/>
    <x v="27"/>
    <m/>
    <x v="0"/>
    <x v="0"/>
  </r>
  <r>
    <s v="Yiping Yang - Used Trade-In Product"/>
    <n v="10"/>
    <n v="5"/>
    <d v="2026-01-28T13:54:35"/>
    <n v="5166695"/>
    <s v="Used Trade-In Product"/>
    <m/>
    <s v="Yiping Yang"/>
    <m/>
    <s v="yang.charles@ymail.com"/>
    <m/>
    <s v="Lexington;Massachusetts;02420"/>
    <m/>
    <m/>
    <s v="No"/>
    <m/>
    <m/>
    <s v="yang.charles@ymail.com"/>
    <m/>
    <m/>
    <m/>
    <m/>
    <m/>
    <m/>
    <m/>
    <m/>
    <m/>
    <d v="2026-01-29T08:02:38"/>
    <d v="2026-01-28T13:01:26"/>
    <m/>
    <s v="1135526"/>
    <m/>
    <m/>
    <m/>
    <m/>
    <m/>
    <m/>
    <m/>
    <m/>
    <m/>
    <m/>
    <m/>
    <m/>
    <m/>
    <m/>
    <m/>
    <m/>
    <m/>
    <m/>
    <m/>
    <m/>
    <m/>
    <m/>
    <s v="https://bnh.lightning.force.com/001WP00000pHiVoYAK"/>
    <m/>
    <m/>
    <m/>
    <m/>
    <m/>
    <m/>
    <m/>
    <m/>
    <m/>
    <m/>
    <m/>
    <m/>
    <m/>
    <m/>
    <m/>
    <m/>
    <m/>
    <m/>
    <m/>
    <m/>
    <m/>
    <m/>
    <m/>
    <m/>
    <m/>
    <m/>
    <m/>
    <m/>
    <m/>
    <m/>
    <m/>
    <m/>
    <m/>
    <m/>
    <m/>
    <m/>
    <m/>
    <m/>
    <s v="CAD"/>
    <m/>
    <s v="No"/>
    <s v="Zane Bohnert"/>
    <s v="Zane Bohnert"/>
    <d v="2026-01-28T13:54:52"/>
    <s v="Promoter"/>
    <s v="Closed"/>
    <m/>
    <m/>
    <s v="Yes"/>
    <m/>
    <m/>
    <m/>
    <m/>
    <m/>
    <m/>
    <m/>
    <m/>
    <m/>
    <m/>
    <m/>
    <m/>
    <m/>
    <m/>
    <m/>
    <m/>
    <s v="Very professional."/>
    <m/>
    <m/>
    <m/>
    <m/>
    <m/>
    <m/>
    <m/>
    <m/>
    <m/>
    <m/>
    <m/>
    <m/>
    <m/>
    <m/>
    <m/>
    <m/>
    <m/>
    <m/>
    <m/>
    <m/>
    <m/>
    <m/>
    <m/>
    <m/>
    <m/>
    <m/>
    <m/>
    <m/>
    <m/>
    <m/>
    <m/>
    <m/>
    <m/>
    <m/>
    <m/>
    <m/>
    <m/>
    <m/>
    <m/>
    <m/>
    <m/>
    <m/>
    <m/>
    <m/>
    <m/>
    <m/>
    <m/>
    <m/>
    <m/>
    <m/>
    <m/>
    <m/>
    <m/>
    <m/>
    <m/>
    <m/>
    <m/>
    <m/>
    <m/>
    <m/>
    <m/>
    <m/>
    <m/>
    <m/>
    <m/>
    <m/>
    <m/>
    <m/>
    <m/>
    <m/>
    <m/>
    <m/>
    <m/>
    <m/>
    <m/>
    <m/>
    <m/>
    <m/>
    <m/>
    <m/>
    <m/>
    <m/>
    <m/>
    <m/>
    <m/>
    <m/>
    <m/>
    <s v="Very profession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B&amp;H &gt; Reliable / Trustworthy &gt;"/>
    <m/>
    <m/>
    <m/>
    <s v="B&amp;H &gt; Reliable / Trustworthy &gt; (Positive)"/>
    <s v="Yes"/>
    <s v="No"/>
    <m/>
    <x v="34"/>
    <x v="0"/>
    <x v="0"/>
    <m/>
    <x v="0"/>
    <x v="0"/>
  </r>
  <r>
    <s v="David Corsaky - Used Trade-In Product"/>
    <n v="10"/>
    <n v="5"/>
    <d v="2026-01-28T13:52:49"/>
    <n v="5166689"/>
    <s v="Used Trade-In Product"/>
    <m/>
    <s v="David Corsaky"/>
    <m/>
    <s v="djc8415@yahoo.com"/>
    <m/>
    <s v="Toms River;New Jersey;08755"/>
    <s v="Toms River;New Jersey;08755"/>
    <s v="0 months"/>
    <s v="No"/>
    <m/>
    <m/>
    <s v="djc8415@yahoo.com"/>
    <s v="0"/>
    <m/>
    <m/>
    <m/>
    <m/>
    <m/>
    <m/>
    <m/>
    <m/>
    <d v="2026-01-29T08:00:51"/>
    <d v="2026-01-28T16:20:38"/>
    <m/>
    <s v="1137784"/>
    <m/>
    <m/>
    <m/>
    <m/>
    <m/>
    <m/>
    <m/>
    <m/>
    <m/>
    <m/>
    <m/>
    <m/>
    <m/>
    <m/>
    <m/>
    <m/>
    <m/>
    <m/>
    <m/>
    <m/>
    <m/>
    <m/>
    <s v="https://bnh.lightning.force.com/001WP00000qY3qtYAC"/>
    <m/>
    <m/>
    <m/>
    <m/>
    <m/>
    <m/>
    <m/>
    <m/>
    <m/>
    <m/>
    <m/>
    <m/>
    <m/>
    <m/>
    <m/>
    <m/>
    <m/>
    <m/>
    <m/>
    <m/>
    <m/>
    <m/>
    <m/>
    <m/>
    <m/>
    <m/>
    <m/>
    <m/>
    <m/>
    <m/>
    <m/>
    <m/>
    <m/>
    <m/>
    <m/>
    <m/>
    <m/>
    <m/>
    <s v="CAD"/>
    <m/>
    <s v="No"/>
    <s v="Zane Bohnert"/>
    <s v="Zane Bohnert"/>
    <d v="2026-01-28T13:52:00"/>
    <s v="Promoter"/>
    <s v="Closed"/>
    <m/>
    <m/>
    <s v="Yes"/>
    <m/>
    <m/>
    <m/>
    <m/>
    <m/>
    <m/>
    <m/>
    <m/>
    <m/>
    <m/>
    <m/>
    <m/>
    <m/>
    <m/>
    <m/>
    <m/>
    <s v="Both my online and telephone experiences were great and your associates were informative and helpful."/>
    <m/>
    <m/>
    <m/>
    <m/>
    <s v="Nothing"/>
    <m/>
    <m/>
    <m/>
    <m/>
    <m/>
    <m/>
    <m/>
    <m/>
    <m/>
    <m/>
    <m/>
    <m/>
    <m/>
    <m/>
    <m/>
    <m/>
    <m/>
    <m/>
    <m/>
    <m/>
    <m/>
    <m/>
    <m/>
    <m/>
    <m/>
    <m/>
    <m/>
    <m/>
    <m/>
    <m/>
    <m/>
    <m/>
    <m/>
    <m/>
    <m/>
    <m/>
    <m/>
    <m/>
    <m/>
    <m/>
    <m/>
    <m/>
    <m/>
    <m/>
    <m/>
    <m/>
    <m/>
    <m/>
    <m/>
    <m/>
    <m/>
    <m/>
    <m/>
    <m/>
    <m/>
    <m/>
    <m/>
    <m/>
    <m/>
    <m/>
    <m/>
    <m/>
    <m/>
    <m/>
    <m/>
    <m/>
    <m/>
    <m/>
    <m/>
    <m/>
    <m/>
    <m/>
    <m/>
    <m/>
    <m/>
    <m/>
    <m/>
    <m/>
    <m/>
    <m/>
    <m/>
    <m/>
    <s v="Both my online and telephone experiences were great and your associates were informative and helpful."/>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s v="N/A"/>
    <m/>
    <m/>
    <m/>
    <m/>
    <m/>
    <m/>
    <m/>
    <m/>
    <m/>
    <m/>
    <m/>
    <m/>
    <m/>
    <m/>
    <m/>
    <m/>
    <m/>
    <m/>
    <m/>
    <m/>
    <m/>
    <m/>
    <m/>
    <m/>
    <m/>
    <m/>
    <m/>
    <m/>
    <m/>
    <m/>
    <m/>
    <m/>
    <m/>
    <m/>
    <m/>
    <m/>
    <m/>
    <m/>
    <m/>
    <m/>
    <m/>
    <m/>
    <m/>
    <m/>
    <m/>
    <m/>
    <m/>
    <m/>
    <m/>
    <m/>
    <m/>
    <m/>
    <m/>
    <m/>
    <m/>
    <m/>
    <m/>
    <m/>
    <m/>
    <m/>
    <m/>
    <m/>
    <m/>
    <m/>
    <m/>
    <m/>
    <m/>
    <m/>
    <m/>
    <m/>
    <m/>
    <m/>
    <m/>
    <m/>
    <m/>
    <m/>
    <m/>
    <m/>
    <m/>
    <m/>
    <m/>
    <m/>
    <m/>
    <m/>
    <m/>
    <m/>
    <m/>
    <m/>
    <m/>
    <m/>
    <m/>
    <m/>
    <m/>
    <m/>
    <m/>
    <m/>
    <m/>
    <m/>
    <m/>
    <m/>
    <m/>
    <s v="B&amp;H &gt; Satisfaction &gt;, People &gt; Helpful / Efficient &gt;, People &gt; Knowledge / Recommend &gt;"/>
    <s v="People &gt; Helpful / Efficient &gt;, People &gt; Knowledge / Recommend &gt;, Trade In &gt; Overall Process &gt;"/>
    <m/>
    <s v="POSITIVE"/>
    <s v="B&amp;H &gt; Satisfaction &gt; (Positive), People &gt; Helpful / Efficient &gt; (Positive), People &gt; Knowledge / Recommend &gt; (Positive)"/>
    <s v="People &gt; Helpful / Efficient &gt; (Positive), People &gt; Knowledge / Recommend &gt; (Positive), Trade In &gt; Overall Process &gt; (Positive)"/>
    <s v="Yes"/>
    <s v="No"/>
    <m/>
    <x v="7"/>
    <x v="24"/>
    <x v="0"/>
    <m/>
    <x v="0"/>
    <x v="0"/>
  </r>
  <r>
    <s v="Chris Straigis - Used Trade-In Product"/>
    <n v="10"/>
    <n v="5"/>
    <d v="2026-01-28T13:00:21"/>
    <n v="5166469"/>
    <s v="Used Trade-In Product"/>
    <m/>
    <s v="Chris Straigis"/>
    <m/>
    <s v="cstraigis@allaroundcreative.com"/>
    <m/>
    <s v="Medford;New Jersey;08055"/>
    <s v="Blue Bell;Pennsylvania;19422"/>
    <s v="11 years 2 months"/>
    <s v="No"/>
    <m/>
    <m/>
    <s v="cstraigis@allaroundcreative.com"/>
    <s v="134"/>
    <m/>
    <m/>
    <m/>
    <m/>
    <m/>
    <m/>
    <m/>
    <m/>
    <d v="2026-01-28T13:50:09"/>
    <d v="2026-01-28T14:18:44"/>
    <m/>
    <s v="1135824"/>
    <m/>
    <m/>
    <m/>
    <m/>
    <m/>
    <m/>
    <m/>
    <m/>
    <m/>
    <m/>
    <m/>
    <m/>
    <m/>
    <m/>
    <m/>
    <m/>
    <m/>
    <m/>
    <m/>
    <m/>
    <m/>
    <m/>
    <s v="https://bnh.lightning.force.com/0012L000018WfwJQAS"/>
    <m/>
    <m/>
    <m/>
    <m/>
    <m/>
    <m/>
    <m/>
    <m/>
    <m/>
    <m/>
    <m/>
    <m/>
    <m/>
    <m/>
    <m/>
    <m/>
    <m/>
    <m/>
    <m/>
    <m/>
    <m/>
    <m/>
    <m/>
    <m/>
    <m/>
    <m/>
    <m/>
    <m/>
    <m/>
    <m/>
    <m/>
    <m/>
    <m/>
    <m/>
    <m/>
    <m/>
    <m/>
    <m/>
    <s v="CAD"/>
    <m/>
    <s v="No"/>
    <s v="Zane Bohnert"/>
    <s v="Zane Bohnert"/>
    <d v="2026-01-28T12:33:31"/>
    <s v="Promoter"/>
    <s v="Closed"/>
    <m/>
    <m/>
    <s v="Yes"/>
    <m/>
    <m/>
    <m/>
    <m/>
    <m/>
    <m/>
    <m/>
    <m/>
    <m/>
    <m/>
    <m/>
    <m/>
    <m/>
    <m/>
    <m/>
    <m/>
    <s v="The ease of the process."/>
    <m/>
    <m/>
    <m/>
    <m/>
    <s v="One of my items was declined and I could discuss the specific problem with the appraiser."/>
    <m/>
    <m/>
    <m/>
    <m/>
    <m/>
    <m/>
    <m/>
    <m/>
    <m/>
    <m/>
    <m/>
    <m/>
    <m/>
    <m/>
    <m/>
    <m/>
    <m/>
    <m/>
    <m/>
    <m/>
    <m/>
    <m/>
    <m/>
    <m/>
    <m/>
    <m/>
    <m/>
    <m/>
    <m/>
    <m/>
    <m/>
    <m/>
    <m/>
    <m/>
    <m/>
    <m/>
    <m/>
    <m/>
    <m/>
    <m/>
    <m/>
    <m/>
    <m/>
    <m/>
    <m/>
    <m/>
    <m/>
    <m/>
    <m/>
    <m/>
    <m/>
    <m/>
    <m/>
    <m/>
    <m/>
    <m/>
    <m/>
    <m/>
    <m/>
    <m/>
    <m/>
    <m/>
    <m/>
    <m/>
    <m/>
    <m/>
    <m/>
    <m/>
    <m/>
    <m/>
    <m/>
    <m/>
    <m/>
    <m/>
    <m/>
    <m/>
    <m/>
    <m/>
    <m/>
    <m/>
    <m/>
    <m/>
    <s v="The ease of the process."/>
    <s v="One of my items was declined and I could discuss the specific problem with the appraise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Negative), Trade In &gt; Overall Process &gt; (Positive)"/>
    <s v="Yes"/>
    <s v="No"/>
    <m/>
    <x v="5"/>
    <x v="14"/>
    <x v="28"/>
    <m/>
    <x v="0"/>
    <x v="0"/>
  </r>
  <r>
    <s v="Nichole Palacio - Used Trade-In Product"/>
    <n v="10"/>
    <n v="5"/>
    <d v="2026-01-28T12:10:51"/>
    <n v="5166413"/>
    <s v="Used Trade-In Product"/>
    <m/>
    <s v="Nichole Palacio"/>
    <m/>
    <s v="gimmethathighfive@gmail.com"/>
    <m/>
    <s v="Las Cruces;New Mexico;88011"/>
    <s v="Las Cruces;New Mexico;88011"/>
    <s v="5 years 8 months"/>
    <s v="No"/>
    <m/>
    <m/>
    <s v="gimmethathighfive@gmail.com"/>
    <s v="68"/>
    <m/>
    <m/>
    <m/>
    <m/>
    <m/>
    <m/>
    <m/>
    <m/>
    <d v="2026-01-28T14:01:17"/>
    <d v="2026-01-28T13:04:55"/>
    <m/>
    <s v="1137837"/>
    <m/>
    <m/>
    <m/>
    <m/>
    <m/>
    <m/>
    <m/>
    <m/>
    <m/>
    <m/>
    <m/>
    <m/>
    <m/>
    <m/>
    <m/>
    <m/>
    <m/>
    <m/>
    <m/>
    <m/>
    <m/>
    <m/>
    <s v="https://bnh.lightning.force.com/0018X00003VOaj1QAD"/>
    <m/>
    <m/>
    <m/>
    <m/>
    <m/>
    <m/>
    <m/>
    <m/>
    <m/>
    <m/>
    <m/>
    <m/>
    <m/>
    <m/>
    <m/>
    <m/>
    <m/>
    <m/>
    <m/>
    <m/>
    <m/>
    <m/>
    <m/>
    <m/>
    <m/>
    <m/>
    <m/>
    <m/>
    <m/>
    <m/>
    <m/>
    <m/>
    <m/>
    <m/>
    <m/>
    <m/>
    <m/>
    <m/>
    <s v="CAD"/>
    <m/>
    <s v="No"/>
    <s v="Nick Badame"/>
    <s v="Nick Badame"/>
    <d v="2026-01-28T12:11:01"/>
    <s v="Promoter"/>
    <s v="Closed"/>
    <m/>
    <m/>
    <s v="Yes"/>
    <m/>
    <m/>
    <m/>
    <m/>
    <m/>
    <m/>
    <m/>
    <m/>
    <m/>
    <m/>
    <m/>
    <m/>
    <m/>
    <m/>
    <m/>
    <m/>
    <s v="It was easy!"/>
    <m/>
    <m/>
    <m/>
    <m/>
    <s v="I don't think I was quite able to find the correct product I was trying to sell to B&amp;H, but that's on me."/>
    <m/>
    <m/>
    <m/>
    <m/>
    <m/>
    <m/>
    <m/>
    <m/>
    <m/>
    <m/>
    <m/>
    <m/>
    <m/>
    <m/>
    <m/>
    <m/>
    <m/>
    <m/>
    <m/>
    <m/>
    <m/>
    <m/>
    <m/>
    <m/>
    <m/>
    <m/>
    <m/>
    <m/>
    <m/>
    <m/>
    <m/>
    <m/>
    <m/>
    <m/>
    <m/>
    <m/>
    <m/>
    <m/>
    <m/>
    <m/>
    <m/>
    <m/>
    <m/>
    <m/>
    <m/>
    <m/>
    <m/>
    <m/>
    <m/>
    <m/>
    <m/>
    <m/>
    <m/>
    <m/>
    <m/>
    <m/>
    <m/>
    <m/>
    <m/>
    <m/>
    <m/>
    <m/>
    <m/>
    <m/>
    <m/>
    <m/>
    <m/>
    <m/>
    <m/>
    <m/>
    <m/>
    <m/>
    <m/>
    <m/>
    <m/>
    <m/>
    <m/>
    <m/>
    <m/>
    <m/>
    <m/>
    <m/>
    <s v="It was easy!"/>
    <s v="I don't think I was quite able to find the correct product I was trying to sell to B&amp;H, but that's on 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s v="N/A"/>
    <n v="5"/>
    <n v="5"/>
    <m/>
    <m/>
    <m/>
    <m/>
    <m/>
    <m/>
    <m/>
    <m/>
    <m/>
    <m/>
    <m/>
    <m/>
    <m/>
    <m/>
    <m/>
    <m/>
    <m/>
    <m/>
    <m/>
    <m/>
    <m/>
    <m/>
    <m/>
    <m/>
    <m/>
    <m/>
    <m/>
    <m/>
    <m/>
    <m/>
    <m/>
    <m/>
    <m/>
    <m/>
    <m/>
    <m/>
    <m/>
    <m/>
    <m/>
    <m/>
    <m/>
    <m/>
    <m/>
    <m/>
    <m/>
    <m/>
    <m/>
    <m/>
    <m/>
    <m/>
    <m/>
    <m/>
    <m/>
    <m/>
    <m/>
    <m/>
    <m/>
    <m/>
    <m/>
    <m/>
    <m/>
    <m/>
    <m/>
    <m/>
    <m/>
    <m/>
    <m/>
    <m/>
    <m/>
    <m/>
    <m/>
    <m/>
    <m/>
    <m/>
    <m/>
    <m/>
    <m/>
    <m/>
    <m/>
    <m/>
    <m/>
    <m/>
    <m/>
    <m/>
    <m/>
    <m/>
    <m/>
    <m/>
    <m/>
    <m/>
    <m/>
    <m/>
    <m/>
    <m/>
    <m/>
    <m/>
    <m/>
    <m/>
    <m/>
    <m/>
    <m/>
    <m/>
    <s v="B&amp;H &gt; Satisfaction &gt;, Trade In &gt; Overall Process &gt;"/>
    <m/>
    <m/>
    <m/>
    <s v="B&amp;H &gt; Satisfaction &gt; (Positive), Trade In &gt; Overall Process &gt; (Negative)"/>
    <s v="Yes"/>
    <s v="No"/>
    <m/>
    <x v="0"/>
    <x v="46"/>
    <x v="0"/>
    <m/>
    <x v="0"/>
    <x v="0"/>
  </r>
  <r>
    <s v="Zhenhua Yao - Used Trade-In Product"/>
    <n v="10"/>
    <n v="5"/>
    <d v="2026-01-28T10:17:43"/>
    <n v="5166019"/>
    <s v="Used Trade-In Product"/>
    <m/>
    <s v="Zhenhua Yao"/>
    <m/>
    <s v="yaozhenhua1975@gmail.com"/>
    <m/>
    <s v="Plano;Texas;75025"/>
    <s v="Plano;Texas;75025"/>
    <s v="7 months"/>
    <s v="No"/>
    <m/>
    <m/>
    <s v="yaozhenhua1975@gmail.com"/>
    <s v="7"/>
    <m/>
    <m/>
    <m/>
    <m/>
    <m/>
    <m/>
    <m/>
    <m/>
    <d v="2026-01-28T14:03:18"/>
    <d v="2026-01-28T13:03:24"/>
    <m/>
    <s v="1133703"/>
    <m/>
    <m/>
    <m/>
    <m/>
    <m/>
    <m/>
    <m/>
    <m/>
    <m/>
    <m/>
    <m/>
    <m/>
    <m/>
    <m/>
    <m/>
    <m/>
    <m/>
    <m/>
    <m/>
    <m/>
    <m/>
    <m/>
    <s v="https://bnh.lightning.force.com/001Hs00005TiVfwIAF"/>
    <m/>
    <m/>
    <m/>
    <m/>
    <m/>
    <m/>
    <m/>
    <m/>
    <m/>
    <m/>
    <m/>
    <m/>
    <m/>
    <m/>
    <m/>
    <m/>
    <m/>
    <m/>
    <m/>
    <m/>
    <m/>
    <m/>
    <m/>
    <m/>
    <m/>
    <m/>
    <m/>
    <m/>
    <m/>
    <m/>
    <m/>
    <m/>
    <m/>
    <m/>
    <m/>
    <m/>
    <m/>
    <m/>
    <s v="CAD"/>
    <m/>
    <s v="No"/>
    <s v="Efrat Malachi"/>
    <s v="Efrat Malachi"/>
    <d v="2026-01-28T10:13:38"/>
    <s v="Promoter"/>
    <s v="Closed"/>
    <m/>
    <m/>
    <s v="Yes"/>
    <m/>
    <m/>
    <m/>
    <m/>
    <m/>
    <m/>
    <m/>
    <m/>
    <m/>
    <m/>
    <m/>
    <m/>
    <m/>
    <m/>
    <m/>
    <m/>
    <s v="Satisfied with my experience. B&amp;H is a reliable, professional, and honest place to buy gear, look no further than B&amp;H."/>
    <m/>
    <m/>
    <m/>
    <m/>
    <s v="Not now"/>
    <m/>
    <m/>
    <m/>
    <m/>
    <m/>
    <m/>
    <m/>
    <m/>
    <m/>
    <m/>
    <m/>
    <m/>
    <m/>
    <m/>
    <m/>
    <m/>
    <m/>
    <m/>
    <m/>
    <m/>
    <m/>
    <m/>
    <m/>
    <m/>
    <m/>
    <m/>
    <m/>
    <m/>
    <m/>
    <m/>
    <m/>
    <m/>
    <m/>
    <m/>
    <m/>
    <m/>
    <m/>
    <m/>
    <m/>
    <m/>
    <m/>
    <m/>
    <m/>
    <m/>
    <m/>
    <m/>
    <m/>
    <m/>
    <m/>
    <m/>
    <m/>
    <m/>
    <m/>
    <m/>
    <m/>
    <m/>
    <m/>
    <m/>
    <m/>
    <m/>
    <m/>
    <m/>
    <m/>
    <m/>
    <m/>
    <m/>
    <m/>
    <m/>
    <m/>
    <m/>
    <m/>
    <m/>
    <m/>
    <m/>
    <m/>
    <m/>
    <m/>
    <m/>
    <m/>
    <m/>
    <m/>
    <m/>
    <s v="Satisfied with my experience. B&amp;H is a reliable, professional, and honest place to buy gear, look no further than B&amp;H."/>
    <s v="Not no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B&amp;H &gt; Satisfaction &gt;"/>
    <s v="B&amp;H &gt; Reliable / Trustworthy &gt;, Trade In &gt; Overall Process &gt;"/>
    <m/>
    <m/>
    <s v="B&amp;H &gt; Reliable / Trustworthy &gt; (Positive), B&amp;H &gt; Satisfaction &gt; (Positive)"/>
    <s v="B&amp;H &gt; Reliable / Trustworthy &gt; (Positive), Trade In &gt; Overall Process &gt; (Positive)"/>
    <s v="Yes"/>
    <s v="No"/>
    <m/>
    <x v="34"/>
    <x v="25"/>
    <x v="0"/>
    <m/>
    <x v="0"/>
    <x v="0"/>
  </r>
  <r>
    <s v="Vedant Desai - Used Trade-In Product"/>
    <n v="7"/>
    <n v="3"/>
    <d v="2026-01-28T10:14:20"/>
    <n v="5166015"/>
    <s v="Used Trade-In Product"/>
    <m/>
    <s v="Vedant Desai"/>
    <m/>
    <s v="vd@vadesai.com"/>
    <m/>
    <s v="Muncie;Indiana;47303"/>
    <m/>
    <m/>
    <s v="No"/>
    <m/>
    <m/>
    <s v="vd@vadesai.com"/>
    <m/>
    <m/>
    <m/>
    <m/>
    <m/>
    <m/>
    <m/>
    <m/>
    <m/>
    <d v="2026-02-02T12:51:11"/>
    <d v="2026-01-28T13:02:31"/>
    <m/>
    <s v="1135079"/>
    <m/>
    <m/>
    <m/>
    <m/>
    <m/>
    <m/>
    <m/>
    <m/>
    <m/>
    <m/>
    <m/>
    <m/>
    <m/>
    <m/>
    <m/>
    <m/>
    <m/>
    <m/>
    <m/>
    <m/>
    <m/>
    <m/>
    <s v="https://bnh.lightning.force.com/001WP00000nZNnpYAG"/>
    <m/>
    <m/>
    <m/>
    <m/>
    <m/>
    <m/>
    <m/>
    <m/>
    <m/>
    <m/>
    <m/>
    <m/>
    <m/>
    <m/>
    <m/>
    <m/>
    <m/>
    <m/>
    <m/>
    <m/>
    <m/>
    <m/>
    <m/>
    <m/>
    <m/>
    <m/>
    <m/>
    <m/>
    <m/>
    <m/>
    <m/>
    <m/>
    <m/>
    <m/>
    <m/>
    <m/>
    <m/>
    <m/>
    <s v="CAD"/>
    <m/>
    <s v="No"/>
    <s v="Efrat Malachi,Avraham Schwartz,Reina Caba,Avraham Schwartz,Reina Caba"/>
    <s v="Reina Caba"/>
    <d v="2026-01-28T10:11:40"/>
    <s v="Passive"/>
    <s v="Closed"/>
    <d v="2026-02-02T12:51:04"/>
    <s v="Reina Caba (reinac@bhphoto.com)"/>
    <s v="Yes"/>
    <m/>
    <m/>
    <m/>
    <m/>
    <m/>
    <m/>
    <m/>
    <m/>
    <m/>
    <m/>
    <m/>
    <m/>
    <m/>
    <m/>
    <m/>
    <m/>
    <s v="The ease of getting a quote and sending my equipment. Moreover getting a fair price consistent with my quote."/>
    <m/>
    <m/>
    <m/>
    <m/>
    <s v="The snail mail check payment method which I haven’t received even now a week later. I understand this is now a USPS issue and logistically the entire continental US including the East Coast to my own Great Lakes regions are under FEMA levels of weather emergencies; although either using a track able mailing system with a tracking number would’ve been preferable. Ideally a simple ACH check portal can be better than a hard paper check; this is how even most car insurances I’ve worked with as a customer now payout liability claims."/>
    <m/>
    <m/>
    <m/>
    <m/>
    <m/>
    <m/>
    <m/>
    <m/>
    <m/>
    <m/>
    <m/>
    <m/>
    <m/>
    <m/>
    <m/>
    <m/>
    <m/>
    <m/>
    <m/>
    <m/>
    <m/>
    <m/>
    <m/>
    <m/>
    <m/>
    <m/>
    <m/>
    <m/>
    <m/>
    <m/>
    <m/>
    <m/>
    <m/>
    <m/>
    <m/>
    <m/>
    <m/>
    <m/>
    <m/>
    <m/>
    <m/>
    <m/>
    <m/>
    <m/>
    <m/>
    <m/>
    <m/>
    <m/>
    <m/>
    <m/>
    <m/>
    <m/>
    <m/>
    <m/>
    <m/>
    <m/>
    <m/>
    <m/>
    <m/>
    <m/>
    <m/>
    <m/>
    <m/>
    <m/>
    <m/>
    <m/>
    <m/>
    <m/>
    <m/>
    <m/>
    <m/>
    <m/>
    <m/>
    <m/>
    <m/>
    <m/>
    <m/>
    <m/>
    <m/>
    <m/>
    <m/>
    <m/>
    <s v="The ease of getting a quote and sending my equipment. Moreover getting a fair price consistent with my quote."/>
    <s v="The snail mail check payment method which I haven’t received even now a week later. I understand this is now a USPS issue and logistically the entire continental US including the East Coast to my own Great Lakes regions are under FEMA levels of weather emergencies; although either using a track able mailing system with a tracking number would’ve been preferable. Ideally a simple ACH check portal can be better than a hard paper check; this is how even most car insurances I’ve worked with as a customer now payout liability claim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2"/>
    <n v="2"/>
    <n v="1"/>
    <n v="1"/>
    <m/>
    <m/>
    <m/>
    <m/>
    <m/>
    <m/>
    <m/>
    <m/>
    <m/>
    <m/>
    <m/>
    <m/>
    <m/>
    <m/>
    <m/>
    <m/>
    <m/>
    <m/>
    <m/>
    <m/>
    <m/>
    <m/>
    <m/>
    <m/>
    <m/>
    <m/>
    <m/>
    <m/>
    <m/>
    <m/>
    <m/>
    <m/>
    <m/>
    <m/>
    <m/>
    <m/>
    <m/>
    <m/>
    <m/>
    <m/>
    <m/>
    <m/>
    <m/>
    <m/>
    <m/>
    <m/>
    <m/>
    <m/>
    <m/>
    <m/>
    <m/>
    <m/>
    <m/>
    <m/>
    <m/>
    <m/>
    <m/>
    <m/>
    <m/>
    <m/>
    <m/>
    <m/>
    <m/>
    <m/>
    <m/>
    <m/>
    <m/>
    <m/>
    <m/>
    <m/>
    <m/>
    <m/>
    <m/>
    <m/>
    <m/>
    <m/>
    <m/>
    <m/>
    <m/>
    <m/>
    <m/>
    <m/>
    <m/>
    <m/>
    <m/>
    <m/>
    <m/>
    <m/>
    <m/>
    <m/>
    <m/>
    <m/>
    <m/>
    <m/>
    <m/>
    <m/>
    <m/>
    <m/>
    <m/>
    <m/>
    <m/>
    <s v="Pricing &gt; Value for Money &gt;, Trade In &gt; Overall Process &gt;, Trade In &gt; Quote Price &gt;, Used &gt; Description &gt;, Used &gt; Pricing &gt;, Website &gt; Order Tracking &gt;"/>
    <s v="Trade In &gt; Overall Process &gt;, Trade In &gt; Quote Price &gt;, Trade In &gt; Timeliness of Payment &gt;, Website &gt; Overall Satisfaction &gt;"/>
    <m/>
    <m/>
    <s v="Pricing &gt; Value for Money &gt; (Positive), Trade In &gt; Overall Process &gt; (Positive), Trade In &gt; Quote Price &gt; (Positive), Used &gt; Description &gt; (Negative), Used &gt; Pricing &gt; (Positive), Website &gt; Order Tracking &gt; (Negative)"/>
    <s v="Trade In &gt; Overall Process &gt; (Negative), Trade In &gt; Overall Process &gt; (Positive), Trade In &gt; Quote Price &gt; (Positive), Trade In &gt; Timeliness of Payment &gt; (Negative), Website &gt; Overall Satisfaction &gt; (Positive)"/>
    <s v="Yes"/>
    <s v="No"/>
    <m/>
    <x v="13"/>
    <x v="26"/>
    <x v="29"/>
    <s v="Honored price quote"/>
    <x v="2"/>
    <x v="1"/>
  </r>
  <r>
    <s v="Dean Theodosakis - Used Trade-In Product"/>
    <n v="10"/>
    <n v="5"/>
    <d v="2026-01-28T09:23:57"/>
    <n v="5165722"/>
    <s v="Used Trade-In Product"/>
    <m/>
    <s v="Dean Theodosakis"/>
    <m/>
    <s v="theodo4@outlook.com"/>
    <m/>
    <s v="Yorktown;Virginia;23693"/>
    <s v="Yorktown;Virginia;23693"/>
    <s v="12 years 11 months"/>
    <s v="No"/>
    <m/>
    <m/>
    <s v="theodo4@outlook.com"/>
    <s v="155"/>
    <m/>
    <m/>
    <m/>
    <m/>
    <m/>
    <m/>
    <m/>
    <m/>
    <d v="2026-01-28T13:51:45"/>
    <d v="2026-01-27T20:20:09"/>
    <m/>
    <s v="1138123"/>
    <m/>
    <m/>
    <m/>
    <m/>
    <m/>
    <m/>
    <m/>
    <m/>
    <m/>
    <m/>
    <m/>
    <m/>
    <m/>
    <m/>
    <m/>
    <m/>
    <m/>
    <m/>
    <m/>
    <m/>
    <m/>
    <m/>
    <s v="https://bnh.lightning.force.com/0011a00000T7cAIAAZ"/>
    <m/>
    <m/>
    <m/>
    <m/>
    <m/>
    <m/>
    <m/>
    <m/>
    <m/>
    <m/>
    <m/>
    <m/>
    <m/>
    <m/>
    <m/>
    <m/>
    <m/>
    <m/>
    <m/>
    <m/>
    <m/>
    <m/>
    <m/>
    <m/>
    <m/>
    <m/>
    <m/>
    <m/>
    <m/>
    <m/>
    <m/>
    <m/>
    <m/>
    <m/>
    <m/>
    <m/>
    <m/>
    <m/>
    <s v="CAD"/>
    <m/>
    <s v="No"/>
    <s v="Aine Hoye"/>
    <s v="Aine Hoye"/>
    <d v="2026-01-28T09:23:35"/>
    <s v="Promoter"/>
    <s v="Closed"/>
    <m/>
    <m/>
    <s v="Yes"/>
    <m/>
    <m/>
    <m/>
    <m/>
    <m/>
    <m/>
    <m/>
    <m/>
    <m/>
    <m/>
    <m/>
    <m/>
    <m/>
    <m/>
    <m/>
    <m/>
    <s v="Always easy to do business with B&amp;H"/>
    <m/>
    <m/>
    <m/>
    <m/>
    <s v="All good"/>
    <m/>
    <m/>
    <m/>
    <m/>
    <m/>
    <m/>
    <m/>
    <m/>
    <m/>
    <m/>
    <m/>
    <m/>
    <m/>
    <m/>
    <m/>
    <m/>
    <m/>
    <m/>
    <m/>
    <m/>
    <m/>
    <m/>
    <m/>
    <m/>
    <m/>
    <m/>
    <m/>
    <m/>
    <m/>
    <m/>
    <m/>
    <m/>
    <m/>
    <m/>
    <m/>
    <m/>
    <m/>
    <m/>
    <m/>
    <m/>
    <m/>
    <m/>
    <m/>
    <m/>
    <m/>
    <m/>
    <m/>
    <m/>
    <m/>
    <m/>
    <m/>
    <m/>
    <m/>
    <m/>
    <m/>
    <m/>
    <m/>
    <m/>
    <m/>
    <m/>
    <m/>
    <m/>
    <m/>
    <m/>
    <m/>
    <m/>
    <m/>
    <m/>
    <m/>
    <m/>
    <m/>
    <m/>
    <m/>
    <m/>
    <m/>
    <m/>
    <m/>
    <m/>
    <m/>
    <m/>
    <m/>
    <m/>
    <s v="Always easy to do business with B&amp;H"/>
    <s v="All goo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Trade In &gt; Overall Process &gt;"/>
    <m/>
    <m/>
    <m/>
    <s v="B&amp;H &gt; Satisfaction &gt; (Positive), Trade In &gt; Overall Process &gt; (Positive)"/>
    <s v="Yes"/>
    <s v="No"/>
    <m/>
    <x v="0"/>
    <x v="0"/>
    <x v="0"/>
    <m/>
    <x v="0"/>
    <x v="0"/>
  </r>
  <r>
    <s v="Jennifer Millas - Used Trade-In Product"/>
    <n v="10"/>
    <n v="5"/>
    <d v="2026-01-28T08:53:09"/>
    <n v="5165640"/>
    <s v="Used Trade-In Product"/>
    <m/>
    <s v="Jennifer Millas"/>
    <m/>
    <s v="jleaphotography@yahoo.com"/>
    <m/>
    <s v="Mystic;Connecticut;06355"/>
    <s v="Mystic;Connecticut;06355"/>
    <s v="7 years 10 months"/>
    <s v="No"/>
    <m/>
    <m/>
    <s v="jleaphotography@yahoo.com"/>
    <s v="94"/>
    <m/>
    <m/>
    <m/>
    <m/>
    <m/>
    <m/>
    <m/>
    <m/>
    <d v="2026-01-28T10:12:28"/>
    <d v="2026-01-27T13:14:09"/>
    <m/>
    <s v="1133401"/>
    <m/>
    <m/>
    <m/>
    <m/>
    <m/>
    <m/>
    <m/>
    <m/>
    <m/>
    <m/>
    <m/>
    <m/>
    <m/>
    <m/>
    <m/>
    <m/>
    <m/>
    <m/>
    <m/>
    <m/>
    <m/>
    <m/>
    <s v="https://bnh.lightning.force.com/0011a00000olWwrAAE"/>
    <m/>
    <m/>
    <m/>
    <m/>
    <m/>
    <m/>
    <m/>
    <m/>
    <m/>
    <m/>
    <m/>
    <m/>
    <m/>
    <m/>
    <m/>
    <m/>
    <m/>
    <m/>
    <m/>
    <m/>
    <m/>
    <m/>
    <m/>
    <m/>
    <m/>
    <m/>
    <m/>
    <m/>
    <m/>
    <m/>
    <m/>
    <m/>
    <m/>
    <m/>
    <m/>
    <m/>
    <m/>
    <m/>
    <s v="CAD"/>
    <m/>
    <s v="No"/>
    <s v="Zane Bohnert"/>
    <s v="Zane Bohnert"/>
    <d v="2026-01-28T08:52:51"/>
    <s v="Promoter"/>
    <s v="Closed"/>
    <m/>
    <m/>
    <s v="Yes"/>
    <m/>
    <m/>
    <m/>
    <m/>
    <m/>
    <m/>
    <m/>
    <m/>
    <m/>
    <m/>
    <m/>
    <m/>
    <m/>
    <m/>
    <m/>
    <m/>
    <s v="Smooth and easy transaction, was effortless to get the quote, mailing labels and promptly received a check for equipment sent in. Thank you!"/>
    <m/>
    <m/>
    <m/>
    <m/>
    <s v="nothing noted"/>
    <m/>
    <m/>
    <m/>
    <m/>
    <m/>
    <m/>
    <m/>
    <m/>
    <m/>
    <m/>
    <m/>
    <m/>
    <m/>
    <m/>
    <m/>
    <m/>
    <m/>
    <m/>
    <m/>
    <m/>
    <m/>
    <m/>
    <m/>
    <m/>
    <m/>
    <m/>
    <m/>
    <m/>
    <m/>
    <m/>
    <m/>
    <m/>
    <m/>
    <m/>
    <m/>
    <m/>
    <m/>
    <m/>
    <m/>
    <m/>
    <m/>
    <m/>
    <m/>
    <m/>
    <m/>
    <m/>
    <m/>
    <m/>
    <m/>
    <m/>
    <m/>
    <m/>
    <m/>
    <m/>
    <m/>
    <m/>
    <m/>
    <m/>
    <m/>
    <m/>
    <m/>
    <m/>
    <m/>
    <m/>
    <m/>
    <m/>
    <m/>
    <m/>
    <m/>
    <m/>
    <m/>
    <m/>
    <m/>
    <m/>
    <m/>
    <m/>
    <m/>
    <m/>
    <m/>
    <m/>
    <m/>
    <m/>
    <s v="Smooth and easy transaction, was effortless to get the quote, mailing labels and promptly received a check for equipment sent in. Thank you!"/>
    <s v="nothing no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Timeliness of Quote &gt;"/>
    <s v="Trade In &gt; Overall Process &gt;, Trade In &gt; Timeliness of Payment &gt;"/>
    <m/>
    <m/>
    <s v="Trade In &gt; Overall Process &gt; (Positive), Trade In &gt; Timeliness of Quote &gt; (Positive)"/>
    <s v="Trade In &gt; Overall Process &gt; (Positive), Trade In &gt; Timeliness of Payment &gt; (Positive)"/>
    <s v="Yes"/>
    <s v="Yes"/>
    <m/>
    <x v="0"/>
    <x v="26"/>
    <x v="22"/>
    <m/>
    <x v="0"/>
    <x v="0"/>
  </r>
  <r>
    <s v="Lindsay Ang - Used Trade-In Product"/>
    <n v="10"/>
    <n v="5"/>
    <d v="2026-01-27T23:46:44"/>
    <n v="5165298"/>
    <s v="Used Trade-In Product"/>
    <m/>
    <s v="Lindsay Ang"/>
    <m/>
    <s v="lindsayang@gmail.com"/>
    <m/>
    <s v="Portland;Oregon;97205"/>
    <s v="Portland;Oregon;97205"/>
    <s v="2 years 5 months"/>
    <s v="No"/>
    <m/>
    <m/>
    <s v="lindsayang@gmail.com"/>
    <s v="29"/>
    <m/>
    <m/>
    <m/>
    <m/>
    <m/>
    <m/>
    <m/>
    <m/>
    <d v="2026-01-28T09:36:49"/>
    <d v="2026-01-27T13:14:32"/>
    <m/>
    <s v="1133692"/>
    <m/>
    <m/>
    <m/>
    <m/>
    <m/>
    <m/>
    <m/>
    <m/>
    <m/>
    <m/>
    <m/>
    <m/>
    <m/>
    <m/>
    <m/>
    <m/>
    <m/>
    <m/>
    <m/>
    <m/>
    <m/>
    <m/>
    <s v="https://bnh.lightning.force.com/001Hs00005n1LsgIAE"/>
    <m/>
    <m/>
    <m/>
    <m/>
    <m/>
    <m/>
    <m/>
    <m/>
    <m/>
    <m/>
    <m/>
    <m/>
    <m/>
    <m/>
    <m/>
    <m/>
    <m/>
    <m/>
    <m/>
    <m/>
    <m/>
    <m/>
    <m/>
    <m/>
    <m/>
    <m/>
    <m/>
    <m/>
    <m/>
    <m/>
    <m/>
    <m/>
    <m/>
    <m/>
    <m/>
    <m/>
    <m/>
    <m/>
    <s v="CAD"/>
    <m/>
    <s v="No"/>
    <s v="Nick Badame"/>
    <s v="Nick Badame"/>
    <d v="2026-01-27T23:46:06"/>
    <s v="Promoter"/>
    <s v="Closed"/>
    <m/>
    <m/>
    <s v="Yes"/>
    <m/>
    <m/>
    <m/>
    <m/>
    <m/>
    <m/>
    <m/>
    <m/>
    <m/>
    <m/>
    <m/>
    <m/>
    <m/>
    <m/>
    <m/>
    <m/>
    <s v="I liked that i can easily get a quote online without needing to create an account"/>
    <m/>
    <m/>
    <m/>
    <m/>
    <s v="It takes along time between gear arrival and eveluation amd payment"/>
    <m/>
    <m/>
    <m/>
    <m/>
    <m/>
    <m/>
    <m/>
    <m/>
    <m/>
    <m/>
    <m/>
    <m/>
    <m/>
    <m/>
    <m/>
    <m/>
    <m/>
    <m/>
    <m/>
    <m/>
    <m/>
    <m/>
    <m/>
    <m/>
    <m/>
    <m/>
    <m/>
    <m/>
    <m/>
    <m/>
    <m/>
    <m/>
    <m/>
    <m/>
    <m/>
    <m/>
    <m/>
    <m/>
    <m/>
    <m/>
    <m/>
    <m/>
    <m/>
    <m/>
    <m/>
    <m/>
    <m/>
    <m/>
    <m/>
    <m/>
    <m/>
    <m/>
    <m/>
    <m/>
    <m/>
    <m/>
    <m/>
    <m/>
    <m/>
    <m/>
    <m/>
    <m/>
    <m/>
    <m/>
    <m/>
    <m/>
    <m/>
    <m/>
    <m/>
    <m/>
    <m/>
    <m/>
    <m/>
    <m/>
    <m/>
    <m/>
    <m/>
    <m/>
    <m/>
    <m/>
    <m/>
    <m/>
    <s v="I liked that i can easily get a quote online without needing to create an account"/>
    <s v="It takes along time between gear arrival and eveluation amd pay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Account Activities &gt; Log In / Out &gt;, Trade In &gt; Overall Process &gt;"/>
    <s v="Trade In &gt; Overall Process &gt;, Trade In &gt; Timeliness of Payment &gt;, Trade In &gt; Timeliness of Quote &gt;"/>
    <m/>
    <m/>
    <s v="Account Activities &gt; Log In / Out &gt; (Positive), Trade In &gt; Overall Process &gt; (Positive)"/>
    <s v="Trade In &gt; Overall Process &gt; (Positive), Trade In &gt; Timeliness of Payment &gt; (Negative), Trade In &gt; Timeliness of Quote &gt; (Negative)"/>
    <s v="Yes"/>
    <s v="No"/>
    <m/>
    <x v="20"/>
    <x v="11"/>
    <x v="30"/>
    <m/>
    <x v="0"/>
    <x v="0"/>
  </r>
  <r>
    <s v="Yoonjong Jo - Used Trade-In Product"/>
    <n v="10"/>
    <n v="5"/>
    <d v="2026-01-27T20:31:30"/>
    <n v="5165060"/>
    <s v="Used Trade-In Product"/>
    <m/>
    <s v="Yoonjong Jo"/>
    <m/>
    <s v="yoonjongjo@hotmail.com"/>
    <m/>
    <s v="Waxhaw;North Carolina;28173"/>
    <m/>
    <m/>
    <s v="No"/>
    <m/>
    <m/>
    <s v="yoonjongjo@hotmail.com"/>
    <m/>
    <m/>
    <m/>
    <m/>
    <m/>
    <m/>
    <m/>
    <m/>
    <m/>
    <d v="2026-01-28T10:28:50"/>
    <d v="2026-01-27T13:13:15"/>
    <m/>
    <s v="1132617"/>
    <m/>
    <m/>
    <m/>
    <m/>
    <m/>
    <m/>
    <m/>
    <m/>
    <m/>
    <m/>
    <m/>
    <m/>
    <m/>
    <m/>
    <m/>
    <m/>
    <m/>
    <m/>
    <m/>
    <m/>
    <m/>
    <m/>
    <s v="https://bnh.lightning.force.com/001WP00000o2BXyYAM"/>
    <m/>
    <m/>
    <m/>
    <m/>
    <m/>
    <m/>
    <m/>
    <m/>
    <m/>
    <m/>
    <m/>
    <m/>
    <m/>
    <m/>
    <m/>
    <m/>
    <m/>
    <m/>
    <m/>
    <m/>
    <m/>
    <m/>
    <m/>
    <m/>
    <m/>
    <m/>
    <m/>
    <m/>
    <m/>
    <m/>
    <m/>
    <m/>
    <m/>
    <m/>
    <m/>
    <m/>
    <m/>
    <m/>
    <s v="CAD"/>
    <m/>
    <s v="No"/>
    <s v="Andrea Garcia"/>
    <s v="Andrea Garcia"/>
    <d v="2026-01-27T20:31:20"/>
    <s v="Promoter"/>
    <s v="Closed"/>
    <m/>
    <m/>
    <s v="Yes"/>
    <m/>
    <m/>
    <m/>
    <m/>
    <m/>
    <m/>
    <m/>
    <m/>
    <m/>
    <m/>
    <m/>
    <m/>
    <m/>
    <m/>
    <m/>
    <m/>
    <s v="Ease and speed."/>
    <m/>
    <m/>
    <m/>
    <m/>
    <s v="None. Everything worked great."/>
    <m/>
    <m/>
    <m/>
    <m/>
    <m/>
    <m/>
    <m/>
    <m/>
    <m/>
    <m/>
    <m/>
    <m/>
    <m/>
    <m/>
    <m/>
    <m/>
    <m/>
    <m/>
    <m/>
    <m/>
    <m/>
    <m/>
    <m/>
    <m/>
    <m/>
    <m/>
    <m/>
    <m/>
    <m/>
    <m/>
    <m/>
    <m/>
    <m/>
    <m/>
    <m/>
    <m/>
    <m/>
    <m/>
    <m/>
    <m/>
    <m/>
    <m/>
    <m/>
    <m/>
    <m/>
    <m/>
    <m/>
    <m/>
    <m/>
    <m/>
    <m/>
    <m/>
    <m/>
    <m/>
    <m/>
    <m/>
    <m/>
    <m/>
    <m/>
    <m/>
    <m/>
    <m/>
    <m/>
    <m/>
    <m/>
    <m/>
    <m/>
    <m/>
    <m/>
    <m/>
    <m/>
    <m/>
    <m/>
    <m/>
    <m/>
    <m/>
    <m/>
    <m/>
    <m/>
    <m/>
    <m/>
    <m/>
    <s v="Ease and speed."/>
    <s v="None. Everything worked grea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Trade In &gt; Overall Process &gt;"/>
    <m/>
    <m/>
    <s v="B&amp;H &gt; Satisfaction &gt; (Positive)"/>
    <s v="Trade In &gt; Overall Process &gt; (Positive)"/>
    <s v="Yes"/>
    <s v="No"/>
    <m/>
    <x v="5"/>
    <x v="0"/>
    <x v="0"/>
    <m/>
    <x v="0"/>
    <x v="0"/>
  </r>
  <r>
    <s v="Sofia Lareau - Used Trade-In Product"/>
    <n v="9"/>
    <n v="3"/>
    <d v="2026-01-27T15:53:33"/>
    <n v="5164506"/>
    <s v="Used Trade-In Product"/>
    <m/>
    <s v="Sofia Lareau"/>
    <m/>
    <s v="sonniy_kotenok@yahoo.com"/>
    <m/>
    <s v="Irvine;California;92603"/>
    <s v="Irvine;California;92603"/>
    <s v="13 years 0 months"/>
    <s v="No"/>
    <m/>
    <m/>
    <s v="sonniy_kotenok@yahoo.com"/>
    <s v="156"/>
    <m/>
    <m/>
    <m/>
    <m/>
    <m/>
    <m/>
    <m/>
    <m/>
    <d v="2026-02-02T11:29:57"/>
    <d v="2026-01-27T18:19:03"/>
    <m/>
    <s v="1136395"/>
    <m/>
    <m/>
    <m/>
    <m/>
    <m/>
    <m/>
    <m/>
    <m/>
    <m/>
    <m/>
    <m/>
    <m/>
    <m/>
    <m/>
    <m/>
    <m/>
    <m/>
    <m/>
    <m/>
    <m/>
    <m/>
    <m/>
    <s v="https://bnh.lightning.force.com/0018X00003EFUDpQAP"/>
    <m/>
    <m/>
    <m/>
    <m/>
    <m/>
    <m/>
    <m/>
    <m/>
    <m/>
    <m/>
    <m/>
    <m/>
    <m/>
    <m/>
    <m/>
    <m/>
    <m/>
    <m/>
    <m/>
    <m/>
    <m/>
    <m/>
    <m/>
    <m/>
    <m/>
    <m/>
    <m/>
    <m/>
    <m/>
    <m/>
    <m/>
    <m/>
    <m/>
    <m/>
    <m/>
    <m/>
    <m/>
    <m/>
    <s v="CAD"/>
    <m/>
    <s v="No"/>
    <s v="Emily Schreier,Avraham Schwartz,Reina Caba,Avraham Schwartz,Reina Caba"/>
    <s v="Reina Caba"/>
    <d v="2026-01-27T15:51:41"/>
    <s v="Promoter"/>
    <s v="Closed"/>
    <d v="2026-02-02T11:29:52"/>
    <s v="Reina Caba (reinac@bhphoto.com)"/>
    <s v="Yes"/>
    <m/>
    <m/>
    <m/>
    <m/>
    <m/>
    <m/>
    <m/>
    <m/>
    <m/>
    <m/>
    <m/>
    <m/>
    <m/>
    <m/>
    <m/>
    <m/>
    <m/>
    <m/>
    <m/>
    <m/>
    <m/>
    <s v="Every time before I was able to use credit for online shopping, but now your email says _x000a_in-store or over the phone purchases only!_x000a_Super inconvenient as your phone connection is terrible and I had to find all sorts of codes plus my Payboo card number to give...._x000a_Wasted so much time!"/>
    <m/>
    <m/>
    <m/>
    <m/>
    <m/>
    <m/>
    <m/>
    <m/>
    <m/>
    <m/>
    <m/>
    <m/>
    <m/>
    <m/>
    <m/>
    <m/>
    <m/>
    <m/>
    <m/>
    <m/>
    <m/>
    <m/>
    <m/>
    <m/>
    <m/>
    <m/>
    <m/>
    <m/>
    <m/>
    <m/>
    <m/>
    <m/>
    <m/>
    <m/>
    <m/>
    <m/>
    <m/>
    <m/>
    <m/>
    <m/>
    <m/>
    <m/>
    <m/>
    <m/>
    <m/>
    <m/>
    <m/>
    <m/>
    <m/>
    <m/>
    <m/>
    <m/>
    <m/>
    <m/>
    <m/>
    <m/>
    <m/>
    <m/>
    <m/>
    <m/>
    <m/>
    <m/>
    <m/>
    <m/>
    <m/>
    <m/>
    <m/>
    <m/>
    <m/>
    <m/>
    <m/>
    <m/>
    <m/>
    <m/>
    <m/>
    <m/>
    <m/>
    <m/>
    <m/>
    <m/>
    <m/>
    <m/>
    <m/>
    <s v="Every time before I was able to use credit for online shopping, but now your email says _x000a_in-store or over the phone purchases only!_x000a_Super inconvenient as your phone connection is terrible and I had to find all sorts of codes plus my Payboo card number to give...._x000a_Wasted so much ti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3"/>
    <n v="3"/>
    <m/>
    <m/>
    <m/>
    <m/>
    <m/>
    <m/>
    <n v="4"/>
    <n v="4"/>
    <n v="4"/>
    <n v="4"/>
    <m/>
    <m/>
    <m/>
    <m/>
    <m/>
    <m/>
    <m/>
    <m/>
    <m/>
    <m/>
    <m/>
    <m/>
    <m/>
    <m/>
    <m/>
    <m/>
    <m/>
    <m/>
    <m/>
    <m/>
    <m/>
    <m/>
    <m/>
    <m/>
    <m/>
    <m/>
    <m/>
    <m/>
    <m/>
    <m/>
    <m/>
    <m/>
    <m/>
    <m/>
    <m/>
    <m/>
    <m/>
    <m/>
    <m/>
    <m/>
    <m/>
    <m/>
    <m/>
    <m/>
    <m/>
    <m/>
    <m/>
    <m/>
    <m/>
    <m/>
    <m/>
    <m/>
    <m/>
    <m/>
    <m/>
    <m/>
    <m/>
    <m/>
    <m/>
    <m/>
    <m/>
    <m/>
    <m/>
    <m/>
    <m/>
    <m/>
    <m/>
    <m/>
    <m/>
    <m/>
    <m/>
    <m/>
    <m/>
    <m/>
    <m/>
    <m/>
    <m/>
    <m/>
    <m/>
    <m/>
    <m/>
    <m/>
    <m/>
    <m/>
    <m/>
    <m/>
    <m/>
    <m/>
    <m/>
    <m/>
    <m/>
    <m/>
    <m/>
    <m/>
    <m/>
    <m/>
    <m/>
    <m/>
    <m/>
    <m/>
    <m/>
    <s v="Used &gt; Description &gt;"/>
    <s v="Payment &gt; Online &gt;"/>
    <m/>
    <m/>
    <s v="Used &gt; Description &gt; (Positive)"/>
    <s v="Payment &gt; Online &gt; (Negative), Payment &gt; Online &gt; (No opinion)"/>
    <s v="Yes"/>
    <s v="Yes"/>
    <m/>
    <x v="32"/>
    <x v="0"/>
    <x v="0"/>
    <m/>
    <x v="0"/>
    <x v="0"/>
  </r>
  <r>
    <s v="Kayanna Gibson - Used Trade-In Product"/>
    <n v="10"/>
    <n v="5"/>
    <d v="2026-01-27T15:24:40"/>
    <n v="5164462"/>
    <s v="Used Trade-In Product"/>
    <m/>
    <s v="Kayanna Gibson"/>
    <m/>
    <s v="kkandnatwedding@gmail.com"/>
    <m/>
    <s v="Oklahoma City;Oklahoma;73145"/>
    <m/>
    <m/>
    <s v="No"/>
    <m/>
    <m/>
    <s v="kkandnatwedding@gmail.com"/>
    <m/>
    <m/>
    <m/>
    <m/>
    <m/>
    <m/>
    <m/>
    <m/>
    <m/>
    <d v="2026-01-28T10:32:38"/>
    <d v="2025-11-19T12:48:26"/>
    <m/>
    <s v="1117586"/>
    <m/>
    <m/>
    <m/>
    <m/>
    <m/>
    <m/>
    <m/>
    <m/>
    <m/>
    <m/>
    <m/>
    <m/>
    <m/>
    <m/>
    <m/>
    <m/>
    <m/>
    <m/>
    <m/>
    <m/>
    <m/>
    <m/>
    <s v="https://bnh.lightning.force.com/001WP00000fyjyrYAA"/>
    <m/>
    <m/>
    <m/>
    <m/>
    <m/>
    <m/>
    <m/>
    <m/>
    <m/>
    <m/>
    <m/>
    <m/>
    <m/>
    <m/>
    <m/>
    <m/>
    <m/>
    <m/>
    <m/>
    <m/>
    <m/>
    <m/>
    <m/>
    <m/>
    <m/>
    <m/>
    <m/>
    <m/>
    <m/>
    <m/>
    <m/>
    <m/>
    <m/>
    <m/>
    <m/>
    <m/>
    <m/>
    <m/>
    <s v="CAD"/>
    <m/>
    <s v="No"/>
    <s v="Nick Badame"/>
    <s v="Nick Badame"/>
    <d v="2026-01-27T15:25:11"/>
    <s v="Promoter"/>
    <s v="Closed"/>
    <m/>
    <m/>
    <s v="Yes"/>
    <m/>
    <m/>
    <m/>
    <m/>
    <m/>
    <m/>
    <m/>
    <m/>
    <m/>
    <m/>
    <m/>
    <m/>
    <m/>
    <m/>
    <m/>
    <m/>
    <s v="The process was very smooth."/>
    <m/>
    <m/>
    <m/>
    <m/>
    <m/>
    <m/>
    <m/>
    <m/>
    <m/>
    <m/>
    <m/>
    <m/>
    <m/>
    <m/>
    <m/>
    <m/>
    <m/>
    <m/>
    <m/>
    <m/>
    <m/>
    <m/>
    <m/>
    <m/>
    <m/>
    <m/>
    <m/>
    <m/>
    <m/>
    <m/>
    <m/>
    <m/>
    <m/>
    <m/>
    <m/>
    <m/>
    <m/>
    <m/>
    <m/>
    <m/>
    <m/>
    <m/>
    <m/>
    <m/>
    <m/>
    <m/>
    <m/>
    <m/>
    <m/>
    <m/>
    <m/>
    <m/>
    <m/>
    <m/>
    <m/>
    <m/>
    <m/>
    <m/>
    <m/>
    <m/>
    <m/>
    <m/>
    <m/>
    <m/>
    <m/>
    <m/>
    <m/>
    <m/>
    <m/>
    <m/>
    <m/>
    <m/>
    <m/>
    <m/>
    <m/>
    <m/>
    <m/>
    <m/>
    <m/>
    <m/>
    <m/>
    <m/>
    <m/>
    <m/>
    <m/>
    <m/>
    <m/>
    <s v="The process was very smoot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23"/>
    <x v="0"/>
    <x v="0"/>
    <m/>
    <x v="0"/>
    <x v="0"/>
  </r>
  <r>
    <s v="Kathie O'Donnell - Used Trade-In Product"/>
    <n v="10"/>
    <n v="5"/>
    <d v="2026-01-27T14:17:28"/>
    <n v="5164226"/>
    <s v="Used Trade-In Product"/>
    <m/>
    <s v="Kathie O'Donnell"/>
    <m/>
    <s v="wildone7@rap.midco.net"/>
    <m/>
    <s v="Rapid City;South Dakota;57701"/>
    <s v="Rapid City;South Dakota;57701"/>
    <s v="9 years 2 months"/>
    <s v="No"/>
    <m/>
    <m/>
    <s v="wildone7@rap.midco.net"/>
    <s v="110"/>
    <m/>
    <m/>
    <m/>
    <m/>
    <m/>
    <m/>
    <m/>
    <m/>
    <d v="2026-01-28T07:48:58"/>
    <d v="2026-01-27T13:16:28"/>
    <m/>
    <s v="1135589"/>
    <m/>
    <m/>
    <m/>
    <m/>
    <m/>
    <m/>
    <m/>
    <m/>
    <m/>
    <m/>
    <m/>
    <m/>
    <m/>
    <m/>
    <m/>
    <m/>
    <m/>
    <m/>
    <m/>
    <m/>
    <m/>
    <m/>
    <s v="https://bnh.lightning.force.com/0011a00000aH9hWAAS"/>
    <m/>
    <m/>
    <m/>
    <m/>
    <m/>
    <m/>
    <m/>
    <m/>
    <m/>
    <m/>
    <m/>
    <m/>
    <m/>
    <m/>
    <m/>
    <m/>
    <m/>
    <m/>
    <m/>
    <m/>
    <m/>
    <m/>
    <m/>
    <m/>
    <m/>
    <m/>
    <m/>
    <m/>
    <m/>
    <m/>
    <m/>
    <m/>
    <m/>
    <m/>
    <m/>
    <m/>
    <m/>
    <m/>
    <s v="CAD"/>
    <m/>
    <s v="No"/>
    <s v="Zane Bohnert"/>
    <s v="Zane Bohnert"/>
    <d v="2026-01-27T14:16:35"/>
    <s v="Promoter"/>
    <s v="Closed"/>
    <m/>
    <m/>
    <s v="Yes"/>
    <m/>
    <m/>
    <m/>
    <m/>
    <m/>
    <m/>
    <m/>
    <m/>
    <m/>
    <m/>
    <m/>
    <m/>
    <m/>
    <m/>
    <m/>
    <m/>
    <s v="Hi - was wishing for a bit more but probably unrealistic. However, it was 50 dollars more than another seller's quote and I am a B&amp;H customer. That made me happy."/>
    <m/>
    <m/>
    <m/>
    <m/>
    <s v="n/a"/>
    <m/>
    <m/>
    <m/>
    <m/>
    <m/>
    <m/>
    <m/>
    <m/>
    <m/>
    <m/>
    <m/>
    <m/>
    <m/>
    <m/>
    <m/>
    <m/>
    <m/>
    <m/>
    <m/>
    <m/>
    <m/>
    <m/>
    <m/>
    <m/>
    <m/>
    <m/>
    <m/>
    <m/>
    <m/>
    <m/>
    <m/>
    <m/>
    <m/>
    <m/>
    <m/>
    <m/>
    <m/>
    <m/>
    <m/>
    <m/>
    <m/>
    <m/>
    <m/>
    <m/>
    <m/>
    <m/>
    <m/>
    <m/>
    <m/>
    <m/>
    <m/>
    <m/>
    <m/>
    <m/>
    <m/>
    <m/>
    <m/>
    <m/>
    <m/>
    <m/>
    <m/>
    <m/>
    <m/>
    <m/>
    <m/>
    <m/>
    <m/>
    <m/>
    <m/>
    <m/>
    <m/>
    <m/>
    <m/>
    <m/>
    <m/>
    <m/>
    <m/>
    <m/>
    <m/>
    <m/>
    <m/>
    <m/>
    <s v="Hi - was wishing for a bit more but probably unrealistic. However, it was 50 dollars more than another seller's quote and I am a B&amp;H customer. That made me happy."/>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Competitor Mentions &gt;, B&amp;H &gt; Loyalty &gt;, Trade In &gt; Quote Price &gt;"/>
    <m/>
    <m/>
    <s v="Trade In &gt; Overall Process &gt; (Negative)"/>
    <s v="B&amp;H &gt; Competitor Mentions &gt; (Positive), B&amp;H &gt; Loyalty &gt; (Positive), Trade In &gt; Quote Price &gt; (Negative), Trade In &gt; Quote Price &gt; (Positive)"/>
    <s v="Yes"/>
    <s v="Yes"/>
    <m/>
    <x v="10"/>
    <x v="0"/>
    <x v="0"/>
    <m/>
    <x v="0"/>
    <x v="0"/>
  </r>
  <r>
    <s v="Kimberly Baker - Used Trade-In Product"/>
    <n v="10"/>
    <n v="5"/>
    <d v="2026-01-27T13:16:56"/>
    <n v="5164090"/>
    <s v="Used Trade-In Product"/>
    <m/>
    <s v="Kimberly Baker"/>
    <m/>
    <s v="kmbaker45@gmail.com"/>
    <m/>
    <m/>
    <m/>
    <s v="14 years 5 months"/>
    <s v="No"/>
    <m/>
    <m/>
    <s v="kmbaker45@gmail.com"/>
    <s v="173"/>
    <m/>
    <m/>
    <m/>
    <m/>
    <m/>
    <m/>
    <m/>
    <m/>
    <d v="2026-01-27T14:17:59"/>
    <d v="2026-01-27T14:18:18"/>
    <m/>
    <s v="1136119"/>
    <m/>
    <m/>
    <m/>
    <m/>
    <m/>
    <m/>
    <m/>
    <m/>
    <m/>
    <m/>
    <m/>
    <m/>
    <m/>
    <m/>
    <m/>
    <m/>
    <m/>
    <m/>
    <m/>
    <m/>
    <m/>
    <m/>
    <s v="https://bnh.lightning.force.com/001WP00000pZsrWYAS"/>
    <m/>
    <m/>
    <m/>
    <m/>
    <m/>
    <m/>
    <m/>
    <m/>
    <m/>
    <m/>
    <m/>
    <m/>
    <m/>
    <m/>
    <m/>
    <m/>
    <m/>
    <m/>
    <m/>
    <m/>
    <m/>
    <m/>
    <m/>
    <m/>
    <m/>
    <m/>
    <m/>
    <m/>
    <m/>
    <m/>
    <m/>
    <m/>
    <m/>
    <m/>
    <m/>
    <m/>
    <m/>
    <m/>
    <s v="CAD"/>
    <m/>
    <s v="No"/>
    <s v="Zane Bohnert"/>
    <s v="Zane Bohnert"/>
    <d v="2026-01-27T13:15:51"/>
    <s v="Promoter"/>
    <s v="Closed"/>
    <m/>
    <m/>
    <s v="Yes"/>
    <m/>
    <m/>
    <m/>
    <m/>
    <m/>
    <m/>
    <m/>
    <m/>
    <m/>
    <m/>
    <m/>
    <m/>
    <m/>
    <m/>
    <m/>
    <m/>
    <s v="Web based option to quickly get an idea of what's to be expected for equipment. The fact that you buy used equipment makes it easier to move to new versions without having to try to see myself."/>
    <m/>
    <m/>
    <m/>
    <m/>
    <s v="not one thing"/>
    <m/>
    <m/>
    <m/>
    <m/>
    <m/>
    <m/>
    <m/>
    <m/>
    <m/>
    <m/>
    <m/>
    <m/>
    <m/>
    <m/>
    <m/>
    <m/>
    <m/>
    <m/>
    <m/>
    <m/>
    <m/>
    <m/>
    <m/>
    <m/>
    <m/>
    <m/>
    <m/>
    <m/>
    <m/>
    <m/>
    <m/>
    <m/>
    <m/>
    <m/>
    <m/>
    <m/>
    <m/>
    <m/>
    <m/>
    <m/>
    <m/>
    <m/>
    <m/>
    <m/>
    <m/>
    <m/>
    <m/>
    <m/>
    <m/>
    <m/>
    <m/>
    <m/>
    <m/>
    <m/>
    <m/>
    <m/>
    <m/>
    <m/>
    <m/>
    <m/>
    <m/>
    <m/>
    <m/>
    <m/>
    <m/>
    <m/>
    <m/>
    <m/>
    <m/>
    <m/>
    <m/>
    <m/>
    <m/>
    <m/>
    <m/>
    <m/>
    <m/>
    <m/>
    <m/>
    <m/>
    <m/>
    <m/>
    <s v="Web based option to quickly get an idea of what's to be expected for equipment. The fact that you buy used equipment makes it easier to move to new versions without having to try to see myself."/>
    <s v="not one 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3"/>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43"/>
    <x v="0"/>
    <x v="0"/>
    <m/>
    <x v="0"/>
    <x v="0"/>
  </r>
  <r>
    <s v="Bruce Harteneck - Used Trade-In Product"/>
    <n v="10"/>
    <n v="5"/>
    <d v="2026-01-27T12:45:25"/>
    <n v="5164021"/>
    <s v="Used Trade-In Product"/>
    <m/>
    <s v="Bruce Harteneck"/>
    <m/>
    <s v="bharteneck@sbcglobal.net"/>
    <m/>
    <m/>
    <m/>
    <s v="33 years 4 months"/>
    <s v="No"/>
    <m/>
    <m/>
    <s v="bharteneck@sbcglobal.net"/>
    <s v="400"/>
    <m/>
    <m/>
    <m/>
    <m/>
    <m/>
    <m/>
    <m/>
    <m/>
    <d v="2026-01-27T14:12:02"/>
    <d v="2026-01-27T13:16:03"/>
    <m/>
    <s v="1134440"/>
    <m/>
    <m/>
    <m/>
    <m/>
    <m/>
    <m/>
    <m/>
    <m/>
    <m/>
    <m/>
    <m/>
    <m/>
    <m/>
    <m/>
    <m/>
    <m/>
    <m/>
    <m/>
    <m/>
    <m/>
    <m/>
    <m/>
    <s v="https://bnh.lightning.force.com/0011a00000LiuMgAAJ"/>
    <m/>
    <m/>
    <m/>
    <m/>
    <m/>
    <m/>
    <m/>
    <m/>
    <m/>
    <m/>
    <m/>
    <m/>
    <m/>
    <m/>
    <m/>
    <m/>
    <m/>
    <m/>
    <m/>
    <m/>
    <m/>
    <m/>
    <m/>
    <m/>
    <m/>
    <m/>
    <m/>
    <m/>
    <m/>
    <m/>
    <m/>
    <m/>
    <m/>
    <m/>
    <m/>
    <m/>
    <m/>
    <m/>
    <s v="CAD"/>
    <m/>
    <s v="No"/>
    <s v="Zane Bohnert"/>
    <s v="Zane Bohnert"/>
    <d v="2026-01-27T12:44:54"/>
    <s v="Promoter"/>
    <s v="Closed"/>
    <m/>
    <m/>
    <s v="Yes"/>
    <m/>
    <m/>
    <m/>
    <m/>
    <m/>
    <m/>
    <m/>
    <m/>
    <m/>
    <m/>
    <m/>
    <m/>
    <m/>
    <m/>
    <m/>
    <m/>
    <s v="free shipping was very important"/>
    <m/>
    <m/>
    <m/>
    <m/>
    <s v="I had no problems at all"/>
    <m/>
    <m/>
    <m/>
    <m/>
    <m/>
    <m/>
    <m/>
    <m/>
    <m/>
    <m/>
    <m/>
    <m/>
    <m/>
    <m/>
    <m/>
    <m/>
    <m/>
    <m/>
    <m/>
    <m/>
    <m/>
    <m/>
    <m/>
    <m/>
    <m/>
    <m/>
    <m/>
    <m/>
    <m/>
    <m/>
    <m/>
    <m/>
    <m/>
    <m/>
    <m/>
    <m/>
    <m/>
    <m/>
    <m/>
    <m/>
    <m/>
    <m/>
    <m/>
    <m/>
    <m/>
    <m/>
    <m/>
    <m/>
    <m/>
    <m/>
    <m/>
    <m/>
    <m/>
    <m/>
    <m/>
    <m/>
    <m/>
    <m/>
    <m/>
    <m/>
    <m/>
    <m/>
    <m/>
    <m/>
    <m/>
    <m/>
    <m/>
    <m/>
    <m/>
    <m/>
    <m/>
    <m/>
    <m/>
    <m/>
    <m/>
    <m/>
    <m/>
    <m/>
    <m/>
    <m/>
    <m/>
    <m/>
    <s v="free shipping was very important"/>
    <s v="I had no problems at a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Pricing &gt; Delivery Fees &gt;"/>
    <s v="Pricing &gt; Delivery Fees &gt;"/>
    <m/>
    <m/>
    <s v="Pricing &gt; Delivery Fees &gt; (No opinion)"/>
    <s v="Pricing &gt; Delivery Fees &gt; (Positive)"/>
    <s v="Yes"/>
    <s v="Yes"/>
    <m/>
    <x v="44"/>
    <x v="0"/>
    <x v="0"/>
    <m/>
    <x v="0"/>
    <x v="0"/>
  </r>
  <r>
    <s v="Luis Meza - Used Trade-In Product"/>
    <n v="8"/>
    <n v="4"/>
    <d v="2026-01-27T12:09:24"/>
    <n v="5163860"/>
    <s v="Used Trade-In Product"/>
    <m/>
    <s v="Luis Meza"/>
    <m/>
    <s v="luis.mez314@gmail.com"/>
    <m/>
    <m/>
    <m/>
    <s v="1 years 2 months"/>
    <s v="No"/>
    <m/>
    <m/>
    <s v="luis.mez314@gmail.com"/>
    <s v="14"/>
    <m/>
    <m/>
    <m/>
    <m/>
    <m/>
    <m/>
    <m/>
    <m/>
    <d v="2026-01-27T13:46:17"/>
    <d v="2026-01-27T13:15:23"/>
    <m/>
    <s v="1134466"/>
    <m/>
    <m/>
    <m/>
    <m/>
    <m/>
    <m/>
    <m/>
    <m/>
    <m/>
    <m/>
    <m/>
    <m/>
    <m/>
    <m/>
    <m/>
    <m/>
    <m/>
    <m/>
    <m/>
    <m/>
    <m/>
    <m/>
    <s v="https://bnh.lightning.force.com/0018X00003USfiUQAT"/>
    <m/>
    <m/>
    <m/>
    <m/>
    <m/>
    <m/>
    <m/>
    <m/>
    <m/>
    <m/>
    <m/>
    <m/>
    <m/>
    <m/>
    <m/>
    <m/>
    <m/>
    <m/>
    <m/>
    <m/>
    <m/>
    <m/>
    <m/>
    <m/>
    <m/>
    <m/>
    <m/>
    <m/>
    <m/>
    <m/>
    <m/>
    <m/>
    <m/>
    <m/>
    <m/>
    <m/>
    <m/>
    <m/>
    <s v="CAD"/>
    <m/>
    <s v="No"/>
    <s v="Emily Schreier"/>
    <s v="Emily Schreier"/>
    <d v="2026-01-27T12:08:33"/>
    <s v="Passive"/>
    <s v="Closed"/>
    <m/>
    <m/>
    <s v="Yes"/>
    <m/>
    <m/>
    <m/>
    <m/>
    <m/>
    <m/>
    <m/>
    <m/>
    <m/>
    <m/>
    <m/>
    <m/>
    <m/>
    <m/>
    <m/>
    <m/>
    <s v="Ease of putting in the gear and receiving a quote"/>
    <m/>
    <m/>
    <m/>
    <m/>
    <s v="Time it took to ship gear and receive back the check"/>
    <m/>
    <m/>
    <m/>
    <m/>
    <m/>
    <m/>
    <m/>
    <m/>
    <m/>
    <m/>
    <m/>
    <m/>
    <m/>
    <m/>
    <m/>
    <m/>
    <m/>
    <m/>
    <m/>
    <m/>
    <m/>
    <m/>
    <m/>
    <m/>
    <m/>
    <m/>
    <m/>
    <m/>
    <m/>
    <m/>
    <m/>
    <m/>
    <m/>
    <m/>
    <m/>
    <m/>
    <m/>
    <m/>
    <m/>
    <m/>
    <m/>
    <m/>
    <m/>
    <m/>
    <m/>
    <m/>
    <m/>
    <m/>
    <m/>
    <m/>
    <m/>
    <m/>
    <m/>
    <m/>
    <m/>
    <m/>
    <m/>
    <m/>
    <m/>
    <m/>
    <m/>
    <m/>
    <m/>
    <m/>
    <m/>
    <m/>
    <m/>
    <m/>
    <m/>
    <m/>
    <m/>
    <m/>
    <m/>
    <m/>
    <m/>
    <m/>
    <m/>
    <m/>
    <m/>
    <m/>
    <m/>
    <m/>
    <s v="Ease of putting in the gear and receiving a quote"/>
    <s v="Time it took to ship gear and receive back the che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4"/>
    <n v="4"/>
    <n v="5"/>
    <n v="2"/>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Positive)"/>
    <s v="Trade In &gt; Overall Process &gt; (Negative), Trade In &gt; Overall Process &gt; (Positive), Trade In &gt; Timeliness of Payment &gt; (Negative)"/>
    <s v="Yes"/>
    <s v="Yes"/>
    <m/>
    <x v="5"/>
    <x v="47"/>
    <x v="4"/>
    <s v="Slow payment"/>
    <x v="0"/>
    <x v="0"/>
  </r>
  <r>
    <s v="Andrew Olmo - Used Trade-In Product"/>
    <n v="10"/>
    <n v="5"/>
    <d v="2026-01-27T10:40:50"/>
    <n v="5163547"/>
    <s v="Used Trade-In Product"/>
    <m/>
    <s v="Andrew Olmo"/>
    <m/>
    <s v="olmo.andrew@gmail.com"/>
    <m/>
    <m/>
    <m/>
    <s v="5 years 10 months"/>
    <s v="No"/>
    <m/>
    <m/>
    <s v="olmo.andrew@gmail.com"/>
    <s v="70"/>
    <m/>
    <m/>
    <m/>
    <m/>
    <m/>
    <m/>
    <m/>
    <m/>
    <d v="2026-01-27T14:44:38"/>
    <d v="2026-01-27T13:13:57"/>
    <m/>
    <s v="1133875"/>
    <m/>
    <m/>
    <m/>
    <m/>
    <m/>
    <m/>
    <m/>
    <m/>
    <m/>
    <m/>
    <m/>
    <m/>
    <m/>
    <m/>
    <m/>
    <m/>
    <m/>
    <m/>
    <m/>
    <m/>
    <m/>
    <m/>
    <s v="https://bnh.lightning.force.com/0012L000014JoWeQAK"/>
    <m/>
    <m/>
    <m/>
    <m/>
    <m/>
    <m/>
    <m/>
    <m/>
    <m/>
    <m/>
    <m/>
    <m/>
    <m/>
    <m/>
    <m/>
    <m/>
    <m/>
    <m/>
    <m/>
    <m/>
    <m/>
    <m/>
    <m/>
    <m/>
    <m/>
    <m/>
    <m/>
    <m/>
    <m/>
    <m/>
    <m/>
    <m/>
    <m/>
    <m/>
    <m/>
    <m/>
    <m/>
    <m/>
    <s v="CAD"/>
    <m/>
    <s v="No"/>
    <s v="Andrea Garcia"/>
    <s v="Andrea Garcia"/>
    <d v="2026-01-27T10:39:59"/>
    <s v="Promoter"/>
    <s v="Closed"/>
    <m/>
    <m/>
    <s v="Yes"/>
    <m/>
    <m/>
    <m/>
    <m/>
    <m/>
    <m/>
    <m/>
    <m/>
    <m/>
    <m/>
    <m/>
    <m/>
    <m/>
    <m/>
    <m/>
    <m/>
    <s v="The ease and professionalism. Constant communication on the process."/>
    <m/>
    <m/>
    <m/>
    <m/>
    <m/>
    <m/>
    <m/>
    <m/>
    <m/>
    <m/>
    <m/>
    <m/>
    <m/>
    <m/>
    <m/>
    <m/>
    <m/>
    <m/>
    <m/>
    <m/>
    <m/>
    <m/>
    <m/>
    <m/>
    <m/>
    <m/>
    <m/>
    <m/>
    <m/>
    <m/>
    <m/>
    <m/>
    <m/>
    <m/>
    <m/>
    <m/>
    <m/>
    <m/>
    <m/>
    <m/>
    <m/>
    <m/>
    <m/>
    <m/>
    <m/>
    <m/>
    <m/>
    <m/>
    <m/>
    <m/>
    <m/>
    <m/>
    <m/>
    <m/>
    <m/>
    <m/>
    <m/>
    <m/>
    <m/>
    <m/>
    <m/>
    <m/>
    <m/>
    <m/>
    <m/>
    <m/>
    <m/>
    <m/>
    <m/>
    <m/>
    <m/>
    <m/>
    <m/>
    <m/>
    <m/>
    <m/>
    <m/>
    <m/>
    <m/>
    <m/>
    <m/>
    <m/>
    <m/>
    <m/>
    <m/>
    <m/>
    <m/>
    <s v="The ease and professionalism. Constant communication on the proc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Trade In &gt; Overall Process &gt;"/>
    <s v="B&amp;H &gt; Reliable / Trustworthy &gt;, People &gt; Follow Up &gt;, Trade In &gt; Overall Process &gt;"/>
    <m/>
    <m/>
    <s v="B&amp;H &gt; Reliable / Trustworthy &gt; (Positive), Trade In &gt; Overall Process &gt; (Positive)"/>
    <s v="B&amp;H &gt; Reliable / Trustworthy &gt; (Positive), People &gt; Follow Up &gt; (Positive), Trade In &gt; Overall Process &gt; (Positive)"/>
    <s v="Yes"/>
    <s v="No"/>
    <m/>
    <x v="23"/>
    <x v="39"/>
    <x v="13"/>
    <m/>
    <x v="0"/>
    <x v="0"/>
  </r>
  <r>
    <s v="David Cunicelli - Used Trade-In Product"/>
    <n v="10"/>
    <n v="3"/>
    <d v="2026-01-27T10:26:22"/>
    <n v="5163477"/>
    <s v="Used Trade-In Product"/>
    <m/>
    <s v="David Cunicelli"/>
    <m/>
    <s v="davidcunicelli@gmail.com"/>
    <m/>
    <m/>
    <m/>
    <s v="8 years 6 months"/>
    <s v="Yes"/>
    <m/>
    <m/>
    <s v="davidcunicelli@gmail.com"/>
    <s v="102"/>
    <m/>
    <m/>
    <m/>
    <m/>
    <m/>
    <m/>
    <m/>
    <m/>
    <d v="2026-01-27T14:25:39"/>
    <d v="2026-01-27T13:15:40"/>
    <m/>
    <s v="1134937"/>
    <m/>
    <m/>
    <m/>
    <m/>
    <m/>
    <m/>
    <m/>
    <m/>
    <m/>
    <m/>
    <m/>
    <m/>
    <m/>
    <m/>
    <m/>
    <m/>
    <m/>
    <m/>
    <m/>
    <m/>
    <m/>
    <m/>
    <s v="https://bnh.lightning.force.com/0011a00000voLTQAA2"/>
    <m/>
    <m/>
    <m/>
    <m/>
    <m/>
    <m/>
    <m/>
    <m/>
    <m/>
    <m/>
    <m/>
    <m/>
    <m/>
    <m/>
    <m/>
    <m/>
    <m/>
    <m/>
    <m/>
    <m/>
    <m/>
    <m/>
    <m/>
    <m/>
    <m/>
    <m/>
    <m/>
    <m/>
    <m/>
    <m/>
    <m/>
    <m/>
    <m/>
    <m/>
    <m/>
    <m/>
    <m/>
    <m/>
    <s v="CAD"/>
    <m/>
    <s v="No"/>
    <s v="Aine Hoye"/>
    <s v="Aine Hoye"/>
    <d v="2026-01-27T10:27:01"/>
    <s v="Promoter"/>
    <s v="Closed"/>
    <m/>
    <m/>
    <s v="Yes"/>
    <m/>
    <m/>
    <m/>
    <m/>
    <m/>
    <m/>
    <m/>
    <m/>
    <m/>
    <m/>
    <m/>
    <m/>
    <m/>
    <m/>
    <m/>
    <m/>
    <s v="Fair prices paid"/>
    <m/>
    <m/>
    <m/>
    <m/>
    <s v="I still don’t have my checks. I have no way of tracking them."/>
    <m/>
    <m/>
    <m/>
    <m/>
    <m/>
    <m/>
    <m/>
    <m/>
    <m/>
    <m/>
    <m/>
    <m/>
    <m/>
    <m/>
    <m/>
    <m/>
    <m/>
    <m/>
    <m/>
    <m/>
    <m/>
    <m/>
    <m/>
    <m/>
    <m/>
    <m/>
    <m/>
    <m/>
    <m/>
    <m/>
    <m/>
    <m/>
    <m/>
    <m/>
    <m/>
    <m/>
    <m/>
    <m/>
    <m/>
    <m/>
    <m/>
    <m/>
    <m/>
    <m/>
    <m/>
    <m/>
    <m/>
    <m/>
    <m/>
    <m/>
    <m/>
    <m/>
    <m/>
    <m/>
    <m/>
    <m/>
    <m/>
    <m/>
    <m/>
    <m/>
    <m/>
    <m/>
    <m/>
    <m/>
    <m/>
    <m/>
    <m/>
    <m/>
    <m/>
    <m/>
    <m/>
    <m/>
    <m/>
    <m/>
    <m/>
    <m/>
    <m/>
    <m/>
    <m/>
    <m/>
    <m/>
    <m/>
    <s v="Fair prices paid"/>
    <s v="I still don’t have my checks. I have no way of tracking the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3"/>
    <n v="3"/>
    <n v="3"/>
    <n v="1"/>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Website &gt; Order Tracking &gt;"/>
    <s v="Trade In &gt; Quote Price &gt;, Trade In &gt; Timeliness of Payment &gt;"/>
    <m/>
    <m/>
    <s v="Pricing &gt; Value for Money &gt; (Positive), Trade In &gt; Quote Price &gt; (Positive), Used &gt; Pricing &gt; (Positive), Website &gt; Order Tracking &gt; (No opinion)"/>
    <s v="Trade In &gt; Quote Price &gt; (Positive), Trade In &gt; Timeliness of Payment &gt; (Negative)"/>
    <s v="Yes"/>
    <s v="Yes"/>
    <m/>
    <x v="3"/>
    <x v="11"/>
    <x v="0"/>
    <m/>
    <x v="0"/>
    <x v="0"/>
  </r>
  <r>
    <s v="James Adams - Used Trade-In Product"/>
    <n v="9"/>
    <n v="5"/>
    <d v="2026-01-27T10:23:04"/>
    <n v="5163456"/>
    <s v="Used Trade-In Product"/>
    <m/>
    <s v="James Adams"/>
    <m/>
    <s v="jkladams@sbcglobal.net"/>
    <m/>
    <m/>
    <m/>
    <s v="28 years 4 months"/>
    <s v="No"/>
    <m/>
    <m/>
    <s v="jkladams@sbcglobal.net"/>
    <s v="340"/>
    <m/>
    <m/>
    <m/>
    <m/>
    <m/>
    <m/>
    <m/>
    <m/>
    <d v="2026-01-27T14:22:30"/>
    <d v="2026-01-27T13:16:14"/>
    <m/>
    <s v="1135866"/>
    <m/>
    <m/>
    <m/>
    <m/>
    <m/>
    <m/>
    <m/>
    <m/>
    <m/>
    <m/>
    <m/>
    <m/>
    <m/>
    <m/>
    <m/>
    <m/>
    <m/>
    <m/>
    <m/>
    <m/>
    <m/>
    <m/>
    <s v="https://bnh.lightning.force.com/0011a00000G4ftBAAR"/>
    <m/>
    <m/>
    <m/>
    <m/>
    <m/>
    <m/>
    <m/>
    <m/>
    <m/>
    <m/>
    <m/>
    <m/>
    <m/>
    <m/>
    <m/>
    <m/>
    <m/>
    <m/>
    <m/>
    <m/>
    <m/>
    <m/>
    <m/>
    <m/>
    <m/>
    <m/>
    <m/>
    <m/>
    <m/>
    <m/>
    <m/>
    <m/>
    <m/>
    <m/>
    <m/>
    <m/>
    <m/>
    <m/>
    <s v="CAD"/>
    <m/>
    <s v="No"/>
    <s v="Aine Hoye"/>
    <s v="Aine Hoye"/>
    <d v="2026-01-27T10:21:37"/>
    <s v="Promoter"/>
    <s v="Closed"/>
    <m/>
    <m/>
    <s v="Yes"/>
    <m/>
    <m/>
    <m/>
    <m/>
    <m/>
    <m/>
    <m/>
    <m/>
    <m/>
    <m/>
    <m/>
    <m/>
    <m/>
    <m/>
    <m/>
    <m/>
    <s v="Quick and efficient_x000a_Online quotes are usually fair and accurate"/>
    <m/>
    <m/>
    <m/>
    <m/>
    <s v="No problems with any recent transactions"/>
    <m/>
    <m/>
    <m/>
    <m/>
    <m/>
    <m/>
    <m/>
    <m/>
    <m/>
    <m/>
    <m/>
    <m/>
    <m/>
    <m/>
    <m/>
    <m/>
    <m/>
    <m/>
    <m/>
    <m/>
    <m/>
    <m/>
    <m/>
    <m/>
    <m/>
    <m/>
    <m/>
    <m/>
    <m/>
    <m/>
    <m/>
    <m/>
    <m/>
    <m/>
    <m/>
    <m/>
    <m/>
    <m/>
    <m/>
    <m/>
    <m/>
    <m/>
    <m/>
    <m/>
    <m/>
    <m/>
    <m/>
    <m/>
    <m/>
    <m/>
    <m/>
    <m/>
    <m/>
    <m/>
    <m/>
    <m/>
    <m/>
    <m/>
    <m/>
    <m/>
    <m/>
    <m/>
    <m/>
    <m/>
    <m/>
    <m/>
    <m/>
    <m/>
    <m/>
    <m/>
    <m/>
    <m/>
    <m/>
    <m/>
    <m/>
    <m/>
    <m/>
    <m/>
    <m/>
    <m/>
    <m/>
    <m/>
    <s v="Quick and efficient_x000a_Online quotes are usually fair and accurate"/>
    <s v="No problems with any recent transactio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Positive)"/>
    <s v="Trade In &gt; Overall Process &gt; (Positive), Trade In &gt; Quote Price &gt; (Positive)"/>
    <s v="Yes"/>
    <s v="Yes"/>
    <m/>
    <x v="5"/>
    <x v="6"/>
    <x v="0"/>
    <m/>
    <x v="0"/>
    <x v="0"/>
  </r>
  <r>
    <s v="Sam Stierman - Used Trade-In Product"/>
    <n v="10"/>
    <n v="5"/>
    <d v="2026-01-27T10:16:39"/>
    <n v="5163414"/>
    <s v="Used Trade-In Product"/>
    <m/>
    <s v="Sam Stierman"/>
    <m/>
    <s v="sstierman@gmail.com"/>
    <m/>
    <m/>
    <m/>
    <s v="15 years 10 months"/>
    <s v="Yes"/>
    <m/>
    <m/>
    <s v="sstierman@gmail.com"/>
    <s v="190"/>
    <m/>
    <m/>
    <m/>
    <m/>
    <m/>
    <m/>
    <m/>
    <m/>
    <d v="2026-01-27T14:18:56"/>
    <d v="2026-01-27T13:14:25"/>
    <m/>
    <s v="1133878"/>
    <m/>
    <m/>
    <m/>
    <m/>
    <m/>
    <m/>
    <m/>
    <m/>
    <m/>
    <m/>
    <m/>
    <m/>
    <m/>
    <m/>
    <m/>
    <m/>
    <m/>
    <m/>
    <m/>
    <m/>
    <m/>
    <m/>
    <s v="https://bnh.lightning.force.com/0011a00000FRIJCAA5"/>
    <m/>
    <m/>
    <m/>
    <m/>
    <m/>
    <m/>
    <m/>
    <m/>
    <m/>
    <m/>
    <m/>
    <m/>
    <m/>
    <m/>
    <m/>
    <m/>
    <m/>
    <m/>
    <m/>
    <m/>
    <m/>
    <m/>
    <m/>
    <m/>
    <m/>
    <m/>
    <m/>
    <m/>
    <m/>
    <m/>
    <m/>
    <m/>
    <m/>
    <m/>
    <m/>
    <m/>
    <m/>
    <m/>
    <s v="CAD"/>
    <m/>
    <s v="No"/>
    <s v="Aine Hoye"/>
    <s v="Aine Hoye"/>
    <d v="2026-01-27T10:15:54"/>
    <s v="Promoter"/>
    <s v="Closed"/>
    <m/>
    <m/>
    <s v="Yes"/>
    <m/>
    <m/>
    <m/>
    <m/>
    <m/>
    <m/>
    <m/>
    <m/>
    <m/>
    <m/>
    <m/>
    <m/>
    <m/>
    <m/>
    <m/>
    <m/>
    <s v="Easy process."/>
    <m/>
    <m/>
    <m/>
    <m/>
    <s v="Nothing."/>
    <m/>
    <m/>
    <m/>
    <m/>
    <m/>
    <m/>
    <m/>
    <m/>
    <m/>
    <m/>
    <m/>
    <m/>
    <m/>
    <m/>
    <m/>
    <m/>
    <m/>
    <m/>
    <m/>
    <m/>
    <m/>
    <m/>
    <m/>
    <m/>
    <m/>
    <m/>
    <m/>
    <m/>
    <m/>
    <m/>
    <m/>
    <m/>
    <m/>
    <m/>
    <m/>
    <m/>
    <m/>
    <m/>
    <m/>
    <m/>
    <m/>
    <m/>
    <m/>
    <m/>
    <m/>
    <m/>
    <m/>
    <m/>
    <m/>
    <m/>
    <m/>
    <m/>
    <m/>
    <m/>
    <m/>
    <m/>
    <m/>
    <m/>
    <m/>
    <m/>
    <m/>
    <m/>
    <m/>
    <m/>
    <m/>
    <m/>
    <m/>
    <m/>
    <m/>
    <m/>
    <m/>
    <m/>
    <m/>
    <m/>
    <m/>
    <m/>
    <m/>
    <m/>
    <m/>
    <m/>
    <m/>
    <m/>
    <s v="Easy process."/>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Bob Dunlap - Used Trade-In Product"/>
    <n v="10"/>
    <n v="5"/>
    <d v="2026-01-27T03:18:37"/>
    <n v="5162850"/>
    <s v="Used Trade-In Product"/>
    <m/>
    <s v="Bob Dunlap"/>
    <m/>
    <s v="bob.dunlap@icloud.com"/>
    <m/>
    <m/>
    <m/>
    <s v="12 years 8 months"/>
    <s v="No"/>
    <m/>
    <m/>
    <s v="bob.dunlap@icloud.com"/>
    <s v="152"/>
    <m/>
    <m/>
    <m/>
    <m/>
    <m/>
    <m/>
    <m/>
    <m/>
    <d v="2026-01-27T09:17:42"/>
    <d v="2026-01-13T12:54:40"/>
    <m/>
    <s v="1131320"/>
    <m/>
    <m/>
    <m/>
    <m/>
    <m/>
    <m/>
    <m/>
    <m/>
    <m/>
    <m/>
    <m/>
    <m/>
    <m/>
    <m/>
    <m/>
    <m/>
    <m/>
    <m/>
    <m/>
    <m/>
    <m/>
    <m/>
    <s v="https://bnh.lightning.force.com/001WP00000nIngIYAS"/>
    <m/>
    <m/>
    <m/>
    <m/>
    <m/>
    <m/>
    <m/>
    <m/>
    <m/>
    <m/>
    <m/>
    <m/>
    <m/>
    <m/>
    <m/>
    <m/>
    <m/>
    <m/>
    <m/>
    <m/>
    <m/>
    <m/>
    <m/>
    <m/>
    <m/>
    <m/>
    <m/>
    <m/>
    <m/>
    <m/>
    <m/>
    <m/>
    <m/>
    <m/>
    <m/>
    <m/>
    <m/>
    <m/>
    <s v="CAD"/>
    <m/>
    <s v="No"/>
    <s v="Aine Hoye"/>
    <s v="Aine Hoye"/>
    <d v="2026-01-27T03:15:16"/>
    <s v="Promoter"/>
    <s v="Closed"/>
    <m/>
    <m/>
    <s v="Yes"/>
    <m/>
    <m/>
    <m/>
    <m/>
    <m/>
    <m/>
    <m/>
    <m/>
    <m/>
    <m/>
    <m/>
    <m/>
    <m/>
    <m/>
    <m/>
    <m/>
    <s v="It was extremely easy to gather all of my gear and check everything off as I packed it up in the original box."/>
    <m/>
    <m/>
    <m/>
    <m/>
    <s v="It would be nice to have a check status of quote on the B&amp;H web site but I was kept up to date via email."/>
    <m/>
    <m/>
    <m/>
    <m/>
    <m/>
    <m/>
    <m/>
    <m/>
    <m/>
    <m/>
    <m/>
    <m/>
    <m/>
    <m/>
    <m/>
    <m/>
    <m/>
    <m/>
    <m/>
    <m/>
    <m/>
    <m/>
    <m/>
    <m/>
    <m/>
    <m/>
    <m/>
    <m/>
    <m/>
    <m/>
    <m/>
    <m/>
    <m/>
    <m/>
    <m/>
    <m/>
    <m/>
    <m/>
    <m/>
    <m/>
    <m/>
    <m/>
    <m/>
    <m/>
    <m/>
    <m/>
    <m/>
    <m/>
    <m/>
    <m/>
    <m/>
    <m/>
    <m/>
    <m/>
    <m/>
    <m/>
    <m/>
    <m/>
    <m/>
    <m/>
    <m/>
    <m/>
    <m/>
    <m/>
    <m/>
    <m/>
    <m/>
    <m/>
    <m/>
    <m/>
    <m/>
    <m/>
    <m/>
    <m/>
    <m/>
    <m/>
    <m/>
    <m/>
    <m/>
    <m/>
    <m/>
    <m/>
    <s v="It was extremely easy to gather all of my gear and check everything off as I packed it up in the original box."/>
    <s v="It would be nice to have a check status of quote on the B&amp;H web site but I was kept up to date via emai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People &gt; Follow Up &gt;, Trade In &gt; Overall Process &gt;"/>
    <m/>
    <m/>
    <s v="Trade In &gt; Overall Process &gt; (Negative)"/>
    <s v="People &gt; Follow Up &gt; (Positive), Trade In &gt; Overall Process &gt; (Negative), Trade In &gt; Overall Process &gt; (Positive)"/>
    <s v="Yes"/>
    <s v="Yes"/>
    <m/>
    <x v="0"/>
    <x v="36"/>
    <x v="0"/>
    <m/>
    <x v="0"/>
    <x v="0"/>
  </r>
  <r>
    <s v="Robert B Macdougall - Used Trade-In Product"/>
    <n v="10"/>
    <n v="5"/>
    <d v="2026-01-26T17:10:31"/>
    <n v="5162124"/>
    <s v="Used Trade-In Product"/>
    <m/>
    <s v="Robert B Macdougall"/>
    <m/>
    <s v="bob.macdougall@comcast.net"/>
    <m/>
    <m/>
    <m/>
    <s v="18 years 10 months"/>
    <s v="No"/>
    <m/>
    <m/>
    <s v="bob.macdougall@comcast.net"/>
    <s v="226"/>
    <m/>
    <m/>
    <m/>
    <m/>
    <m/>
    <m/>
    <m/>
    <m/>
    <d v="2026-01-27T09:41:01"/>
    <d v="2026-01-26T13:10:10"/>
    <m/>
    <s v="1135706"/>
    <m/>
    <m/>
    <m/>
    <m/>
    <m/>
    <m/>
    <m/>
    <m/>
    <m/>
    <m/>
    <m/>
    <m/>
    <m/>
    <m/>
    <m/>
    <m/>
    <m/>
    <m/>
    <m/>
    <m/>
    <m/>
    <m/>
    <s v="https://bnh.lightning.force.com/001WP00000pNMb1YAG"/>
    <m/>
    <m/>
    <m/>
    <m/>
    <m/>
    <m/>
    <m/>
    <m/>
    <m/>
    <m/>
    <m/>
    <m/>
    <m/>
    <m/>
    <m/>
    <m/>
    <m/>
    <m/>
    <m/>
    <m/>
    <m/>
    <m/>
    <m/>
    <m/>
    <m/>
    <m/>
    <m/>
    <m/>
    <m/>
    <m/>
    <m/>
    <m/>
    <m/>
    <m/>
    <m/>
    <m/>
    <m/>
    <m/>
    <s v="CAD"/>
    <m/>
    <s v="No"/>
    <s v="Nick Badame"/>
    <s v="Nick Badame"/>
    <d v="2026-01-26T17:09:30"/>
    <s v="Promoter"/>
    <s v="Closed"/>
    <m/>
    <m/>
    <s v="Yes"/>
    <m/>
    <m/>
    <m/>
    <m/>
    <m/>
    <m/>
    <m/>
    <m/>
    <m/>
    <m/>
    <m/>
    <m/>
    <m/>
    <m/>
    <m/>
    <m/>
    <s v="No hassle, honest, quick results. Thank you!"/>
    <m/>
    <m/>
    <m/>
    <m/>
    <s v="Nothing"/>
    <m/>
    <m/>
    <m/>
    <m/>
    <m/>
    <m/>
    <m/>
    <m/>
    <m/>
    <m/>
    <m/>
    <m/>
    <m/>
    <m/>
    <m/>
    <m/>
    <m/>
    <m/>
    <m/>
    <m/>
    <m/>
    <m/>
    <m/>
    <m/>
    <m/>
    <m/>
    <m/>
    <m/>
    <m/>
    <m/>
    <m/>
    <m/>
    <m/>
    <m/>
    <m/>
    <m/>
    <m/>
    <m/>
    <m/>
    <m/>
    <m/>
    <m/>
    <m/>
    <m/>
    <m/>
    <m/>
    <m/>
    <m/>
    <m/>
    <m/>
    <m/>
    <m/>
    <m/>
    <m/>
    <m/>
    <m/>
    <m/>
    <m/>
    <m/>
    <m/>
    <m/>
    <m/>
    <m/>
    <m/>
    <m/>
    <m/>
    <m/>
    <m/>
    <m/>
    <m/>
    <m/>
    <m/>
    <m/>
    <m/>
    <m/>
    <m/>
    <m/>
    <m/>
    <m/>
    <m/>
    <m/>
    <m/>
    <s v="No hassle, honest, quick results. Thank you!"/>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5"/>
    <x v="48"/>
    <x v="0"/>
    <m/>
    <x v="0"/>
    <x v="0"/>
  </r>
  <r>
    <s v="Jessica Downs - Used Trade-In Product"/>
    <n v="10"/>
    <n v="5"/>
    <d v="2026-01-26T10:18:06"/>
    <n v="5161030"/>
    <s v="Used Trade-In Product"/>
    <m/>
    <s v="Jessica Downs"/>
    <m/>
    <s v="jesswaller27@gmail.com"/>
    <m/>
    <m/>
    <m/>
    <s v="10 months"/>
    <s v="No"/>
    <m/>
    <m/>
    <s v="jesswaller27@gmail.com"/>
    <s v="10"/>
    <m/>
    <m/>
    <m/>
    <m/>
    <m/>
    <m/>
    <m/>
    <m/>
    <d v="2026-01-26T14:49:44"/>
    <d v="2026-01-26T12:51:45"/>
    <m/>
    <s v="1135316"/>
    <m/>
    <m/>
    <m/>
    <m/>
    <m/>
    <m/>
    <m/>
    <m/>
    <m/>
    <m/>
    <m/>
    <m/>
    <m/>
    <m/>
    <m/>
    <m/>
    <m/>
    <m/>
    <m/>
    <m/>
    <m/>
    <m/>
    <s v="https://bnh.lightning.force.com/0018X00003W9GqIQAV"/>
    <m/>
    <m/>
    <m/>
    <m/>
    <m/>
    <m/>
    <m/>
    <m/>
    <m/>
    <m/>
    <m/>
    <m/>
    <m/>
    <m/>
    <m/>
    <m/>
    <m/>
    <m/>
    <m/>
    <m/>
    <m/>
    <m/>
    <m/>
    <m/>
    <m/>
    <m/>
    <m/>
    <m/>
    <m/>
    <m/>
    <m/>
    <m/>
    <m/>
    <m/>
    <m/>
    <m/>
    <m/>
    <m/>
    <s v="CAD"/>
    <m/>
    <s v="No"/>
    <s v="Zane Bohnert"/>
    <s v="Zane Bohnert"/>
    <d v="2026-01-26T10:17:54"/>
    <s v="Promoter"/>
    <s v="Closed"/>
    <m/>
    <m/>
    <s v="Yes"/>
    <m/>
    <m/>
    <m/>
    <m/>
    <m/>
    <m/>
    <m/>
    <m/>
    <m/>
    <m/>
    <m/>
    <m/>
    <m/>
    <m/>
    <m/>
    <m/>
    <s v="I am a returning customer to B&amp;H. The ease from getting the quote to receiving payment for the used items, was wonderful! Had no issues."/>
    <m/>
    <m/>
    <m/>
    <m/>
    <m/>
    <m/>
    <m/>
    <m/>
    <m/>
    <m/>
    <m/>
    <m/>
    <m/>
    <m/>
    <m/>
    <m/>
    <m/>
    <m/>
    <m/>
    <m/>
    <m/>
    <m/>
    <m/>
    <m/>
    <m/>
    <m/>
    <m/>
    <m/>
    <m/>
    <m/>
    <m/>
    <m/>
    <m/>
    <m/>
    <m/>
    <m/>
    <m/>
    <m/>
    <m/>
    <m/>
    <m/>
    <m/>
    <m/>
    <m/>
    <m/>
    <m/>
    <m/>
    <m/>
    <m/>
    <m/>
    <m/>
    <m/>
    <m/>
    <m/>
    <m/>
    <m/>
    <m/>
    <m/>
    <m/>
    <m/>
    <m/>
    <m/>
    <m/>
    <m/>
    <m/>
    <m/>
    <m/>
    <m/>
    <m/>
    <m/>
    <m/>
    <m/>
    <m/>
    <m/>
    <m/>
    <m/>
    <m/>
    <m/>
    <m/>
    <m/>
    <m/>
    <m/>
    <m/>
    <m/>
    <m/>
    <m/>
    <m/>
    <s v="I am a returning customer to B&amp;H. The ease from getting the quote to receiving payment for the used items, was wonderful! Had no issu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Loyalty &gt;, Trade In &gt; Overall Process &gt;"/>
    <m/>
    <m/>
    <s v="Trade In &gt; Overall Process &gt; (No opinion)"/>
    <s v="B&amp;H &gt; Loyalty &gt; (Positive), Trade In &gt; Overall Process &gt; (Positive)"/>
    <s v="Yes"/>
    <s v="Yes"/>
    <m/>
    <x v="13"/>
    <x v="49"/>
    <x v="0"/>
    <m/>
    <x v="0"/>
    <x v="0"/>
  </r>
  <r>
    <s v="Siu Chan - Used Trade-In Product"/>
    <n v="10"/>
    <n v="4"/>
    <d v="2026-01-26T10:06:41"/>
    <n v="5160979"/>
    <s v="Used Trade-In Product"/>
    <m/>
    <s v="Siu Chan"/>
    <m/>
    <s v="siuate@mac.com"/>
    <m/>
    <m/>
    <m/>
    <s v="23 years 11 months"/>
    <s v="No"/>
    <m/>
    <m/>
    <s v="siuate@mac.com"/>
    <s v="287"/>
    <m/>
    <m/>
    <m/>
    <m/>
    <m/>
    <m/>
    <m/>
    <m/>
    <d v="2026-02-02T15:40:55"/>
    <d v="2026-01-26T12:51:39"/>
    <m/>
    <s v="1137243"/>
    <m/>
    <m/>
    <m/>
    <m/>
    <m/>
    <m/>
    <m/>
    <m/>
    <m/>
    <m/>
    <m/>
    <m/>
    <m/>
    <m/>
    <m/>
    <m/>
    <m/>
    <m/>
    <m/>
    <m/>
    <m/>
    <m/>
    <s v="https://bnh.lightning.force.com/0011a00000FRFAMAA5"/>
    <m/>
    <m/>
    <m/>
    <m/>
    <m/>
    <m/>
    <m/>
    <m/>
    <m/>
    <m/>
    <m/>
    <m/>
    <m/>
    <m/>
    <m/>
    <m/>
    <m/>
    <m/>
    <m/>
    <m/>
    <m/>
    <m/>
    <m/>
    <m/>
    <m/>
    <m/>
    <m/>
    <m/>
    <m/>
    <m/>
    <m/>
    <m/>
    <m/>
    <m/>
    <m/>
    <m/>
    <m/>
    <m/>
    <s v="CAD"/>
    <m/>
    <s v="No"/>
    <s v="Zane Bohnert,Avraham Schwartz,Reina Caba"/>
    <s v="Reina Caba"/>
    <d v="2026-01-26T10:05:46"/>
    <s v="Promoter"/>
    <s v="Closed"/>
    <d v="2026-02-02T15:40:50"/>
    <s v="Reina Caba (reinac@bhphoto.com)"/>
    <s v="Yes"/>
    <m/>
    <m/>
    <m/>
    <m/>
    <m/>
    <m/>
    <m/>
    <m/>
    <m/>
    <m/>
    <m/>
    <m/>
    <m/>
    <m/>
    <m/>
    <m/>
    <s v="it was fast and received check within minutes"/>
    <m/>
    <m/>
    <m/>
    <m/>
    <s v="person gave me a different (lower) quote at the store than online; left a bad taste as if B&amp;H was playing games and tried to lowball person who shows up in person."/>
    <m/>
    <m/>
    <m/>
    <m/>
    <m/>
    <m/>
    <m/>
    <m/>
    <m/>
    <m/>
    <m/>
    <m/>
    <m/>
    <m/>
    <m/>
    <m/>
    <m/>
    <m/>
    <m/>
    <m/>
    <m/>
    <m/>
    <m/>
    <m/>
    <m/>
    <m/>
    <m/>
    <m/>
    <m/>
    <m/>
    <m/>
    <m/>
    <m/>
    <m/>
    <m/>
    <m/>
    <m/>
    <m/>
    <m/>
    <m/>
    <m/>
    <m/>
    <m/>
    <m/>
    <m/>
    <m/>
    <m/>
    <m/>
    <m/>
    <m/>
    <m/>
    <m/>
    <m/>
    <m/>
    <m/>
    <m/>
    <m/>
    <m/>
    <m/>
    <m/>
    <m/>
    <m/>
    <m/>
    <m/>
    <m/>
    <m/>
    <m/>
    <m/>
    <m/>
    <m/>
    <m/>
    <m/>
    <m/>
    <m/>
    <m/>
    <m/>
    <m/>
    <m/>
    <m/>
    <m/>
    <m/>
    <m/>
    <s v="it was fast and received check within minutes"/>
    <s v="person gave me a different (lower) quote at the store than online; left a bad taste as if B&amp;H was playing games and tried to lowball person who shows up in pers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4"/>
    <n v="4"/>
    <m/>
    <m/>
    <m/>
    <m/>
    <m/>
    <m/>
    <n v="3"/>
    <n v="4"/>
    <n v="5"/>
    <n v="5"/>
    <m/>
    <m/>
    <m/>
    <m/>
    <m/>
    <m/>
    <m/>
    <m/>
    <m/>
    <m/>
    <m/>
    <m/>
    <m/>
    <m/>
    <m/>
    <m/>
    <m/>
    <m/>
    <m/>
    <m/>
    <m/>
    <m/>
    <m/>
    <m/>
    <m/>
    <m/>
    <m/>
    <m/>
    <m/>
    <m/>
    <m/>
    <m/>
    <m/>
    <m/>
    <m/>
    <m/>
    <m/>
    <m/>
    <m/>
    <m/>
    <m/>
    <m/>
    <m/>
    <m/>
    <m/>
    <m/>
    <m/>
    <m/>
    <m/>
    <m/>
    <m/>
    <m/>
    <m/>
    <m/>
    <m/>
    <m/>
    <m/>
    <m/>
    <m/>
    <m/>
    <m/>
    <m/>
    <m/>
    <m/>
    <m/>
    <m/>
    <m/>
    <m/>
    <m/>
    <m/>
    <m/>
    <m/>
    <m/>
    <m/>
    <m/>
    <m/>
    <m/>
    <m/>
    <m/>
    <m/>
    <m/>
    <m/>
    <m/>
    <m/>
    <m/>
    <m/>
    <m/>
    <m/>
    <m/>
    <m/>
    <m/>
    <m/>
    <m/>
    <m/>
    <m/>
    <m/>
    <m/>
    <m/>
    <m/>
    <m/>
    <m/>
    <s v="Trade In &gt; Overall Process &gt;, Trade In &gt; Quote Price &gt;"/>
    <s v="Trade In &gt; Overall Process &gt;, Trade In &gt; Quote Price &gt;, Trade In &gt; Timeliness of Payment &gt;"/>
    <m/>
    <m/>
    <s v="Trade In &gt; Overall Process &gt; (Negative), Trade In &gt; Quote Price &gt; (Negative)"/>
    <s v="Trade In &gt; Overall Process &gt; (Positive), Trade In &gt; Quote Price &gt; (Negative), Trade In &gt; Timeliness of Payment &gt; (Positive)"/>
    <s v="Yes"/>
    <s v="No"/>
    <m/>
    <x v="5"/>
    <x v="12"/>
    <x v="6"/>
    <s v="Didn't like receiving a lower quote in-person than online"/>
    <x v="0"/>
    <x v="0"/>
  </r>
  <r>
    <s v="Vedant Sapra - Used Trade-In Product"/>
    <n v="7"/>
    <n v="3"/>
    <d v="2026-01-25T02:35:50"/>
    <n v="5158865"/>
    <s v="Used Trade-In Product"/>
    <m/>
    <s v="Vedant Sapra"/>
    <m/>
    <s v="vedantsapra@gmail.com"/>
    <m/>
    <m/>
    <m/>
    <s v="3 years 5 months"/>
    <s v="No"/>
    <m/>
    <m/>
    <s v="vedantsapra@gmail.com"/>
    <s v="41"/>
    <m/>
    <m/>
    <m/>
    <m/>
    <m/>
    <m/>
    <m/>
    <m/>
    <d v="2026-02-01T14:19:02"/>
    <d v="2026-01-22T15:21:19"/>
    <m/>
    <s v="1133329"/>
    <m/>
    <m/>
    <m/>
    <m/>
    <m/>
    <m/>
    <m/>
    <m/>
    <m/>
    <m/>
    <m/>
    <m/>
    <m/>
    <m/>
    <m/>
    <m/>
    <m/>
    <m/>
    <m/>
    <m/>
    <m/>
    <m/>
    <s v="https://bnh.lightning.force.com/001WP00000oEyZEYA0"/>
    <m/>
    <m/>
    <m/>
    <m/>
    <m/>
    <m/>
    <m/>
    <m/>
    <m/>
    <m/>
    <m/>
    <m/>
    <m/>
    <m/>
    <m/>
    <m/>
    <m/>
    <m/>
    <m/>
    <m/>
    <m/>
    <m/>
    <m/>
    <m/>
    <m/>
    <m/>
    <m/>
    <m/>
    <m/>
    <m/>
    <m/>
    <m/>
    <m/>
    <m/>
    <m/>
    <m/>
    <m/>
    <m/>
    <s v="CAD"/>
    <m/>
    <s v="No"/>
    <s v="Andrea Garcia,Avraham Schwartz,Reina Caba"/>
    <s v="Reina Caba"/>
    <d v="2026-01-25T02:34:36"/>
    <s v="Passive"/>
    <s v="Closed"/>
    <d v="2026-02-01T14:18:57"/>
    <s v="Reina Caba (reinac@bhphoto.com)"/>
    <s v="Yes"/>
    <m/>
    <m/>
    <m/>
    <m/>
    <m/>
    <m/>
    <m/>
    <m/>
    <m/>
    <m/>
    <m/>
    <m/>
    <m/>
    <m/>
    <m/>
    <m/>
    <s v="Ease of use"/>
    <m/>
    <m/>
    <m/>
    <m/>
    <s v="I didn’t think half the equipment would get shipped back"/>
    <m/>
    <m/>
    <m/>
    <m/>
    <m/>
    <m/>
    <m/>
    <m/>
    <m/>
    <m/>
    <m/>
    <m/>
    <m/>
    <m/>
    <m/>
    <m/>
    <m/>
    <m/>
    <m/>
    <m/>
    <m/>
    <m/>
    <m/>
    <m/>
    <m/>
    <m/>
    <m/>
    <m/>
    <m/>
    <m/>
    <m/>
    <m/>
    <m/>
    <m/>
    <m/>
    <m/>
    <m/>
    <m/>
    <m/>
    <m/>
    <m/>
    <m/>
    <m/>
    <m/>
    <m/>
    <m/>
    <m/>
    <m/>
    <m/>
    <m/>
    <m/>
    <m/>
    <m/>
    <m/>
    <m/>
    <m/>
    <m/>
    <m/>
    <m/>
    <m/>
    <m/>
    <m/>
    <m/>
    <m/>
    <m/>
    <m/>
    <m/>
    <m/>
    <m/>
    <m/>
    <m/>
    <m/>
    <m/>
    <m/>
    <m/>
    <m/>
    <m/>
    <m/>
    <m/>
    <m/>
    <m/>
    <m/>
    <s v="Ease of use"/>
    <s v="I didn’t think half the equipment would get shipped ba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m/>
    <s v="Trade In &gt; Overall Process &gt;"/>
    <m/>
    <m/>
    <m/>
    <s v="Trade In &gt; Overall Process &gt; (Negative), Trade In &gt; Overall Process &gt; (Positive)"/>
    <s v="Yes"/>
    <s v="Yes"/>
    <m/>
    <x v="5"/>
    <x v="14"/>
    <x v="0"/>
    <m/>
    <x v="0"/>
    <x v="0"/>
  </r>
  <r>
    <s v="Ivan Shepperd - Used Trade-In Product"/>
    <n v="9"/>
    <n v="5"/>
    <d v="2026-01-24T20:53:03"/>
    <n v="5158639"/>
    <s v="Used Trade-In Product"/>
    <m/>
    <s v="Ivan Shepperd"/>
    <m/>
    <s v="ivan.shepperd@gmail.com"/>
    <m/>
    <m/>
    <m/>
    <s v="2 years 11 months"/>
    <s v="No"/>
    <m/>
    <m/>
    <s v="ivan.shepperd@gmail.com"/>
    <s v="35"/>
    <m/>
    <m/>
    <m/>
    <m/>
    <m/>
    <m/>
    <m/>
    <m/>
    <d v="2026-01-26T09:30:20"/>
    <d v="2026-01-23T12:47:40"/>
    <m/>
    <s v="1134699"/>
    <m/>
    <m/>
    <m/>
    <m/>
    <m/>
    <m/>
    <m/>
    <m/>
    <m/>
    <m/>
    <m/>
    <m/>
    <m/>
    <m/>
    <m/>
    <m/>
    <m/>
    <m/>
    <m/>
    <m/>
    <m/>
    <m/>
    <s v="https://bnh.lightning.force.com/0018X00003BSzdXQAT"/>
    <m/>
    <m/>
    <m/>
    <m/>
    <m/>
    <m/>
    <m/>
    <m/>
    <m/>
    <m/>
    <m/>
    <m/>
    <m/>
    <m/>
    <m/>
    <m/>
    <m/>
    <m/>
    <m/>
    <m/>
    <m/>
    <m/>
    <m/>
    <m/>
    <m/>
    <m/>
    <m/>
    <m/>
    <m/>
    <m/>
    <m/>
    <m/>
    <m/>
    <m/>
    <m/>
    <m/>
    <m/>
    <m/>
    <s v="CAD"/>
    <m/>
    <s v="No"/>
    <s v="Andrea Garcia"/>
    <s v="Andrea Garcia"/>
    <d v="2026-01-24T20:50:56"/>
    <s v="Promoter"/>
    <s v="Closed"/>
    <m/>
    <m/>
    <s v="Yes"/>
    <m/>
    <m/>
    <m/>
    <m/>
    <m/>
    <m/>
    <m/>
    <m/>
    <m/>
    <m/>
    <m/>
    <m/>
    <m/>
    <m/>
    <m/>
    <m/>
    <s v="One of your New York competitors seems to be more limited in what they will consider buying, even though what I was selling was a currently available item."/>
    <m/>
    <m/>
    <m/>
    <m/>
    <s v="That same New York competitor tends to offer a bit more money. But for this particular item, they offered nothing."/>
    <m/>
    <m/>
    <m/>
    <m/>
    <m/>
    <m/>
    <m/>
    <m/>
    <m/>
    <m/>
    <m/>
    <m/>
    <m/>
    <m/>
    <m/>
    <m/>
    <m/>
    <m/>
    <m/>
    <m/>
    <m/>
    <m/>
    <m/>
    <m/>
    <m/>
    <m/>
    <m/>
    <m/>
    <m/>
    <m/>
    <m/>
    <m/>
    <m/>
    <m/>
    <m/>
    <m/>
    <m/>
    <m/>
    <m/>
    <m/>
    <m/>
    <m/>
    <m/>
    <m/>
    <m/>
    <m/>
    <m/>
    <m/>
    <m/>
    <m/>
    <m/>
    <m/>
    <m/>
    <m/>
    <m/>
    <m/>
    <m/>
    <m/>
    <m/>
    <m/>
    <m/>
    <m/>
    <m/>
    <m/>
    <m/>
    <m/>
    <m/>
    <m/>
    <m/>
    <m/>
    <m/>
    <m/>
    <m/>
    <m/>
    <m/>
    <m/>
    <m/>
    <m/>
    <m/>
    <m/>
    <m/>
    <m/>
    <s v="One of your New York competitors seems to be more limited in what they will consider buying, even though what I was selling was a currently available item."/>
    <s v="That same New York competitor tends to offer a bit more money. But for this particular item, they offered 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Competitor Mentions &gt;, Product &gt; Selection / Variety &gt;"/>
    <s v="Trade In &gt; Quote Price &gt;"/>
    <m/>
    <m/>
    <s v="B&amp;H &gt; Competitor Mentions &gt; (Negative), B&amp;H &gt; Competitor Mentions &gt; (No opinion), Product &gt; Selection / Variety &gt; (No opinion)"/>
    <s v="Trade In &gt; Quote Price &gt; (Negative)"/>
    <s v="Yes"/>
    <s v="Yes"/>
    <m/>
    <x v="29"/>
    <x v="0"/>
    <x v="0"/>
    <m/>
    <x v="0"/>
    <x v="0"/>
  </r>
  <r>
    <s v="William Lackey - Used Trade-In Product"/>
    <n v="10"/>
    <n v="5"/>
    <d v="2026-01-24T09:23:40"/>
    <n v="5158353"/>
    <s v="Used Trade-In Product"/>
    <m/>
    <s v="William Lackey"/>
    <m/>
    <s v="lackey.bill@att.net"/>
    <m/>
    <m/>
    <m/>
    <s v="8 years 7 months"/>
    <s v="Yes"/>
    <m/>
    <m/>
    <s v="lackey.bill@att.net"/>
    <s v="103"/>
    <m/>
    <m/>
    <m/>
    <m/>
    <m/>
    <m/>
    <m/>
    <m/>
    <d v="2026-01-26T09:25:33"/>
    <d v="2026-01-22T12:48:39"/>
    <m/>
    <s v="1133189"/>
    <m/>
    <m/>
    <m/>
    <m/>
    <m/>
    <m/>
    <m/>
    <m/>
    <m/>
    <m/>
    <m/>
    <m/>
    <m/>
    <m/>
    <m/>
    <m/>
    <m/>
    <m/>
    <m/>
    <m/>
    <m/>
    <m/>
    <s v="https://bnh.lightning.force.com/0011a00000iRF9XAAW"/>
    <m/>
    <m/>
    <m/>
    <m/>
    <m/>
    <m/>
    <m/>
    <m/>
    <m/>
    <m/>
    <m/>
    <m/>
    <m/>
    <m/>
    <m/>
    <m/>
    <m/>
    <m/>
    <m/>
    <m/>
    <m/>
    <m/>
    <m/>
    <m/>
    <m/>
    <m/>
    <m/>
    <m/>
    <m/>
    <m/>
    <m/>
    <m/>
    <m/>
    <m/>
    <m/>
    <m/>
    <m/>
    <m/>
    <s v="CAD"/>
    <m/>
    <s v="No"/>
    <s v="Andrea Garcia"/>
    <s v="Andrea Garcia"/>
    <d v="2026-01-24T09:21:49"/>
    <s v="Promoter"/>
    <s v="Closed"/>
    <m/>
    <m/>
    <s v="Yes"/>
    <m/>
    <m/>
    <m/>
    <m/>
    <m/>
    <m/>
    <m/>
    <m/>
    <m/>
    <m/>
    <m/>
    <m/>
    <m/>
    <m/>
    <m/>
    <m/>
    <m/>
    <m/>
    <m/>
    <m/>
    <m/>
    <s v="It was a little difficult to find my items to list for quote. However I received a quote fast from customer service"/>
    <m/>
    <m/>
    <m/>
    <m/>
    <m/>
    <m/>
    <m/>
    <m/>
    <m/>
    <m/>
    <m/>
    <m/>
    <m/>
    <m/>
    <m/>
    <m/>
    <m/>
    <m/>
    <m/>
    <m/>
    <m/>
    <m/>
    <m/>
    <m/>
    <m/>
    <m/>
    <m/>
    <m/>
    <m/>
    <m/>
    <m/>
    <m/>
    <m/>
    <m/>
    <m/>
    <m/>
    <m/>
    <m/>
    <m/>
    <m/>
    <m/>
    <m/>
    <m/>
    <m/>
    <m/>
    <m/>
    <m/>
    <m/>
    <m/>
    <m/>
    <m/>
    <m/>
    <m/>
    <m/>
    <m/>
    <m/>
    <m/>
    <m/>
    <m/>
    <m/>
    <m/>
    <m/>
    <m/>
    <m/>
    <m/>
    <m/>
    <m/>
    <m/>
    <m/>
    <m/>
    <m/>
    <m/>
    <m/>
    <m/>
    <m/>
    <m/>
    <m/>
    <m/>
    <m/>
    <m/>
    <m/>
    <m/>
    <m/>
    <s v="It was a little difficult to find my items to list for quote. However I received a quote fast from customer serv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3"/>
    <n v="5"/>
    <m/>
    <m/>
    <m/>
    <m/>
    <m/>
    <m/>
    <n v="4"/>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Trade In &gt; Timeliness of Quote &gt;"/>
    <s v="Trade In &gt; Overall Process &gt;, Trade In &gt; Timeliness of Quote &gt;"/>
    <m/>
    <m/>
    <s v="Pricing &gt; Value for Money &gt; (Negative), Trade In &gt; Overall Process &gt; (Negative), Trade In &gt; Overall Process &gt; (Positive), Trade In &gt; Timeliness of Quote &gt; (Positive)"/>
    <s v="Trade In &gt; Overall Process &gt; (Negative), Trade In &gt; Timeliness of Quote &gt; (Positive)"/>
    <s v="Yes"/>
    <s v="No"/>
    <m/>
    <x v="40"/>
    <x v="2"/>
    <x v="0"/>
    <m/>
    <x v="0"/>
    <x v="0"/>
  </r>
  <r>
    <s v="Edward Peters - Used Trade-In Product"/>
    <n v="10"/>
    <n v="5"/>
    <d v="2026-01-24T06:51:53"/>
    <n v="5158297"/>
    <s v="Used Trade-In Product"/>
    <m/>
    <s v="Edward Peters"/>
    <m/>
    <s v="ednkelly2015@gmail.com"/>
    <m/>
    <m/>
    <m/>
    <s v="4 years 7 months"/>
    <s v="No"/>
    <m/>
    <m/>
    <s v="ednkelly2015@gmail.com"/>
    <s v="55"/>
    <m/>
    <m/>
    <m/>
    <m/>
    <m/>
    <m/>
    <m/>
    <m/>
    <d v="2026-01-26T09:41:25"/>
    <d v="2026-01-21T12:46:13"/>
    <m/>
    <s v="1131238"/>
    <m/>
    <m/>
    <m/>
    <m/>
    <m/>
    <m/>
    <m/>
    <m/>
    <m/>
    <m/>
    <m/>
    <m/>
    <m/>
    <m/>
    <m/>
    <m/>
    <m/>
    <m/>
    <m/>
    <m/>
    <m/>
    <m/>
    <s v="https://bnh.lightning.force.com/001WP00000nIWSYYA4"/>
    <m/>
    <m/>
    <m/>
    <m/>
    <m/>
    <m/>
    <m/>
    <m/>
    <m/>
    <m/>
    <m/>
    <m/>
    <m/>
    <m/>
    <m/>
    <m/>
    <m/>
    <m/>
    <m/>
    <m/>
    <m/>
    <m/>
    <m/>
    <m/>
    <m/>
    <m/>
    <m/>
    <m/>
    <m/>
    <m/>
    <m/>
    <m/>
    <m/>
    <m/>
    <m/>
    <m/>
    <m/>
    <m/>
    <s v="CAD"/>
    <m/>
    <s v="No"/>
    <s v="Emily Schreier"/>
    <s v="Emily Schreier"/>
    <d v="2026-01-24T06:49:09"/>
    <s v="Promoter"/>
    <s v="Closed"/>
    <m/>
    <m/>
    <s v="Yes"/>
    <m/>
    <m/>
    <m/>
    <m/>
    <m/>
    <m/>
    <m/>
    <m/>
    <m/>
    <m/>
    <m/>
    <m/>
    <m/>
    <m/>
    <m/>
    <m/>
    <s v="The quick turn around with reply of quote and the entire transaction. I Was very happy with the BHPhoto’s customer service."/>
    <m/>
    <m/>
    <m/>
    <m/>
    <m/>
    <m/>
    <m/>
    <m/>
    <m/>
    <m/>
    <m/>
    <m/>
    <m/>
    <m/>
    <m/>
    <m/>
    <m/>
    <m/>
    <m/>
    <m/>
    <m/>
    <m/>
    <m/>
    <m/>
    <m/>
    <m/>
    <m/>
    <m/>
    <m/>
    <m/>
    <m/>
    <m/>
    <m/>
    <m/>
    <m/>
    <m/>
    <m/>
    <m/>
    <m/>
    <m/>
    <m/>
    <m/>
    <m/>
    <m/>
    <m/>
    <m/>
    <m/>
    <m/>
    <m/>
    <m/>
    <m/>
    <m/>
    <m/>
    <m/>
    <m/>
    <m/>
    <m/>
    <m/>
    <m/>
    <m/>
    <m/>
    <m/>
    <m/>
    <m/>
    <m/>
    <m/>
    <m/>
    <m/>
    <m/>
    <m/>
    <m/>
    <m/>
    <m/>
    <m/>
    <m/>
    <m/>
    <m/>
    <m/>
    <m/>
    <m/>
    <m/>
    <m/>
    <m/>
    <m/>
    <m/>
    <m/>
    <m/>
    <s v="The quick turn around with reply of quote and the entire transaction. I Was very happy with the BHPhoto’s customer serv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Quote &gt;"/>
    <m/>
    <m/>
    <s v="Trade In &gt; Overall Process &gt; (Positive)"/>
    <s v="Trade In &gt; Overall Process &gt; (Positive), Trade In &gt; Timeliness of Quote &gt; (Positive)"/>
    <s v="Yes"/>
    <s v="No"/>
    <m/>
    <x v="14"/>
    <x v="0"/>
    <x v="0"/>
    <m/>
    <x v="0"/>
    <x v="0"/>
  </r>
  <r>
    <s v="Brady Stoever - Used Trade-In Product"/>
    <n v="10"/>
    <n v="5"/>
    <d v="2026-01-23T22:02:57"/>
    <n v="5158109"/>
    <s v="Used Trade-In Product"/>
    <m/>
    <s v="Brady Stoever"/>
    <m/>
    <s v="bmstoeve@gmail.com"/>
    <m/>
    <m/>
    <m/>
    <s v="2 years 1 months"/>
    <s v="No"/>
    <m/>
    <m/>
    <s v="bmstoeve@gmail.com"/>
    <s v="25"/>
    <m/>
    <m/>
    <m/>
    <m/>
    <m/>
    <m/>
    <m/>
    <m/>
    <d v="2026-01-26T09:38:57"/>
    <d v="2026-01-23T12:48:39"/>
    <m/>
    <s v="1136627"/>
    <m/>
    <m/>
    <m/>
    <m/>
    <m/>
    <m/>
    <m/>
    <m/>
    <m/>
    <m/>
    <m/>
    <m/>
    <m/>
    <m/>
    <m/>
    <m/>
    <m/>
    <m/>
    <m/>
    <m/>
    <m/>
    <m/>
    <s v="https://bnh.lightning.force.com/0018X00003USWYlQAP"/>
    <m/>
    <m/>
    <m/>
    <m/>
    <m/>
    <m/>
    <m/>
    <m/>
    <m/>
    <m/>
    <m/>
    <m/>
    <m/>
    <m/>
    <m/>
    <m/>
    <m/>
    <m/>
    <m/>
    <m/>
    <m/>
    <m/>
    <m/>
    <m/>
    <m/>
    <m/>
    <m/>
    <m/>
    <m/>
    <m/>
    <m/>
    <m/>
    <m/>
    <m/>
    <m/>
    <m/>
    <m/>
    <m/>
    <s v="CAD"/>
    <m/>
    <s v="No"/>
    <s v="Emily Schreier"/>
    <s v="Emily Schreier"/>
    <d v="2026-01-23T22:02:22"/>
    <s v="Promoter"/>
    <s v="Closed"/>
    <m/>
    <m/>
    <s v="Yes"/>
    <m/>
    <m/>
    <m/>
    <m/>
    <m/>
    <m/>
    <m/>
    <m/>
    <m/>
    <m/>
    <m/>
    <m/>
    <m/>
    <m/>
    <m/>
    <m/>
    <s v="It was easy to sell the gear I no longer used and got a fairly reasonable price for it."/>
    <m/>
    <m/>
    <m/>
    <m/>
    <s v="Not much about the experience, just wish my gear was worth more."/>
    <m/>
    <m/>
    <m/>
    <m/>
    <m/>
    <m/>
    <m/>
    <m/>
    <m/>
    <m/>
    <m/>
    <m/>
    <m/>
    <m/>
    <m/>
    <m/>
    <m/>
    <m/>
    <m/>
    <m/>
    <m/>
    <m/>
    <m/>
    <m/>
    <m/>
    <m/>
    <m/>
    <m/>
    <m/>
    <m/>
    <m/>
    <m/>
    <m/>
    <m/>
    <m/>
    <m/>
    <m/>
    <m/>
    <m/>
    <m/>
    <m/>
    <m/>
    <m/>
    <m/>
    <m/>
    <m/>
    <m/>
    <m/>
    <m/>
    <m/>
    <m/>
    <m/>
    <m/>
    <m/>
    <m/>
    <m/>
    <m/>
    <m/>
    <m/>
    <m/>
    <m/>
    <m/>
    <m/>
    <m/>
    <m/>
    <m/>
    <m/>
    <m/>
    <m/>
    <m/>
    <m/>
    <m/>
    <m/>
    <m/>
    <m/>
    <m/>
    <m/>
    <m/>
    <m/>
    <m/>
    <m/>
    <m/>
    <s v="It was easy to sell the gear I no longer used and got a fairly reasonable price for it."/>
    <s v="Not much about the experience, just wish my gear was worth mo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s v="N/A"/>
    <n v="5"/>
    <n v="4"/>
    <m/>
    <m/>
    <m/>
    <m/>
    <m/>
    <m/>
    <m/>
    <m/>
    <m/>
    <m/>
    <m/>
    <m/>
    <m/>
    <m/>
    <m/>
    <m/>
    <m/>
    <m/>
    <m/>
    <m/>
    <m/>
    <m/>
    <m/>
    <m/>
    <m/>
    <m/>
    <m/>
    <m/>
    <m/>
    <m/>
    <m/>
    <m/>
    <m/>
    <m/>
    <m/>
    <m/>
    <m/>
    <m/>
    <m/>
    <m/>
    <m/>
    <m/>
    <m/>
    <m/>
    <m/>
    <m/>
    <m/>
    <m/>
    <m/>
    <m/>
    <m/>
    <m/>
    <m/>
    <m/>
    <m/>
    <m/>
    <m/>
    <m/>
    <m/>
    <m/>
    <m/>
    <m/>
    <m/>
    <m/>
    <m/>
    <m/>
    <m/>
    <m/>
    <m/>
    <m/>
    <m/>
    <m/>
    <m/>
    <m/>
    <m/>
    <m/>
    <m/>
    <m/>
    <m/>
    <m/>
    <m/>
    <m/>
    <m/>
    <m/>
    <m/>
    <m/>
    <m/>
    <m/>
    <m/>
    <m/>
    <m/>
    <m/>
    <m/>
    <m/>
    <m/>
    <m/>
    <m/>
    <m/>
    <m/>
    <m/>
    <m/>
    <s v="Pricing &gt; Value for Money &gt;, Used &gt; Pricing &gt;"/>
    <s v="Trade In &gt; Overall Process &gt;, Trade In &gt; Quote Price &gt;"/>
    <m/>
    <m/>
    <s v="Pricing &gt; Value for Money &gt; (Positive), Used &gt; Pricing &gt; (Positive)"/>
    <s v="Trade In &gt; Overall Process &gt; (Positive), Trade In &gt; Quote Price &gt; (Negative), Trade In &gt; Quote Price &gt; (Positive)"/>
    <s v="Yes"/>
    <s v="No"/>
    <m/>
    <x v="0"/>
    <x v="15"/>
    <x v="6"/>
    <m/>
    <x v="0"/>
    <x v="0"/>
  </r>
  <r>
    <s v="Peter Yoon - Used Trade-In Product"/>
    <n v="9"/>
    <n v="5"/>
    <d v="2026-01-23T16:36:31"/>
    <n v="5157899"/>
    <s v="Used Trade-In Product"/>
    <m/>
    <s v="Peter Yoon"/>
    <m/>
    <s v="phyoon7@gmail.com"/>
    <m/>
    <m/>
    <m/>
    <s v="7 months"/>
    <s v="No"/>
    <m/>
    <m/>
    <s v="phyoon7@gmail.com"/>
    <s v="7"/>
    <m/>
    <m/>
    <m/>
    <m/>
    <m/>
    <m/>
    <m/>
    <m/>
    <d v="2026-01-26T09:33:51"/>
    <d v="2026-01-23T15:16:32"/>
    <m/>
    <s v="1136985"/>
    <m/>
    <m/>
    <m/>
    <m/>
    <m/>
    <m/>
    <m/>
    <m/>
    <m/>
    <m/>
    <m/>
    <m/>
    <m/>
    <m/>
    <m/>
    <m/>
    <m/>
    <m/>
    <m/>
    <m/>
    <m/>
    <m/>
    <s v="https://bnh.lightning.force.com/001WP00000q41pUYAQ"/>
    <m/>
    <m/>
    <m/>
    <m/>
    <m/>
    <m/>
    <m/>
    <m/>
    <m/>
    <m/>
    <m/>
    <m/>
    <m/>
    <m/>
    <m/>
    <m/>
    <m/>
    <m/>
    <m/>
    <m/>
    <m/>
    <m/>
    <m/>
    <m/>
    <m/>
    <m/>
    <m/>
    <m/>
    <m/>
    <m/>
    <m/>
    <m/>
    <m/>
    <m/>
    <m/>
    <m/>
    <m/>
    <m/>
    <s v="CAD"/>
    <m/>
    <s v="No"/>
    <s v="Emily Schreier"/>
    <s v="Emily Schreier"/>
    <d v="2026-01-23T16:35:56"/>
    <s v="Promoter"/>
    <s v="Closed"/>
    <m/>
    <m/>
    <s v="Yes"/>
    <m/>
    <m/>
    <m/>
    <m/>
    <m/>
    <m/>
    <m/>
    <m/>
    <m/>
    <m/>
    <m/>
    <m/>
    <m/>
    <m/>
    <m/>
    <m/>
    <s v="Good instructions and facilitation of process"/>
    <m/>
    <m/>
    <m/>
    <m/>
    <s v="Time needed before appraisal (but understandable given the volume you probably deal with)"/>
    <m/>
    <m/>
    <m/>
    <m/>
    <m/>
    <m/>
    <m/>
    <m/>
    <m/>
    <m/>
    <m/>
    <m/>
    <m/>
    <m/>
    <m/>
    <m/>
    <m/>
    <m/>
    <m/>
    <m/>
    <m/>
    <m/>
    <m/>
    <m/>
    <m/>
    <m/>
    <m/>
    <m/>
    <m/>
    <m/>
    <m/>
    <m/>
    <m/>
    <m/>
    <m/>
    <m/>
    <m/>
    <m/>
    <m/>
    <m/>
    <m/>
    <m/>
    <m/>
    <m/>
    <m/>
    <m/>
    <m/>
    <m/>
    <m/>
    <m/>
    <m/>
    <m/>
    <m/>
    <m/>
    <m/>
    <m/>
    <m/>
    <m/>
    <m/>
    <m/>
    <m/>
    <m/>
    <m/>
    <m/>
    <m/>
    <m/>
    <m/>
    <m/>
    <m/>
    <m/>
    <m/>
    <m/>
    <m/>
    <m/>
    <m/>
    <m/>
    <m/>
    <m/>
    <m/>
    <m/>
    <m/>
    <m/>
    <s v="Good instructions and facilitation of process"/>
    <s v="Time needed before appraisal (but understandable given the volume you probably deal wit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Quote &gt;"/>
    <m/>
    <m/>
    <s v="Trade In &gt; Overall Process &gt; (Positive)"/>
    <s v="Trade In &gt; Overall Process &gt; (Positive), Trade In &gt; Timeliness of Quote &gt; (Negative)"/>
    <s v="Yes"/>
    <s v="Yes"/>
    <m/>
    <x v="25"/>
    <x v="4"/>
    <x v="0"/>
    <m/>
    <x v="0"/>
    <x v="0"/>
  </r>
  <r>
    <s v="James Clark - Used Trade-In Product"/>
    <n v="10"/>
    <n v="5"/>
    <d v="2026-01-23T16:31:51"/>
    <n v="5157886"/>
    <s v="Used Trade-In Product"/>
    <m/>
    <s v="James Clark"/>
    <m/>
    <s v="clark348@gmail.com"/>
    <m/>
    <m/>
    <m/>
    <s v="16 years 4 months"/>
    <s v="Yes"/>
    <m/>
    <m/>
    <s v="clark348@gmail.com"/>
    <s v="196"/>
    <m/>
    <m/>
    <m/>
    <m/>
    <m/>
    <m/>
    <m/>
    <m/>
    <d v="2026-01-26T09:33:30"/>
    <d v="2026-01-23T12:43:47"/>
    <m/>
    <s v="1134173"/>
    <m/>
    <m/>
    <m/>
    <m/>
    <m/>
    <m/>
    <m/>
    <m/>
    <m/>
    <m/>
    <m/>
    <m/>
    <m/>
    <m/>
    <m/>
    <m/>
    <m/>
    <m/>
    <m/>
    <m/>
    <m/>
    <m/>
    <s v="https://bnh.lightning.force.com/0018X00003PF053QAD"/>
    <m/>
    <m/>
    <m/>
    <m/>
    <m/>
    <m/>
    <m/>
    <m/>
    <m/>
    <m/>
    <m/>
    <m/>
    <m/>
    <m/>
    <m/>
    <m/>
    <m/>
    <m/>
    <m/>
    <m/>
    <m/>
    <m/>
    <m/>
    <m/>
    <m/>
    <m/>
    <m/>
    <m/>
    <m/>
    <m/>
    <m/>
    <m/>
    <m/>
    <m/>
    <m/>
    <m/>
    <m/>
    <m/>
    <s v="CAD"/>
    <m/>
    <s v="No"/>
    <s v="Emily Schreier"/>
    <s v="Emily Schreier"/>
    <d v="2026-01-23T16:30:15"/>
    <s v="Promoter"/>
    <s v="Closed"/>
    <m/>
    <m/>
    <s v="Yes"/>
    <m/>
    <m/>
    <m/>
    <m/>
    <m/>
    <m/>
    <m/>
    <m/>
    <m/>
    <m/>
    <m/>
    <m/>
    <m/>
    <m/>
    <m/>
    <m/>
    <s v="I feel I can trust B&amp;H"/>
    <m/>
    <m/>
    <m/>
    <m/>
    <s v="How I received the payment. I would prefer an electronic deposit to my Bank."/>
    <m/>
    <m/>
    <m/>
    <m/>
    <m/>
    <m/>
    <m/>
    <m/>
    <m/>
    <m/>
    <m/>
    <m/>
    <m/>
    <m/>
    <m/>
    <m/>
    <m/>
    <m/>
    <m/>
    <m/>
    <m/>
    <m/>
    <m/>
    <m/>
    <m/>
    <m/>
    <m/>
    <m/>
    <m/>
    <m/>
    <m/>
    <m/>
    <m/>
    <m/>
    <m/>
    <m/>
    <m/>
    <m/>
    <m/>
    <m/>
    <m/>
    <m/>
    <m/>
    <m/>
    <m/>
    <m/>
    <m/>
    <m/>
    <m/>
    <m/>
    <m/>
    <m/>
    <m/>
    <m/>
    <m/>
    <m/>
    <m/>
    <m/>
    <m/>
    <m/>
    <m/>
    <m/>
    <m/>
    <m/>
    <m/>
    <m/>
    <m/>
    <m/>
    <m/>
    <m/>
    <m/>
    <m/>
    <m/>
    <m/>
    <m/>
    <m/>
    <m/>
    <m/>
    <m/>
    <m/>
    <m/>
    <m/>
    <s v="I feel I can trust B&amp;H"/>
    <s v="How I received the payment. I would prefer an electronic deposit to my Ban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s v="B&amp;H &gt; Reliable / Trustworthy &gt;, Trade In &gt; Overall Process &gt;"/>
    <m/>
    <m/>
    <s v="B&amp;H &gt; Reliable / Trustworthy &gt; (Positive)"/>
    <s v="B&amp;H &gt; Reliable / Trustworthy &gt; (Positive), Trade In &gt; Overall Process &gt; (Negative)"/>
    <s v="Yes"/>
    <s v="Yes"/>
    <m/>
    <x v="16"/>
    <x v="16"/>
    <x v="0"/>
    <m/>
    <x v="0"/>
    <x v="0"/>
  </r>
  <r>
    <s v="Paul Arthur - Used Trade-In Product"/>
    <n v="9"/>
    <n v="5"/>
    <d v="2026-01-23T12:31:25"/>
    <n v="5157433"/>
    <s v="Used Trade-In Product"/>
    <m/>
    <s v="Paul Arthur"/>
    <m/>
    <s v="53.blackguard@gmail.com"/>
    <m/>
    <m/>
    <m/>
    <s v="9 years 7 months"/>
    <s v="No"/>
    <m/>
    <m/>
    <s v="53.blackguard@gmail.com"/>
    <s v="115"/>
    <m/>
    <m/>
    <m/>
    <m/>
    <m/>
    <m/>
    <m/>
    <m/>
    <d v="2026-01-26T11:04:18"/>
    <d v="2026-01-23T12:47:38"/>
    <m/>
    <s v="1134039"/>
    <m/>
    <m/>
    <m/>
    <m/>
    <m/>
    <m/>
    <m/>
    <m/>
    <m/>
    <m/>
    <m/>
    <m/>
    <m/>
    <m/>
    <m/>
    <m/>
    <m/>
    <m/>
    <m/>
    <m/>
    <m/>
    <m/>
    <s v="https://bnh.lightning.force.com/001WP00000ob6cpYAA"/>
    <m/>
    <m/>
    <m/>
    <m/>
    <m/>
    <m/>
    <m/>
    <m/>
    <m/>
    <m/>
    <m/>
    <m/>
    <m/>
    <m/>
    <m/>
    <m/>
    <m/>
    <m/>
    <m/>
    <m/>
    <m/>
    <m/>
    <m/>
    <m/>
    <m/>
    <m/>
    <m/>
    <m/>
    <m/>
    <m/>
    <m/>
    <m/>
    <m/>
    <m/>
    <m/>
    <m/>
    <m/>
    <m/>
    <s v="CAD"/>
    <m/>
    <s v="No"/>
    <s v="Nick Badame"/>
    <s v="Nick Badame"/>
    <d v="2026-01-23T12:30:46"/>
    <s v="Promoter"/>
    <s v="Closed"/>
    <m/>
    <m/>
    <s v="Yes"/>
    <m/>
    <m/>
    <m/>
    <m/>
    <m/>
    <m/>
    <m/>
    <m/>
    <m/>
    <m/>
    <m/>
    <m/>
    <m/>
    <m/>
    <m/>
    <m/>
    <s v="Easy to create list of items to sell. Fast quote, easy to pack and ship. Quick turnaround time when receiving payment."/>
    <m/>
    <m/>
    <m/>
    <m/>
    <s v="Can’t think of anything."/>
    <m/>
    <m/>
    <m/>
    <m/>
    <m/>
    <m/>
    <m/>
    <m/>
    <m/>
    <m/>
    <m/>
    <m/>
    <m/>
    <m/>
    <m/>
    <m/>
    <m/>
    <m/>
    <m/>
    <m/>
    <m/>
    <m/>
    <m/>
    <m/>
    <m/>
    <m/>
    <m/>
    <m/>
    <m/>
    <m/>
    <m/>
    <m/>
    <m/>
    <m/>
    <m/>
    <m/>
    <m/>
    <m/>
    <m/>
    <m/>
    <m/>
    <m/>
    <m/>
    <m/>
    <m/>
    <m/>
    <m/>
    <m/>
    <m/>
    <m/>
    <m/>
    <m/>
    <m/>
    <m/>
    <m/>
    <m/>
    <m/>
    <m/>
    <m/>
    <m/>
    <m/>
    <m/>
    <m/>
    <m/>
    <m/>
    <m/>
    <m/>
    <m/>
    <m/>
    <m/>
    <m/>
    <m/>
    <m/>
    <m/>
    <m/>
    <m/>
    <m/>
    <m/>
    <m/>
    <m/>
    <m/>
    <m/>
    <s v="Easy to create list of items to sell. Fast quote, easy to pack and ship. Quick turnaround time when receiving payment."/>
    <s v="Can’t think of any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Trade In &gt; Timeliness of Payment &gt;, Trade In &gt; Timeliness of Quote &gt;"/>
    <s v="Trade In &gt; Overall Process &gt;, Trade In &gt; Timeliness of Payment &gt;, Trade In &gt; Timeliness of Quote &gt;"/>
    <m/>
    <m/>
    <s v="Trade In &gt; Overall Process &gt; (Positive), Trade In &gt; Timeliness of Payment &gt; (Positive), Trade In &gt; Timeliness of Quote &gt; (Positive)"/>
    <s v="Trade In &gt; Overall Process &gt; (Positive), Trade In &gt; Timeliness of Payment &gt; (Positive), Trade In &gt; Timeliness of Quote &gt; (Positive)"/>
    <s v="No"/>
    <s v="No"/>
    <m/>
    <x v="0"/>
    <x v="12"/>
    <x v="0"/>
    <m/>
    <x v="0"/>
    <x v="0"/>
  </r>
  <r>
    <s v="Douglas Bruggemeyer - Used Trade-In Product"/>
    <n v="10"/>
    <n v="5"/>
    <d v="2026-01-23T12:20:53"/>
    <n v="5157406"/>
    <s v="Used Trade-In Product"/>
    <m/>
    <s v="Douglas Bruggemeyer"/>
    <m/>
    <s v="loganpass@yahoo.com"/>
    <m/>
    <m/>
    <m/>
    <s v="16 years 7 months"/>
    <s v="No"/>
    <m/>
    <m/>
    <s v="loganpass@yahoo.com"/>
    <s v="199"/>
    <m/>
    <m/>
    <m/>
    <m/>
    <m/>
    <m/>
    <m/>
    <m/>
    <d v="2026-01-26T11:05:25"/>
    <d v="2026-01-23T12:43:50"/>
    <m/>
    <s v="1132668"/>
    <m/>
    <m/>
    <m/>
    <m/>
    <m/>
    <m/>
    <m/>
    <m/>
    <m/>
    <m/>
    <m/>
    <m/>
    <m/>
    <m/>
    <m/>
    <m/>
    <m/>
    <m/>
    <m/>
    <m/>
    <m/>
    <m/>
    <s v="https://bnh.lightning.force.com/001Hs00005W4sp2IAB"/>
    <m/>
    <m/>
    <m/>
    <m/>
    <m/>
    <m/>
    <m/>
    <m/>
    <m/>
    <m/>
    <m/>
    <m/>
    <m/>
    <m/>
    <m/>
    <m/>
    <m/>
    <m/>
    <m/>
    <m/>
    <m/>
    <m/>
    <m/>
    <m/>
    <m/>
    <m/>
    <m/>
    <m/>
    <m/>
    <m/>
    <m/>
    <m/>
    <m/>
    <m/>
    <m/>
    <m/>
    <m/>
    <m/>
    <s v="CAD"/>
    <m/>
    <s v="No"/>
    <s v="Nick Badame"/>
    <s v="Nick Badame"/>
    <d v="2026-01-23T12:20:28"/>
    <s v="Promoter"/>
    <s v="Closed"/>
    <m/>
    <m/>
    <s v="Yes"/>
    <m/>
    <m/>
    <m/>
    <m/>
    <m/>
    <m/>
    <m/>
    <m/>
    <m/>
    <m/>
    <m/>
    <m/>
    <m/>
    <m/>
    <m/>
    <m/>
    <s v="Easy transaction."/>
    <m/>
    <m/>
    <m/>
    <m/>
    <s v="No issues. Was a little slow but I understand that there is a backlog."/>
    <m/>
    <m/>
    <m/>
    <m/>
    <m/>
    <m/>
    <m/>
    <m/>
    <m/>
    <m/>
    <m/>
    <m/>
    <m/>
    <m/>
    <m/>
    <m/>
    <m/>
    <m/>
    <m/>
    <m/>
    <m/>
    <m/>
    <m/>
    <m/>
    <m/>
    <m/>
    <m/>
    <m/>
    <m/>
    <m/>
    <m/>
    <m/>
    <m/>
    <m/>
    <m/>
    <m/>
    <m/>
    <m/>
    <m/>
    <m/>
    <m/>
    <m/>
    <m/>
    <m/>
    <m/>
    <m/>
    <m/>
    <m/>
    <m/>
    <m/>
    <m/>
    <m/>
    <m/>
    <m/>
    <m/>
    <m/>
    <m/>
    <m/>
    <m/>
    <m/>
    <m/>
    <m/>
    <m/>
    <m/>
    <m/>
    <m/>
    <m/>
    <m/>
    <m/>
    <m/>
    <m/>
    <m/>
    <m/>
    <m/>
    <m/>
    <m/>
    <m/>
    <m/>
    <m/>
    <m/>
    <m/>
    <m/>
    <s v="Easy transaction."/>
    <s v="No issues. Was a little slow but I understand that there is a backlo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Trade In &gt; Timeliness of Quote &gt;"/>
    <m/>
    <m/>
    <s v="Trade In &gt; Overall Process &gt; (Positive)"/>
    <s v="Trade In &gt; Overall Process &gt; (Positive), Trade In &gt; Timeliness of Payment &gt; (Negative), Trade In &gt; Timeliness of Quote &gt; (Negative)"/>
    <s v="Yes"/>
    <s v="No"/>
    <m/>
    <x v="0"/>
    <x v="4"/>
    <x v="0"/>
    <m/>
    <x v="0"/>
    <x v="0"/>
  </r>
  <r>
    <s v="Steven Simmons - Used Trade-In Product"/>
    <n v="10"/>
    <n v="5"/>
    <d v="2026-01-23T11:46:06"/>
    <n v="5157297"/>
    <s v="Used Trade-In Product"/>
    <m/>
    <s v="Steven Simmons"/>
    <m/>
    <s v="ssimmons53@gmail.com"/>
    <m/>
    <m/>
    <m/>
    <m/>
    <s v="No"/>
    <m/>
    <m/>
    <s v="ssimmons53@gmail.com"/>
    <m/>
    <m/>
    <m/>
    <m/>
    <m/>
    <m/>
    <m/>
    <m/>
    <m/>
    <d v="2026-01-26T11:18:50"/>
    <d v="2026-01-23T12:47:08"/>
    <m/>
    <s v="1134378"/>
    <m/>
    <m/>
    <m/>
    <m/>
    <m/>
    <m/>
    <m/>
    <m/>
    <m/>
    <m/>
    <m/>
    <m/>
    <m/>
    <m/>
    <m/>
    <m/>
    <m/>
    <m/>
    <m/>
    <m/>
    <m/>
    <m/>
    <s v="https://bnh.lightning.force.com/001WP00000onRvOYAU"/>
    <m/>
    <m/>
    <m/>
    <m/>
    <m/>
    <m/>
    <m/>
    <m/>
    <m/>
    <m/>
    <m/>
    <m/>
    <m/>
    <m/>
    <m/>
    <m/>
    <m/>
    <m/>
    <m/>
    <m/>
    <m/>
    <m/>
    <m/>
    <m/>
    <m/>
    <m/>
    <m/>
    <m/>
    <m/>
    <m/>
    <m/>
    <m/>
    <m/>
    <m/>
    <m/>
    <m/>
    <m/>
    <m/>
    <s v="CAD"/>
    <m/>
    <s v="No"/>
    <s v="Nick Badame,Avraham Schwartz"/>
    <s v="Avraham Schwartz"/>
    <d v="2026-01-23T11:43:46"/>
    <s v="Promoter"/>
    <s v="Closed"/>
    <m/>
    <m/>
    <s v="Yes"/>
    <m/>
    <m/>
    <m/>
    <m/>
    <m/>
    <m/>
    <m/>
    <m/>
    <m/>
    <m/>
    <m/>
    <m/>
    <m/>
    <m/>
    <m/>
    <m/>
    <m/>
    <m/>
    <m/>
    <m/>
    <m/>
    <s v="I thought the price I received for the Nikon 70-200 F2.8 was rather low but oh well. Everything else seemed reasonable."/>
    <m/>
    <m/>
    <m/>
    <m/>
    <m/>
    <m/>
    <m/>
    <m/>
    <m/>
    <m/>
    <m/>
    <m/>
    <m/>
    <m/>
    <m/>
    <m/>
    <m/>
    <m/>
    <m/>
    <m/>
    <m/>
    <m/>
    <m/>
    <m/>
    <m/>
    <m/>
    <m/>
    <m/>
    <m/>
    <m/>
    <m/>
    <m/>
    <m/>
    <m/>
    <m/>
    <m/>
    <m/>
    <m/>
    <m/>
    <m/>
    <m/>
    <m/>
    <m/>
    <m/>
    <m/>
    <m/>
    <m/>
    <m/>
    <m/>
    <m/>
    <m/>
    <m/>
    <m/>
    <m/>
    <m/>
    <m/>
    <m/>
    <m/>
    <m/>
    <m/>
    <m/>
    <m/>
    <m/>
    <m/>
    <m/>
    <m/>
    <m/>
    <m/>
    <m/>
    <m/>
    <m/>
    <m/>
    <m/>
    <m/>
    <m/>
    <m/>
    <m/>
    <m/>
    <m/>
    <m/>
    <m/>
    <m/>
    <m/>
    <s v="I thought the price I received for the Nikon 70-200 F2.8 was rather low but oh well. Everything else seemed reason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Used &gt; Pricing &gt;"/>
    <s v="B&amp;H &gt; Satisfaction &gt;, Trade In &gt; Quote Price &gt;"/>
    <m/>
    <m/>
    <s v="Used &gt; Pricing &gt; (Negative)"/>
    <s v="B&amp;H &gt; Satisfaction &gt; (Positive), Trade In &gt; Quote Price &gt; (Negative)"/>
    <s v="Yes"/>
    <s v="No"/>
    <m/>
    <x v="29"/>
    <x v="0"/>
    <x v="0"/>
    <m/>
    <x v="0"/>
    <x v="0"/>
  </r>
  <r>
    <s v="Natasha Blum - Used Trade-In Product"/>
    <n v="2"/>
    <n v="2"/>
    <d v="2026-01-23T11:15:23"/>
    <n v="5157194"/>
    <s v="Used Trade-In Product"/>
    <m/>
    <s v="Natasha Blum"/>
    <m/>
    <s v="perisites@proton.me"/>
    <m/>
    <m/>
    <m/>
    <m/>
    <s v="No"/>
    <m/>
    <m/>
    <s v="perisites@proton.me"/>
    <m/>
    <m/>
    <m/>
    <m/>
    <m/>
    <m/>
    <m/>
    <m/>
    <m/>
    <d v="2026-02-01T14:15:11"/>
    <d v="2026-01-23T12:47:42"/>
    <m/>
    <s v="1131815"/>
    <m/>
    <m/>
    <m/>
    <m/>
    <m/>
    <m/>
    <m/>
    <m/>
    <m/>
    <m/>
    <m/>
    <m/>
    <m/>
    <m/>
    <m/>
    <m/>
    <m/>
    <m/>
    <m/>
    <m/>
    <m/>
    <m/>
    <s v="https://bnh.lightning.force.com/001WP00000nUkZ7YAK"/>
    <m/>
    <m/>
    <m/>
    <m/>
    <m/>
    <m/>
    <m/>
    <m/>
    <m/>
    <m/>
    <m/>
    <m/>
    <m/>
    <m/>
    <m/>
    <m/>
    <m/>
    <m/>
    <m/>
    <m/>
    <m/>
    <m/>
    <m/>
    <m/>
    <m/>
    <m/>
    <m/>
    <m/>
    <m/>
    <m/>
    <m/>
    <m/>
    <m/>
    <m/>
    <m/>
    <m/>
    <m/>
    <m/>
    <s v="CAD"/>
    <m/>
    <s v="No"/>
    <s v="Zane Bohnert,Avraham Schwartz,Reina Caba"/>
    <s v="Reina Caba"/>
    <d v="2026-01-23T11:09:49"/>
    <s v="Detractor "/>
    <s v="Closed"/>
    <d v="2026-02-01T14:15:05"/>
    <s v="Reina Caba (reinac@bhphoto.com)"/>
    <s v="Yes"/>
    <m/>
    <m/>
    <m/>
    <m/>
    <m/>
    <m/>
    <m/>
    <m/>
    <m/>
    <m/>
    <m/>
    <m/>
    <m/>
    <m/>
    <m/>
    <m/>
    <s v="The web application is how I submitted initially. Your system database is outdated and lacked many models. I liked the quote and quote ranges provided; this helped me immediately assess whether to invest more time into the process with B&amp;H and to identify you as one of the top candidates for resale. I liked that Ryan, the person I worked with was forced into integrity and honoring his word. See why I didn’t like this as well."/>
    <m/>
    <m/>
    <m/>
    <m/>
    <s v="The biggest issue with this process is the power imbalance after you accept a quote and ship your equipment._x000a__x000a_Once your gear arrives, it is entirely out of your hands — and at that point, B&amp;H has the ability to revise the quote downward, whether justified or not. This is every seller’s fear, and unfortunately, in my case, that fear was realized._x000a__x000a_I received an initial quote through the web application and followed up with a phone call with the same representative to confirm details before shipping. After my equipment arrived, I was suddenly told it was “not in the condition expected,” despite the fact that the condition had already been discussed and disclosed. I was also told that I had failed to include power modules — even though I had been explicitly told earlier that those power modules would not be accepted._x000a__x000a_Only because I keep meticulous records — receipts, documentation, and notes from the original call — was I able to challenge this. Once confronted with the documented facts, the representative was forced to backtrack._x000a__x000a_The problem is not that mistakes happen; it’s that the system allows them to happen when the customer has no leverage. By the time these issues surfaced, I could no longer easily sell the equipment elsewhere, and the changing requirements created a cascade of unnecessary stress and lost options._x000a__x000a_My advice to anyone considering this process:_x000a_keep all receipts, document every conversation, and be prepared to advocate aggressively for yourself. You may still get paid, but only if you are willing to push back when the quote changes after your equipment is already in their possession."/>
    <m/>
    <m/>
    <m/>
    <m/>
    <m/>
    <m/>
    <m/>
    <m/>
    <m/>
    <m/>
    <m/>
    <m/>
    <m/>
    <m/>
    <m/>
    <m/>
    <m/>
    <m/>
    <m/>
    <m/>
    <m/>
    <m/>
    <m/>
    <m/>
    <m/>
    <m/>
    <m/>
    <m/>
    <m/>
    <m/>
    <m/>
    <m/>
    <m/>
    <m/>
    <m/>
    <m/>
    <m/>
    <m/>
    <m/>
    <m/>
    <m/>
    <m/>
    <m/>
    <m/>
    <m/>
    <m/>
    <m/>
    <m/>
    <m/>
    <m/>
    <m/>
    <m/>
    <m/>
    <m/>
    <m/>
    <m/>
    <m/>
    <m/>
    <m/>
    <m/>
    <m/>
    <m/>
    <m/>
    <m/>
    <m/>
    <m/>
    <m/>
    <m/>
    <m/>
    <m/>
    <m/>
    <m/>
    <m/>
    <m/>
    <m/>
    <m/>
    <m/>
    <m/>
    <m/>
    <m/>
    <m/>
    <m/>
    <s v="The web application is how I submitted initially. Your system database is outdated and lacked many models. I liked the quote and quote ranges provided; this helped me immediately assess whether to invest more time into the process with B&amp;H and to identify you as one of the top candidates for resale. I liked that Ryan, the person I worked with was forced into integrity and honoring his word. See why I didn’t like this as well."/>
    <s v="The biggest issue with this process is the power imbalance after you accept a quote and ship your equipment._x000a__x000a_Once your gear arrives, it is entirely out of your hands — and at that point, B&amp;H has the ability to revise the quote downward, whether justified or not. This is every seller’s fear, and unfortunately, in my case, that fear was realized._x000a__x000a_I received an initial quote through the web application and followed up with a phone call with the same representative to confirm details before shipping. After my equipment arrived, I was suddenly told it was “not in the condition expected,” despite the fact that the condition had already been discussed and disclosed. I was also told that I had failed to include power modules — even though I had been explicitly told earlier that those power modules would not be accepted._x000a__x000a_Only because I keep meticulous records — receipts, documentation, and notes from the original call — was I able to challenge this. Once confronted with the documented facts, the representative was forced to backtrack._x000a__x000a_The problem is not that mistakes happen; it’s that the system allows them to happen when the customer has no leverage. By the time these issues surfaced, I could no longer easily sell the equipment elsewhere, and the changing requirements created a cascade of unnecessary stress and lost options._x000a__x000a_My advice to anyone considering this process:_x000a_keep all receipts, document every conversation, and be prepared to advocate aggressively for yourself. You may still get paid, but only if you are willing to push back when the quote changes after your equipment is already in their possessio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2"/>
    <n v="4"/>
    <m/>
    <m/>
    <m/>
    <m/>
    <m/>
    <m/>
    <n v="1"/>
    <n v="2"/>
    <n v="4"/>
    <n v="3"/>
    <m/>
    <m/>
    <m/>
    <m/>
    <m/>
    <m/>
    <m/>
    <m/>
    <m/>
    <m/>
    <m/>
    <m/>
    <m/>
    <m/>
    <m/>
    <m/>
    <m/>
    <m/>
    <m/>
    <m/>
    <m/>
    <m/>
    <m/>
    <m/>
    <m/>
    <m/>
    <m/>
    <m/>
    <m/>
    <m/>
    <m/>
    <m/>
    <m/>
    <m/>
    <m/>
    <m/>
    <m/>
    <m/>
    <m/>
    <m/>
    <m/>
    <m/>
    <m/>
    <m/>
    <m/>
    <m/>
    <m/>
    <m/>
    <m/>
    <m/>
    <m/>
    <m/>
    <m/>
    <m/>
    <m/>
    <m/>
    <m/>
    <m/>
    <m/>
    <m/>
    <m/>
    <m/>
    <m/>
    <m/>
    <m/>
    <m/>
    <m/>
    <m/>
    <m/>
    <m/>
    <m/>
    <m/>
    <m/>
    <m/>
    <m/>
    <m/>
    <m/>
    <m/>
    <m/>
    <m/>
    <m/>
    <m/>
    <m/>
    <m/>
    <m/>
    <m/>
    <m/>
    <m/>
    <m/>
    <m/>
    <m/>
    <m/>
    <m/>
    <m/>
    <m/>
    <m/>
    <m/>
    <m/>
    <m/>
    <m/>
    <m/>
    <s v="People &gt; Follow Up &gt;, Product &gt; Selection / Variety &gt;, Trade In &gt; Overall Process &gt;, Website &gt; Order Tracking &gt;"/>
    <s v="People &gt; Overall Satisfaction &gt;, Trade In &gt; Overall Process &gt;, Trade In &gt; Quote Price &gt;"/>
    <m/>
    <m/>
    <s v="People &gt; Follow Up &gt; (No opinion), Product &gt; Selection / Variety &gt; (Positive), Trade In &gt; Overall Process &gt; (Negative), Trade In &gt; Overall Process &gt; (No opinion), Trade In &gt; Overall Process &gt; (Positive), Website &gt; Order Tracking &gt; (No opinion)"/>
    <s v="People &gt; Overall Satisfaction &gt; (Positive), Trade In &gt; Overall Process &gt; (Negative), Trade In &gt; Quote Price &gt; (Positive)"/>
    <s v="Yes"/>
    <s v="Yes"/>
    <m/>
    <x v="40"/>
    <x v="50"/>
    <x v="0"/>
    <m/>
    <x v="0"/>
    <x v="0"/>
  </r>
  <r>
    <s v="William Griffin - Used Trade-In Product"/>
    <n v="10"/>
    <n v="5"/>
    <d v="2026-01-23T11:09:01"/>
    <n v="5157188"/>
    <s v="Used Trade-In Product"/>
    <m/>
    <s v="William Griffin"/>
    <m/>
    <s v="will@claytonbaptistchurch.com"/>
    <m/>
    <m/>
    <m/>
    <s v="8 years 7 months"/>
    <s v="No"/>
    <m/>
    <m/>
    <s v="will@claytonbaptistchurch.com"/>
    <s v="103"/>
    <m/>
    <m/>
    <m/>
    <m/>
    <m/>
    <m/>
    <m/>
    <m/>
    <d v="2026-01-26T09:24:06"/>
    <d v="2026-01-23T12:44:05"/>
    <m/>
    <s v="1133775"/>
    <m/>
    <m/>
    <m/>
    <m/>
    <m/>
    <m/>
    <m/>
    <m/>
    <m/>
    <m/>
    <m/>
    <m/>
    <m/>
    <m/>
    <m/>
    <m/>
    <m/>
    <m/>
    <m/>
    <m/>
    <m/>
    <m/>
    <s v="https://bnh.lightning.force.com/0011a00000hLFx5AAG"/>
    <m/>
    <m/>
    <m/>
    <m/>
    <m/>
    <m/>
    <m/>
    <m/>
    <m/>
    <m/>
    <m/>
    <m/>
    <m/>
    <m/>
    <m/>
    <m/>
    <m/>
    <m/>
    <m/>
    <m/>
    <m/>
    <m/>
    <m/>
    <m/>
    <m/>
    <m/>
    <m/>
    <m/>
    <m/>
    <m/>
    <m/>
    <m/>
    <m/>
    <m/>
    <m/>
    <m/>
    <m/>
    <m/>
    <s v="CAD"/>
    <m/>
    <s v="No"/>
    <s v="Zane Bohnert"/>
    <s v="Zane Bohnert"/>
    <d v="2026-01-23T11:05:26"/>
    <s v="Promoter"/>
    <s v="Closed"/>
    <m/>
    <m/>
    <s v="Yes"/>
    <m/>
    <m/>
    <m/>
    <m/>
    <m/>
    <m/>
    <m/>
    <m/>
    <m/>
    <m/>
    <m/>
    <m/>
    <m/>
    <m/>
    <m/>
    <m/>
    <s v="B&amp;H has become the go-to source for new and used gear, in my business.  What I like most is the fact the I know I will always be treated with the best customer care and service.  B&amp;H has the most user friendly website, and stands at the forefront of customer confidence and convenience."/>
    <m/>
    <m/>
    <m/>
    <m/>
    <s v="A few of my items were difficult to find through the search function on the used quote portal. But after a little bit of work, I was able to find items and receive a quote for them. I should reiterate this was a very light inconvenience. My overall experience with BNH has always been wonderful."/>
    <m/>
    <m/>
    <m/>
    <m/>
    <m/>
    <m/>
    <m/>
    <m/>
    <m/>
    <m/>
    <m/>
    <m/>
    <m/>
    <m/>
    <m/>
    <m/>
    <m/>
    <m/>
    <m/>
    <m/>
    <m/>
    <m/>
    <m/>
    <m/>
    <m/>
    <m/>
    <m/>
    <m/>
    <m/>
    <m/>
    <m/>
    <m/>
    <m/>
    <m/>
    <m/>
    <m/>
    <m/>
    <m/>
    <m/>
    <m/>
    <m/>
    <m/>
    <m/>
    <m/>
    <m/>
    <m/>
    <m/>
    <m/>
    <m/>
    <m/>
    <m/>
    <m/>
    <m/>
    <m/>
    <m/>
    <m/>
    <m/>
    <m/>
    <m/>
    <m/>
    <m/>
    <m/>
    <m/>
    <m/>
    <m/>
    <m/>
    <m/>
    <m/>
    <m/>
    <m/>
    <m/>
    <m/>
    <m/>
    <m/>
    <m/>
    <m/>
    <m/>
    <m/>
    <m/>
    <m/>
    <m/>
    <m/>
    <s v="B&amp;H has become the go-to source for new and used gear, in my business.  What I like most is the fact the I know I will always be treated with the best customer care and service.  B&amp;H has the most user friendly website, and stands at the forefront of customer confidence and convenience."/>
    <s v="A few of my items were difficult to find through the search function on the used quote portal. But after a little bit of work, I was able to find items and receive a quote for them. I should reiterate this was a very light inconvenience. My overall experience with BNH has always been wonderfu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People &gt; Overall Satisfaction &gt;, Pricing &gt; Value for Money &gt;, Trade In &gt; Overall Process &gt;"/>
    <s v="B&amp;H &gt; Loyalty &gt;, B&amp;H &gt; Reliable / Trustworthy &gt;, B&amp;H &gt; Satisfaction &gt;, People &gt; Overall Satisfaction &gt;, Trade In &gt; Overall Process &gt;, Website &gt; Overall Satisfaction &gt;"/>
    <m/>
    <m/>
    <s v="B&amp;H &gt; Satisfaction &gt; (Positive), People &gt; Overall Satisfaction &gt; (Positive), Pricing &gt; Value for Money &gt; (Positive), Trade In &gt; Overall Process &gt; (Negative), Trade In &gt; Overall Process &gt; (Positive)"/>
    <s v="B&amp;H &gt; Loyalty &gt; (Positive), B&amp;H &gt; Reliable / Trustworthy &gt; (Positive), B&amp;H &gt; Satisfaction &gt; (Positive), People &gt; Overall Satisfaction &gt; (Positive), Trade In &gt; Overall Process &gt; (Negative), Website &gt; Overall Satisfaction &gt; (Positive)"/>
    <s v="Yes"/>
    <s v="Yes"/>
    <m/>
    <x v="7"/>
    <x v="46"/>
    <x v="0"/>
    <m/>
    <x v="0"/>
    <x v="0"/>
  </r>
  <r>
    <s v="James Thomas - Used Trade-In Product"/>
    <n v="10"/>
    <n v="5"/>
    <d v="2026-01-23T10:17:22"/>
    <n v="5157059"/>
    <s v="Used Trade-In Product"/>
    <m/>
    <s v="James Thomas"/>
    <m/>
    <s v="jimthomasphotos@gmail.com"/>
    <m/>
    <m/>
    <m/>
    <s v="3 years 5 months"/>
    <s v="No"/>
    <m/>
    <m/>
    <s v="jimthomasphotos@gmail.com"/>
    <s v="41"/>
    <m/>
    <m/>
    <m/>
    <m/>
    <m/>
    <m/>
    <m/>
    <m/>
    <d v="2026-01-26T09:17:28"/>
    <d v="2026-01-23T12:46:24"/>
    <m/>
    <s v="1133959"/>
    <m/>
    <m/>
    <m/>
    <m/>
    <m/>
    <m/>
    <m/>
    <m/>
    <m/>
    <m/>
    <m/>
    <m/>
    <m/>
    <m/>
    <m/>
    <m/>
    <m/>
    <m/>
    <m/>
    <m/>
    <m/>
    <m/>
    <s v="https://bnh.lightning.force.com/0018X00003SdJlPQAV"/>
    <m/>
    <m/>
    <m/>
    <m/>
    <m/>
    <m/>
    <m/>
    <m/>
    <m/>
    <m/>
    <m/>
    <m/>
    <m/>
    <m/>
    <m/>
    <m/>
    <m/>
    <m/>
    <m/>
    <m/>
    <m/>
    <m/>
    <m/>
    <m/>
    <m/>
    <m/>
    <m/>
    <m/>
    <m/>
    <m/>
    <m/>
    <m/>
    <m/>
    <m/>
    <m/>
    <m/>
    <m/>
    <m/>
    <s v="CAD"/>
    <m/>
    <s v="No"/>
    <s v="Zane Bohnert"/>
    <s v="Zane Bohnert"/>
    <d v="2026-01-23T10:17:39"/>
    <s v="Promoter"/>
    <s v="Closed"/>
    <m/>
    <m/>
    <s v="Yes"/>
    <m/>
    <m/>
    <m/>
    <m/>
    <m/>
    <m/>
    <m/>
    <m/>
    <m/>
    <m/>
    <m/>
    <m/>
    <m/>
    <m/>
    <m/>
    <m/>
    <s v="The offer ai received"/>
    <m/>
    <m/>
    <m/>
    <m/>
    <m/>
    <m/>
    <m/>
    <m/>
    <m/>
    <m/>
    <m/>
    <m/>
    <m/>
    <m/>
    <m/>
    <m/>
    <m/>
    <m/>
    <m/>
    <m/>
    <m/>
    <m/>
    <m/>
    <m/>
    <m/>
    <m/>
    <m/>
    <m/>
    <m/>
    <m/>
    <m/>
    <m/>
    <m/>
    <m/>
    <m/>
    <m/>
    <m/>
    <m/>
    <m/>
    <m/>
    <m/>
    <m/>
    <m/>
    <m/>
    <m/>
    <m/>
    <m/>
    <m/>
    <m/>
    <m/>
    <m/>
    <m/>
    <m/>
    <m/>
    <m/>
    <m/>
    <m/>
    <m/>
    <m/>
    <m/>
    <m/>
    <m/>
    <m/>
    <m/>
    <m/>
    <m/>
    <m/>
    <m/>
    <m/>
    <m/>
    <m/>
    <m/>
    <m/>
    <m/>
    <m/>
    <m/>
    <m/>
    <m/>
    <m/>
    <m/>
    <m/>
    <m/>
    <m/>
    <m/>
    <m/>
    <m/>
    <m/>
    <s v="The offer ai receiv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Quote Price &gt;"/>
    <m/>
    <m/>
    <m/>
    <s v="Trade In &gt; Quote Price &gt; (Positive)"/>
    <s v="Yes"/>
    <s v="Yes"/>
    <m/>
    <x v="42"/>
    <x v="0"/>
    <x v="0"/>
    <m/>
    <x v="0"/>
    <x v="0"/>
  </r>
  <r>
    <s v="David Prochnow - Used Trade-In Product"/>
    <n v="10"/>
    <n v="5"/>
    <d v="2026-01-23T10:16:42"/>
    <n v="5157057"/>
    <s v="Used Trade-In Product"/>
    <m/>
    <s v="David Prochnow"/>
    <m/>
    <s v="popsci.builder@gmail.com"/>
    <m/>
    <m/>
    <m/>
    <s v="17 years 0 months"/>
    <s v="No"/>
    <m/>
    <m/>
    <s v="popsci.builder@gmail.com"/>
    <s v="204"/>
    <m/>
    <m/>
    <m/>
    <m/>
    <m/>
    <m/>
    <m/>
    <m/>
    <d v="2026-01-26T09:15:35"/>
    <d v="2026-01-23T12:44:28"/>
    <m/>
    <s v="1133963"/>
    <m/>
    <m/>
    <m/>
    <m/>
    <m/>
    <m/>
    <m/>
    <m/>
    <m/>
    <m/>
    <m/>
    <m/>
    <m/>
    <m/>
    <m/>
    <m/>
    <m/>
    <m/>
    <m/>
    <m/>
    <m/>
    <m/>
    <s v="https://bnh.lightning.force.com/0018X00003ScXikQAF"/>
    <m/>
    <m/>
    <m/>
    <m/>
    <m/>
    <m/>
    <m/>
    <m/>
    <m/>
    <m/>
    <m/>
    <m/>
    <m/>
    <m/>
    <m/>
    <m/>
    <m/>
    <m/>
    <m/>
    <m/>
    <m/>
    <m/>
    <m/>
    <m/>
    <m/>
    <m/>
    <m/>
    <m/>
    <m/>
    <m/>
    <m/>
    <m/>
    <m/>
    <m/>
    <m/>
    <m/>
    <m/>
    <m/>
    <s v="CAD"/>
    <m/>
    <s v="No"/>
    <s v="Zane Bohnert"/>
    <s v="Zane Bohnert"/>
    <d v="2026-01-23T10:16:33"/>
    <s v="Promoter"/>
    <s v="Closed"/>
    <m/>
    <m/>
    <s v="Yes"/>
    <m/>
    <m/>
    <m/>
    <m/>
    <m/>
    <m/>
    <m/>
    <m/>
    <m/>
    <m/>
    <m/>
    <m/>
    <m/>
    <m/>
    <m/>
    <m/>
    <s v="Ryan is da Man!!"/>
    <m/>
    <m/>
    <m/>
    <m/>
    <s v="n/a"/>
    <m/>
    <m/>
    <m/>
    <m/>
    <m/>
    <m/>
    <m/>
    <m/>
    <m/>
    <m/>
    <m/>
    <m/>
    <m/>
    <m/>
    <m/>
    <m/>
    <m/>
    <m/>
    <m/>
    <m/>
    <m/>
    <m/>
    <m/>
    <m/>
    <m/>
    <m/>
    <m/>
    <m/>
    <m/>
    <m/>
    <m/>
    <m/>
    <m/>
    <m/>
    <m/>
    <m/>
    <m/>
    <m/>
    <m/>
    <m/>
    <m/>
    <m/>
    <m/>
    <m/>
    <m/>
    <m/>
    <m/>
    <m/>
    <m/>
    <m/>
    <m/>
    <m/>
    <m/>
    <m/>
    <m/>
    <m/>
    <m/>
    <m/>
    <m/>
    <m/>
    <m/>
    <m/>
    <m/>
    <m/>
    <m/>
    <m/>
    <m/>
    <m/>
    <m/>
    <m/>
    <m/>
    <m/>
    <m/>
    <m/>
    <m/>
    <m/>
    <m/>
    <m/>
    <m/>
    <m/>
    <m/>
    <m/>
    <s v="Ryan is da Man!!"/>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People &gt; Overall Satisfaction &gt;"/>
    <m/>
    <m/>
    <m/>
    <s v="People &gt; Overall Satisfaction &gt; (Positive)"/>
    <s v="Yes"/>
    <s v="Yes"/>
    <m/>
    <x v="7"/>
    <x v="0"/>
    <x v="0"/>
    <m/>
    <x v="0"/>
    <x v="0"/>
  </r>
  <r>
    <s v="Roberto Beyra - Used Trade-In Product"/>
    <n v="10"/>
    <n v="5"/>
    <d v="2026-01-23T09:50:11"/>
    <n v="5156961"/>
    <s v="Used Trade-In Product"/>
    <m/>
    <s v="Roberto Beyra"/>
    <m/>
    <s v="rcbeyra@gmail.com"/>
    <m/>
    <m/>
    <m/>
    <m/>
    <s v="No"/>
    <m/>
    <m/>
    <s v="rcbeyra@gmail.com"/>
    <m/>
    <m/>
    <m/>
    <m/>
    <m/>
    <m/>
    <m/>
    <m/>
    <m/>
    <d v="2026-01-26T09:12:08"/>
    <d v="2026-01-23T12:46:58"/>
    <m/>
    <s v="1133920"/>
    <m/>
    <m/>
    <m/>
    <m/>
    <m/>
    <m/>
    <m/>
    <m/>
    <m/>
    <m/>
    <m/>
    <m/>
    <m/>
    <m/>
    <m/>
    <m/>
    <m/>
    <m/>
    <m/>
    <m/>
    <m/>
    <m/>
    <s v="https://bnh.lightning.force.com/001WP00000lo82qYAA"/>
    <m/>
    <m/>
    <m/>
    <m/>
    <m/>
    <m/>
    <m/>
    <m/>
    <m/>
    <m/>
    <m/>
    <m/>
    <m/>
    <m/>
    <m/>
    <m/>
    <m/>
    <m/>
    <m/>
    <m/>
    <m/>
    <m/>
    <m/>
    <m/>
    <m/>
    <m/>
    <m/>
    <m/>
    <m/>
    <m/>
    <m/>
    <m/>
    <m/>
    <m/>
    <m/>
    <m/>
    <m/>
    <m/>
    <s v="CAD"/>
    <m/>
    <s v="No"/>
    <s v="Zane Bohnert"/>
    <s v="Zane Bohnert"/>
    <d v="2026-01-23T09:50:37"/>
    <s v="Promoter"/>
    <s v="Closed"/>
    <m/>
    <m/>
    <s v="Yes"/>
    <m/>
    <m/>
    <m/>
    <m/>
    <m/>
    <m/>
    <m/>
    <m/>
    <m/>
    <m/>
    <m/>
    <m/>
    <m/>
    <m/>
    <m/>
    <m/>
    <s v="super easy experience"/>
    <m/>
    <m/>
    <m/>
    <m/>
    <s v="n/a"/>
    <m/>
    <m/>
    <m/>
    <m/>
    <m/>
    <m/>
    <m/>
    <m/>
    <m/>
    <m/>
    <m/>
    <m/>
    <m/>
    <m/>
    <m/>
    <m/>
    <m/>
    <m/>
    <m/>
    <m/>
    <m/>
    <m/>
    <m/>
    <m/>
    <m/>
    <m/>
    <m/>
    <m/>
    <m/>
    <m/>
    <m/>
    <m/>
    <m/>
    <m/>
    <m/>
    <m/>
    <m/>
    <m/>
    <m/>
    <m/>
    <m/>
    <m/>
    <m/>
    <m/>
    <m/>
    <m/>
    <m/>
    <m/>
    <m/>
    <m/>
    <m/>
    <m/>
    <m/>
    <m/>
    <m/>
    <m/>
    <m/>
    <m/>
    <m/>
    <m/>
    <m/>
    <m/>
    <m/>
    <m/>
    <m/>
    <m/>
    <m/>
    <m/>
    <m/>
    <m/>
    <m/>
    <m/>
    <m/>
    <m/>
    <m/>
    <m/>
    <m/>
    <m/>
    <m/>
    <m/>
    <m/>
    <m/>
    <s v="super easy experienc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Andrew Le - Used Trade-In Product"/>
    <n v="8"/>
    <n v="3"/>
    <d v="2026-01-23T06:44:46"/>
    <n v="5156607"/>
    <s v="Used Trade-In Product"/>
    <m/>
    <s v="Andrew Le"/>
    <m/>
    <s v="drew@drewle.com"/>
    <m/>
    <m/>
    <m/>
    <s v="13 years 11 months"/>
    <s v="Yes"/>
    <m/>
    <m/>
    <s v="drew@drewle.com"/>
    <s v="167"/>
    <m/>
    <m/>
    <m/>
    <m/>
    <m/>
    <m/>
    <m/>
    <m/>
    <d v="2026-01-23T08:17:13"/>
    <d v="2026-01-22T12:47:56"/>
    <m/>
    <s v="1133011"/>
    <m/>
    <m/>
    <m/>
    <m/>
    <m/>
    <m/>
    <m/>
    <m/>
    <m/>
    <m/>
    <m/>
    <m/>
    <m/>
    <m/>
    <m/>
    <m/>
    <m/>
    <m/>
    <m/>
    <m/>
    <m/>
    <m/>
    <s v="https://bnh.lightning.force.com/001Hs00004mKdWCIA0"/>
    <m/>
    <m/>
    <m/>
    <m/>
    <m/>
    <m/>
    <m/>
    <m/>
    <m/>
    <m/>
    <m/>
    <m/>
    <m/>
    <m/>
    <m/>
    <m/>
    <m/>
    <m/>
    <m/>
    <m/>
    <m/>
    <m/>
    <m/>
    <m/>
    <m/>
    <m/>
    <m/>
    <m/>
    <m/>
    <m/>
    <m/>
    <m/>
    <m/>
    <m/>
    <m/>
    <m/>
    <m/>
    <m/>
    <s v="CAD"/>
    <m/>
    <s v="No"/>
    <s v="Zane Bohnert"/>
    <s v="Zane Bohnert"/>
    <d v="2026-01-23T06:39:22"/>
    <s v="Passive"/>
    <s v="Closed"/>
    <m/>
    <m/>
    <s v="Yes"/>
    <m/>
    <m/>
    <m/>
    <m/>
    <m/>
    <m/>
    <m/>
    <m/>
    <m/>
    <m/>
    <m/>
    <m/>
    <m/>
    <m/>
    <m/>
    <m/>
    <s v="I liked the ease of getting an online quote via the web app. Your quote was reasonable and fair."/>
    <m/>
    <m/>
    <m/>
    <m/>
    <s v="The equipment evaluation process took way too much time. It was almost four weeks before I received the check from B&amp;H in the mail. Other online used vendors go much faster and also offer the option of a direct checking deposit, which saves even more time."/>
    <m/>
    <m/>
    <m/>
    <m/>
    <m/>
    <m/>
    <m/>
    <m/>
    <m/>
    <m/>
    <m/>
    <m/>
    <m/>
    <m/>
    <m/>
    <m/>
    <m/>
    <m/>
    <m/>
    <m/>
    <m/>
    <m/>
    <m/>
    <m/>
    <m/>
    <m/>
    <m/>
    <m/>
    <m/>
    <m/>
    <m/>
    <m/>
    <m/>
    <m/>
    <m/>
    <m/>
    <m/>
    <m/>
    <m/>
    <m/>
    <m/>
    <m/>
    <m/>
    <m/>
    <m/>
    <m/>
    <m/>
    <m/>
    <m/>
    <m/>
    <m/>
    <m/>
    <m/>
    <m/>
    <m/>
    <m/>
    <m/>
    <m/>
    <m/>
    <m/>
    <m/>
    <m/>
    <m/>
    <m/>
    <m/>
    <m/>
    <m/>
    <m/>
    <m/>
    <m/>
    <m/>
    <m/>
    <m/>
    <m/>
    <m/>
    <m/>
    <m/>
    <m/>
    <m/>
    <m/>
    <m/>
    <m/>
    <s v="I liked the ease of getting an online quote via the web app. Your quote was reasonable and fair."/>
    <s v="The equipment evaluation process took way too much time. It was almost four weeks before I received the check from B&amp;H in the mail. Other online used vendors go much faster and also offer the option of a direct checking deposit, which saves even more ti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4"/>
    <n v="4"/>
    <n v="2"/>
    <m/>
    <m/>
    <m/>
    <m/>
    <m/>
    <m/>
    <m/>
    <m/>
    <m/>
    <m/>
    <m/>
    <m/>
    <m/>
    <m/>
    <m/>
    <m/>
    <m/>
    <m/>
    <m/>
    <m/>
    <m/>
    <m/>
    <m/>
    <m/>
    <m/>
    <m/>
    <m/>
    <m/>
    <m/>
    <m/>
    <m/>
    <m/>
    <m/>
    <m/>
    <m/>
    <m/>
    <m/>
    <m/>
    <m/>
    <m/>
    <m/>
    <m/>
    <m/>
    <m/>
    <m/>
    <m/>
    <m/>
    <m/>
    <m/>
    <m/>
    <m/>
    <m/>
    <m/>
    <m/>
    <m/>
    <m/>
    <m/>
    <m/>
    <m/>
    <m/>
    <m/>
    <m/>
    <m/>
    <m/>
    <m/>
    <m/>
    <m/>
    <m/>
    <m/>
    <m/>
    <m/>
    <m/>
    <m/>
    <m/>
    <m/>
    <m/>
    <m/>
    <m/>
    <m/>
    <m/>
    <m/>
    <m/>
    <m/>
    <m/>
    <m/>
    <m/>
    <m/>
    <m/>
    <m/>
    <m/>
    <m/>
    <m/>
    <m/>
    <m/>
    <m/>
    <m/>
    <m/>
    <m/>
    <m/>
    <m/>
    <m/>
    <s v="Trade In &gt; Overall Process &gt;, Trade In &gt; Quote Price &gt;"/>
    <s v="B&amp;H &gt; Competitor Mentions &gt;, Trade In &gt; Overall Process &gt;, Trade In &gt; Quote Price &gt;, Trade In &gt; Timeliness of Payment &gt;"/>
    <m/>
    <m/>
    <s v="Trade In &gt; Overall Process &gt; (Negative), Trade In &gt; Overall Process &gt; (Positive), Trade In &gt; Quote Price &gt; (Positive)"/>
    <s v="B&amp;H &gt; Competitor Mentions &gt; (Negative), Trade In &gt; Overall Process &gt; (Negative), Trade In &gt; Overall Process &gt; (Positive), Trade In &gt; Quote Price &gt; (Positive), Trade In &gt; Timeliness of Payment &gt; (Negative)"/>
    <s v="Yes"/>
    <s v="Yes"/>
    <m/>
    <x v="13"/>
    <x v="6"/>
    <x v="4"/>
    <s v="Slow payment"/>
    <x v="3"/>
    <x v="0"/>
  </r>
  <r>
    <s v="Tony Johnson - Used Trade-In Product"/>
    <n v="8"/>
    <n v="3"/>
    <d v="2026-01-22T20:24:22"/>
    <n v="5156085"/>
    <s v="Used Trade-In Product"/>
    <m/>
    <s v="Tony Johnson"/>
    <m/>
    <s v="tonyjohnson@gmx.com"/>
    <m/>
    <m/>
    <m/>
    <s v="8 years 8 months"/>
    <s v="Yes"/>
    <m/>
    <m/>
    <s v="tonyjohnson@gmx.com"/>
    <s v="104"/>
    <m/>
    <m/>
    <m/>
    <m/>
    <m/>
    <m/>
    <m/>
    <m/>
    <d v="2026-02-01T13:56:22"/>
    <d v="2026-01-21T12:47:49"/>
    <m/>
    <s v="1132337"/>
    <m/>
    <m/>
    <m/>
    <m/>
    <m/>
    <m/>
    <m/>
    <m/>
    <m/>
    <m/>
    <m/>
    <m/>
    <m/>
    <m/>
    <m/>
    <m/>
    <m/>
    <m/>
    <m/>
    <m/>
    <m/>
    <m/>
    <s v="https://bnh.lightning.force.com/0011a00000gwciDAAQ"/>
    <m/>
    <m/>
    <m/>
    <m/>
    <m/>
    <m/>
    <m/>
    <m/>
    <m/>
    <m/>
    <m/>
    <m/>
    <m/>
    <m/>
    <m/>
    <m/>
    <m/>
    <m/>
    <m/>
    <m/>
    <m/>
    <m/>
    <m/>
    <m/>
    <m/>
    <m/>
    <m/>
    <m/>
    <m/>
    <m/>
    <m/>
    <m/>
    <m/>
    <m/>
    <m/>
    <m/>
    <m/>
    <m/>
    <s v="CAD"/>
    <m/>
    <s v="No"/>
    <s v="Sergio Jonusas,Avraham Schwartz,Reina Caba"/>
    <s v="Reina Caba"/>
    <d v="2026-01-22T20:23:21"/>
    <s v="Passive"/>
    <s v="Closed"/>
    <d v="2026-02-01T13:56:14"/>
    <s v="Reina Caba (reinac@bhphoto.com)"/>
    <s v="Yes"/>
    <m/>
    <m/>
    <m/>
    <m/>
    <m/>
    <m/>
    <m/>
    <m/>
    <m/>
    <m/>
    <m/>
    <m/>
    <m/>
    <m/>
    <m/>
    <m/>
    <m/>
    <m/>
    <m/>
    <m/>
    <m/>
    <s v="It’s been more than a week and I haven’t received payment. This is in addition to the two weeks it took to review my equipment after it was received."/>
    <m/>
    <m/>
    <m/>
    <m/>
    <m/>
    <m/>
    <m/>
    <m/>
    <m/>
    <m/>
    <m/>
    <m/>
    <m/>
    <m/>
    <m/>
    <m/>
    <m/>
    <m/>
    <m/>
    <m/>
    <m/>
    <m/>
    <m/>
    <m/>
    <m/>
    <m/>
    <m/>
    <m/>
    <m/>
    <m/>
    <m/>
    <m/>
    <m/>
    <m/>
    <m/>
    <m/>
    <m/>
    <m/>
    <m/>
    <m/>
    <m/>
    <m/>
    <m/>
    <m/>
    <m/>
    <m/>
    <m/>
    <m/>
    <m/>
    <m/>
    <m/>
    <m/>
    <m/>
    <m/>
    <m/>
    <m/>
    <m/>
    <m/>
    <m/>
    <m/>
    <m/>
    <m/>
    <m/>
    <m/>
    <m/>
    <m/>
    <m/>
    <m/>
    <m/>
    <m/>
    <m/>
    <m/>
    <m/>
    <m/>
    <m/>
    <m/>
    <m/>
    <m/>
    <m/>
    <m/>
    <m/>
    <m/>
    <m/>
    <s v="It’s been more than a week and I haven’t received payment. This is in addition to the two weeks it took to review my equipment after it was receiv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4"/>
    <n v="4"/>
    <m/>
    <m/>
    <m/>
    <m/>
    <m/>
    <m/>
    <n v="3"/>
    <n v="2"/>
    <n v="3"/>
    <n v="1"/>
    <m/>
    <m/>
    <m/>
    <m/>
    <m/>
    <m/>
    <m/>
    <m/>
    <m/>
    <m/>
    <m/>
    <m/>
    <m/>
    <m/>
    <m/>
    <m/>
    <m/>
    <m/>
    <m/>
    <m/>
    <m/>
    <m/>
    <m/>
    <m/>
    <m/>
    <m/>
    <m/>
    <m/>
    <m/>
    <m/>
    <m/>
    <m/>
    <m/>
    <m/>
    <m/>
    <m/>
    <m/>
    <m/>
    <m/>
    <m/>
    <m/>
    <m/>
    <m/>
    <m/>
    <m/>
    <m/>
    <m/>
    <m/>
    <m/>
    <m/>
    <m/>
    <m/>
    <m/>
    <m/>
    <m/>
    <m/>
    <m/>
    <m/>
    <m/>
    <m/>
    <m/>
    <m/>
    <m/>
    <m/>
    <m/>
    <m/>
    <m/>
    <m/>
    <m/>
    <m/>
    <m/>
    <m/>
    <m/>
    <m/>
    <m/>
    <m/>
    <m/>
    <m/>
    <m/>
    <m/>
    <m/>
    <m/>
    <m/>
    <m/>
    <m/>
    <m/>
    <m/>
    <m/>
    <m/>
    <m/>
    <m/>
    <m/>
    <m/>
    <m/>
    <m/>
    <m/>
    <m/>
    <m/>
    <m/>
    <m/>
    <m/>
    <m/>
    <s v="Trade In &gt; Timeliness of Payment &gt;"/>
    <m/>
    <m/>
    <m/>
    <s v="Trade In &gt; Timeliness of Payment &gt; (Negative)"/>
    <s v="Yes"/>
    <s v="No"/>
    <m/>
    <x v="35"/>
    <x v="4"/>
    <x v="0"/>
    <m/>
    <x v="0"/>
    <x v="0"/>
  </r>
  <r>
    <s v="Andy Pointon - Used Trade-In Product"/>
    <n v="10"/>
    <n v="5"/>
    <d v="2026-01-22T19:41:59"/>
    <n v="5155956"/>
    <s v="Used Trade-In Product"/>
    <m/>
    <s v="Andy Pointon"/>
    <m/>
    <s v="andycqp@me.com"/>
    <m/>
    <m/>
    <m/>
    <s v="5 years 7 months"/>
    <s v="No"/>
    <m/>
    <m/>
    <s v="andycqp@me.com"/>
    <s v="67"/>
    <m/>
    <m/>
    <m/>
    <m/>
    <m/>
    <m/>
    <m/>
    <m/>
    <d v="2026-01-23T07:48:16"/>
    <d v="2026-01-22T15:21:30"/>
    <m/>
    <s v="1135362"/>
    <m/>
    <m/>
    <m/>
    <m/>
    <m/>
    <m/>
    <m/>
    <m/>
    <m/>
    <m/>
    <m/>
    <m/>
    <m/>
    <m/>
    <m/>
    <m/>
    <m/>
    <m/>
    <m/>
    <m/>
    <m/>
    <m/>
    <s v="https://bnh.lightning.force.com/0012L0000174NpLQAU"/>
    <m/>
    <m/>
    <m/>
    <m/>
    <m/>
    <m/>
    <m/>
    <m/>
    <m/>
    <m/>
    <m/>
    <m/>
    <m/>
    <m/>
    <m/>
    <m/>
    <m/>
    <m/>
    <m/>
    <m/>
    <m/>
    <m/>
    <m/>
    <m/>
    <m/>
    <m/>
    <m/>
    <m/>
    <m/>
    <m/>
    <m/>
    <m/>
    <m/>
    <m/>
    <m/>
    <m/>
    <m/>
    <m/>
    <s v="CAD"/>
    <m/>
    <s v="No"/>
    <s v="Sergio Jonusas"/>
    <s v="Sergio Jonusas"/>
    <d v="2026-01-22T19:40:20"/>
    <s v="Promoter"/>
    <s v="Closed"/>
    <m/>
    <m/>
    <s v="Yes"/>
    <m/>
    <m/>
    <m/>
    <m/>
    <m/>
    <m/>
    <m/>
    <m/>
    <m/>
    <m/>
    <m/>
    <m/>
    <m/>
    <m/>
    <m/>
    <m/>
    <s v="Ive been doing biz with B&amp;H for about 20 years and have never had an issue. Awesome company to work with. Thanks for all you do and offer!!"/>
    <m/>
    <m/>
    <m/>
    <m/>
    <m/>
    <m/>
    <m/>
    <m/>
    <m/>
    <m/>
    <m/>
    <m/>
    <m/>
    <m/>
    <m/>
    <m/>
    <m/>
    <m/>
    <m/>
    <m/>
    <m/>
    <m/>
    <m/>
    <m/>
    <m/>
    <m/>
    <m/>
    <m/>
    <m/>
    <m/>
    <m/>
    <m/>
    <m/>
    <m/>
    <m/>
    <m/>
    <m/>
    <m/>
    <m/>
    <m/>
    <m/>
    <m/>
    <m/>
    <m/>
    <m/>
    <m/>
    <m/>
    <m/>
    <m/>
    <m/>
    <m/>
    <m/>
    <m/>
    <m/>
    <m/>
    <m/>
    <m/>
    <m/>
    <m/>
    <m/>
    <m/>
    <m/>
    <m/>
    <m/>
    <m/>
    <m/>
    <m/>
    <m/>
    <m/>
    <m/>
    <m/>
    <m/>
    <m/>
    <m/>
    <m/>
    <m/>
    <m/>
    <m/>
    <m/>
    <m/>
    <m/>
    <m/>
    <m/>
    <m/>
    <m/>
    <m/>
    <m/>
    <s v="Ive been doing biz with B&amp;H for about 20 years and have never had an issue. Awesome company to work with. Thanks for all you do and offe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Satisfaction &gt;"/>
    <m/>
    <s v="NEUTRAL"/>
    <s v="B&amp;H &gt; Satisfaction &gt; (Positive)"/>
    <s v="B&amp;H &gt; Satisfaction &gt; (Positive)"/>
    <s v="No"/>
    <s v="No"/>
    <m/>
    <x v="17"/>
    <x v="0"/>
    <x v="0"/>
    <m/>
    <x v="0"/>
    <x v="0"/>
  </r>
  <r>
    <s v="Christine Schmitz - Used Trade-In Product"/>
    <n v="10"/>
    <n v="5"/>
    <d v="2026-01-22T15:40:44"/>
    <n v="5155494"/>
    <s v="Used Trade-In Product"/>
    <m/>
    <s v="Christine Schmitz"/>
    <m/>
    <s v="chrismschmitz@aol.com"/>
    <m/>
    <m/>
    <m/>
    <s v="7 years 9 months"/>
    <s v="No"/>
    <m/>
    <m/>
    <s v="chrismschmitz@aol.com"/>
    <s v="93"/>
    <m/>
    <m/>
    <m/>
    <m/>
    <m/>
    <m/>
    <m/>
    <m/>
    <d v="2026-01-23T08:27:40"/>
    <d v="2026-01-22T12:45:37"/>
    <m/>
    <s v="1133564"/>
    <m/>
    <m/>
    <m/>
    <m/>
    <m/>
    <m/>
    <m/>
    <m/>
    <m/>
    <m/>
    <m/>
    <m/>
    <m/>
    <m/>
    <m/>
    <m/>
    <m/>
    <m/>
    <m/>
    <m/>
    <m/>
    <m/>
    <s v="https://bnh.lightning.force.com/0018X00003HpVYgQAN"/>
    <m/>
    <m/>
    <m/>
    <m/>
    <m/>
    <m/>
    <m/>
    <m/>
    <m/>
    <m/>
    <m/>
    <m/>
    <m/>
    <m/>
    <m/>
    <m/>
    <m/>
    <m/>
    <m/>
    <m/>
    <m/>
    <m/>
    <m/>
    <m/>
    <m/>
    <m/>
    <m/>
    <m/>
    <m/>
    <m/>
    <m/>
    <m/>
    <m/>
    <m/>
    <m/>
    <m/>
    <m/>
    <m/>
    <s v="CAD"/>
    <m/>
    <s v="No"/>
    <s v="Aine Hoye"/>
    <s v="Aine Hoye"/>
    <d v="2026-01-22T15:40:09"/>
    <s v="Promoter"/>
    <s v="Closed"/>
    <m/>
    <m/>
    <s v="Yes"/>
    <m/>
    <m/>
    <m/>
    <m/>
    <m/>
    <m/>
    <m/>
    <m/>
    <m/>
    <m/>
    <m/>
    <m/>
    <m/>
    <m/>
    <m/>
    <m/>
    <s v="Easy peasy. Great communication, did what you said you would do."/>
    <m/>
    <m/>
    <m/>
    <m/>
    <s v="No complaints"/>
    <m/>
    <m/>
    <m/>
    <m/>
    <m/>
    <m/>
    <m/>
    <m/>
    <m/>
    <m/>
    <m/>
    <m/>
    <m/>
    <m/>
    <m/>
    <m/>
    <m/>
    <m/>
    <m/>
    <m/>
    <m/>
    <m/>
    <m/>
    <m/>
    <m/>
    <m/>
    <m/>
    <m/>
    <m/>
    <m/>
    <m/>
    <m/>
    <m/>
    <m/>
    <m/>
    <m/>
    <m/>
    <m/>
    <m/>
    <m/>
    <m/>
    <m/>
    <m/>
    <m/>
    <m/>
    <m/>
    <m/>
    <m/>
    <m/>
    <m/>
    <m/>
    <m/>
    <m/>
    <m/>
    <m/>
    <m/>
    <m/>
    <m/>
    <m/>
    <m/>
    <m/>
    <m/>
    <m/>
    <m/>
    <m/>
    <m/>
    <m/>
    <m/>
    <m/>
    <m/>
    <m/>
    <m/>
    <m/>
    <m/>
    <m/>
    <m/>
    <m/>
    <m/>
    <m/>
    <m/>
    <m/>
    <m/>
    <s v="Easy peasy. Great communication, did what you said you would do."/>
    <s v="No complaint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s v="N/A"/>
    <m/>
    <m/>
    <m/>
    <m/>
    <m/>
    <m/>
    <m/>
    <m/>
    <m/>
    <m/>
    <m/>
    <m/>
    <m/>
    <m/>
    <m/>
    <m/>
    <m/>
    <m/>
    <m/>
    <m/>
    <m/>
    <m/>
    <m/>
    <m/>
    <m/>
    <m/>
    <m/>
    <m/>
    <m/>
    <m/>
    <m/>
    <m/>
    <m/>
    <m/>
    <m/>
    <m/>
    <m/>
    <m/>
    <m/>
    <m/>
    <m/>
    <m/>
    <m/>
    <m/>
    <m/>
    <m/>
    <m/>
    <m/>
    <m/>
    <m/>
    <m/>
    <m/>
    <m/>
    <m/>
    <m/>
    <m/>
    <m/>
    <m/>
    <m/>
    <m/>
    <m/>
    <m/>
    <m/>
    <m/>
    <m/>
    <m/>
    <m/>
    <m/>
    <m/>
    <m/>
    <m/>
    <m/>
    <m/>
    <m/>
    <m/>
    <m/>
    <m/>
    <m/>
    <m/>
    <m/>
    <m/>
    <m/>
    <m/>
    <m/>
    <m/>
    <m/>
    <m/>
    <m/>
    <m/>
    <m/>
    <m/>
    <m/>
    <m/>
    <m/>
    <m/>
    <m/>
    <m/>
    <m/>
    <m/>
    <m/>
    <m/>
    <m/>
    <s v="People &gt; Follow Up &gt;, Trade In &gt; Overall Process &gt;"/>
    <m/>
    <m/>
    <m/>
    <s v="People &gt; Follow Up &gt; (Positive), Trade In &gt; Overall Process &gt; (Positive)"/>
    <s v="Yes"/>
    <s v="Yes"/>
    <m/>
    <x v="0"/>
    <x v="21"/>
    <x v="0"/>
    <m/>
    <x v="0"/>
    <x v="0"/>
  </r>
  <r>
    <s v="Jad Baaklini - Used Trade-In Product"/>
    <n v="10"/>
    <n v="5"/>
    <d v="2026-01-22T14:30:43"/>
    <n v="5155306"/>
    <s v="Used Trade-In Product"/>
    <m/>
    <s v="Jad Baaklini"/>
    <m/>
    <s v="jad.baaklini@gmail.com"/>
    <m/>
    <m/>
    <m/>
    <m/>
    <s v="No"/>
    <m/>
    <m/>
    <s v="jad.baaklini@gmail.com"/>
    <m/>
    <m/>
    <m/>
    <m/>
    <m/>
    <m/>
    <m/>
    <m/>
    <m/>
    <d v="2026-01-23T09:11:09"/>
    <d v="2026-01-21T12:47:44"/>
    <m/>
    <s v="1132106"/>
    <m/>
    <m/>
    <m/>
    <m/>
    <m/>
    <m/>
    <m/>
    <m/>
    <m/>
    <m/>
    <m/>
    <m/>
    <m/>
    <m/>
    <m/>
    <m/>
    <m/>
    <m/>
    <m/>
    <m/>
    <m/>
    <m/>
    <s v="https://bnh.lightning.force.com/001WP00000nfEfdYAE"/>
    <m/>
    <m/>
    <m/>
    <m/>
    <m/>
    <m/>
    <m/>
    <m/>
    <m/>
    <m/>
    <m/>
    <m/>
    <m/>
    <m/>
    <m/>
    <m/>
    <m/>
    <m/>
    <m/>
    <m/>
    <m/>
    <m/>
    <m/>
    <m/>
    <m/>
    <m/>
    <m/>
    <m/>
    <m/>
    <m/>
    <m/>
    <m/>
    <m/>
    <m/>
    <m/>
    <m/>
    <m/>
    <m/>
    <s v="CAD"/>
    <m/>
    <s v="No"/>
    <s v="Efrat Malachi"/>
    <s v="Efrat Malachi"/>
    <d v="2026-01-22T14:30:31"/>
    <s v="Promoter"/>
    <s v="Closed"/>
    <m/>
    <m/>
    <s v="Yes"/>
    <m/>
    <m/>
    <m/>
    <m/>
    <m/>
    <m/>
    <m/>
    <m/>
    <m/>
    <m/>
    <m/>
    <m/>
    <m/>
    <m/>
    <m/>
    <m/>
    <s v="You offer fair prices!"/>
    <m/>
    <m/>
    <m/>
    <m/>
    <s v="Not being able to find one of my lenses listed"/>
    <m/>
    <m/>
    <m/>
    <m/>
    <m/>
    <m/>
    <m/>
    <m/>
    <m/>
    <m/>
    <m/>
    <m/>
    <m/>
    <m/>
    <m/>
    <m/>
    <m/>
    <m/>
    <m/>
    <m/>
    <m/>
    <m/>
    <m/>
    <m/>
    <m/>
    <m/>
    <m/>
    <m/>
    <m/>
    <m/>
    <m/>
    <m/>
    <m/>
    <m/>
    <m/>
    <m/>
    <m/>
    <m/>
    <m/>
    <m/>
    <m/>
    <m/>
    <m/>
    <m/>
    <m/>
    <m/>
    <m/>
    <m/>
    <m/>
    <m/>
    <m/>
    <m/>
    <m/>
    <m/>
    <m/>
    <m/>
    <m/>
    <m/>
    <m/>
    <m/>
    <m/>
    <m/>
    <m/>
    <m/>
    <m/>
    <m/>
    <m/>
    <m/>
    <m/>
    <m/>
    <m/>
    <m/>
    <m/>
    <m/>
    <m/>
    <m/>
    <m/>
    <m/>
    <m/>
    <m/>
    <m/>
    <m/>
    <s v="You offer fair prices!"/>
    <s v="Not being able to find one of my lenses lis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n v="5"/>
    <n v="5"/>
    <n v="4"/>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m/>
    <m/>
    <s v="Pricing &gt; Value for Money &gt; (Positive), Trade In &gt; Quote Price &gt; (Positive), Used &gt; Pricing &gt; (Positive)"/>
    <s v="Trade In &gt; Overall Process &gt; (Negative), Trade In &gt; Quote Price &gt; (Positive)"/>
    <s v="Yes"/>
    <s v="No"/>
    <m/>
    <x v="3"/>
    <x v="46"/>
    <x v="0"/>
    <m/>
    <x v="0"/>
    <x v="0"/>
  </r>
  <r>
    <s v="Timothy Dyer - Used Trade-In Product"/>
    <n v="10"/>
    <n v="5"/>
    <d v="2026-01-22T12:32:43"/>
    <n v="5155024"/>
    <s v="Used Trade-In Product"/>
    <m/>
    <s v="Timothy Dyer"/>
    <m/>
    <s v="therevtddyer@gmail.com"/>
    <m/>
    <m/>
    <m/>
    <s v="1 months"/>
    <s v="No"/>
    <m/>
    <m/>
    <s v="therevtddyer@gmail.com"/>
    <s v="1"/>
    <m/>
    <m/>
    <m/>
    <m/>
    <m/>
    <m/>
    <m/>
    <m/>
    <d v="2026-01-22T14:52:13"/>
    <d v="2026-01-22T12:48:11"/>
    <m/>
    <s v="1132873"/>
    <m/>
    <m/>
    <m/>
    <m/>
    <m/>
    <m/>
    <m/>
    <m/>
    <m/>
    <m/>
    <m/>
    <m/>
    <m/>
    <m/>
    <m/>
    <m/>
    <m/>
    <m/>
    <m/>
    <m/>
    <m/>
    <m/>
    <s v="https://bnh.lightning.force.com/001WP00000o4b4XYAQ"/>
    <m/>
    <m/>
    <m/>
    <m/>
    <m/>
    <m/>
    <m/>
    <m/>
    <m/>
    <m/>
    <m/>
    <m/>
    <m/>
    <m/>
    <m/>
    <m/>
    <m/>
    <m/>
    <m/>
    <m/>
    <m/>
    <m/>
    <m/>
    <m/>
    <m/>
    <m/>
    <m/>
    <m/>
    <m/>
    <m/>
    <m/>
    <m/>
    <m/>
    <m/>
    <m/>
    <m/>
    <m/>
    <m/>
    <s v="CAD"/>
    <m/>
    <s v="No"/>
    <s v="Efrat Malachi"/>
    <s v="Efrat Malachi"/>
    <d v="2026-01-22T12:30:46"/>
    <s v="Promoter"/>
    <s v="Closed"/>
    <m/>
    <m/>
    <s v="Yes"/>
    <m/>
    <m/>
    <m/>
    <m/>
    <m/>
    <m/>
    <m/>
    <m/>
    <m/>
    <m/>
    <m/>
    <m/>
    <m/>
    <m/>
    <m/>
    <m/>
    <s v="I was offered a fair price for my equipment. B&amp;H has a strong and reliable reputation. They lived up to that by treating me fairly. The ease of the whole transaction was wonderful."/>
    <m/>
    <m/>
    <m/>
    <m/>
    <s v="There was nothing I disliked."/>
    <m/>
    <m/>
    <m/>
    <m/>
    <m/>
    <m/>
    <m/>
    <m/>
    <m/>
    <m/>
    <m/>
    <m/>
    <m/>
    <m/>
    <m/>
    <m/>
    <m/>
    <m/>
    <m/>
    <m/>
    <m/>
    <m/>
    <m/>
    <m/>
    <m/>
    <m/>
    <m/>
    <m/>
    <m/>
    <m/>
    <m/>
    <m/>
    <m/>
    <m/>
    <m/>
    <m/>
    <m/>
    <m/>
    <m/>
    <m/>
    <m/>
    <m/>
    <m/>
    <m/>
    <m/>
    <m/>
    <m/>
    <m/>
    <m/>
    <m/>
    <m/>
    <m/>
    <m/>
    <m/>
    <m/>
    <m/>
    <m/>
    <m/>
    <m/>
    <m/>
    <m/>
    <m/>
    <m/>
    <m/>
    <m/>
    <m/>
    <m/>
    <m/>
    <m/>
    <m/>
    <m/>
    <m/>
    <m/>
    <m/>
    <m/>
    <m/>
    <m/>
    <m/>
    <m/>
    <m/>
    <m/>
    <m/>
    <s v="I was offered a fair price for my equipment. B&amp;H has a strong and reliable reputation. They lived up to that by treating me fairly. The ease of the whole transaction was wonderful."/>
    <s v="There was nothing I dislik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Pricing &gt; Value for Money &gt;, Trade In &gt; Overall Process &gt;, Trade In &gt; Quote Price &gt;, Used &gt; Pricing &gt;"/>
    <s v="B&amp;H &gt; Reliable / Trustworthy &gt;, Trade In &gt; Overall Process &gt;, Trade In &gt; Quote Price &gt;"/>
    <m/>
    <s v="NEUTRAL"/>
    <s v="B&amp;H &gt; Reliable / Trustworthy &gt; (Positive), Pricing &gt; Value for Money &gt; (Positive), Trade In &gt; Overall Process &gt; (Positive), Trade In &gt; Quote Price &gt; (Positive), Used &gt; Pricing &gt; (Positive)"/>
    <s v="B&amp;H &gt; Reliable / Trustworthy &gt; (Positive), Trade In &gt; Overall Process &gt; (Positive), Trade In &gt; Quote Price &gt; (Positive)"/>
    <s v="Yes"/>
    <s v="No"/>
    <m/>
    <x v="28"/>
    <x v="48"/>
    <x v="12"/>
    <m/>
    <x v="0"/>
    <x v="0"/>
  </r>
  <r>
    <s v="Kara Posey - Used Trade-In Product"/>
    <n v="10"/>
    <n v="5"/>
    <d v="2026-01-22T12:05:28"/>
    <n v="5154957"/>
    <s v="Used Trade-In Product"/>
    <m/>
    <s v="Kara Posey"/>
    <m/>
    <s v="emailforkara@gmail.com"/>
    <m/>
    <m/>
    <m/>
    <m/>
    <s v="No"/>
    <m/>
    <m/>
    <s v="emailforkara@gmail.com"/>
    <m/>
    <m/>
    <m/>
    <m/>
    <m/>
    <m/>
    <m/>
    <m/>
    <m/>
    <d v="2026-01-22T14:50:45"/>
    <d v="2026-01-22T12:47:04"/>
    <m/>
    <s v="1132705"/>
    <m/>
    <m/>
    <m/>
    <m/>
    <m/>
    <m/>
    <m/>
    <m/>
    <m/>
    <m/>
    <m/>
    <m/>
    <m/>
    <m/>
    <m/>
    <m/>
    <m/>
    <m/>
    <m/>
    <m/>
    <m/>
    <m/>
    <s v="https://bnh.lightning.force.com/001WP00000o2C7lYAE"/>
    <m/>
    <m/>
    <m/>
    <m/>
    <m/>
    <m/>
    <m/>
    <m/>
    <m/>
    <m/>
    <m/>
    <m/>
    <m/>
    <m/>
    <m/>
    <m/>
    <m/>
    <m/>
    <m/>
    <m/>
    <m/>
    <m/>
    <m/>
    <m/>
    <m/>
    <m/>
    <m/>
    <m/>
    <m/>
    <m/>
    <m/>
    <m/>
    <m/>
    <m/>
    <m/>
    <m/>
    <m/>
    <m/>
    <s v="CAD"/>
    <m/>
    <s v="No"/>
    <s v="Efrat Malachi"/>
    <s v="Efrat Malachi"/>
    <d v="2026-01-22T12:05:57"/>
    <s v="Promoter"/>
    <s v="Closed"/>
    <m/>
    <m/>
    <s v="Yes"/>
    <m/>
    <m/>
    <m/>
    <m/>
    <m/>
    <m/>
    <m/>
    <m/>
    <m/>
    <m/>
    <m/>
    <m/>
    <m/>
    <m/>
    <m/>
    <m/>
    <s v="Easy!"/>
    <m/>
    <m/>
    <m/>
    <m/>
    <s v="Waiting for a check in the mail, it would’ve been awesome if I could do ACH but really not that big of a deal."/>
    <m/>
    <m/>
    <m/>
    <m/>
    <m/>
    <m/>
    <m/>
    <m/>
    <m/>
    <m/>
    <m/>
    <m/>
    <m/>
    <m/>
    <m/>
    <m/>
    <m/>
    <m/>
    <m/>
    <m/>
    <m/>
    <m/>
    <m/>
    <m/>
    <m/>
    <m/>
    <m/>
    <m/>
    <m/>
    <m/>
    <m/>
    <m/>
    <m/>
    <m/>
    <m/>
    <m/>
    <m/>
    <m/>
    <m/>
    <m/>
    <m/>
    <m/>
    <m/>
    <m/>
    <m/>
    <m/>
    <m/>
    <m/>
    <m/>
    <m/>
    <m/>
    <m/>
    <m/>
    <m/>
    <m/>
    <m/>
    <m/>
    <m/>
    <m/>
    <m/>
    <m/>
    <m/>
    <m/>
    <m/>
    <m/>
    <m/>
    <m/>
    <m/>
    <m/>
    <m/>
    <m/>
    <m/>
    <m/>
    <m/>
    <m/>
    <m/>
    <m/>
    <m/>
    <m/>
    <m/>
    <m/>
    <m/>
    <s v="Easy!"/>
    <s v="Waiting for a check in the mail, it would’ve been awesome if I could do ACH but really not that big of a de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m/>
    <s v="Trade In &gt; Overall Process &gt;, Trade In &gt; Timeliness of Payment &gt;"/>
    <m/>
    <m/>
    <m/>
    <s v="Trade In &gt; Overall Process &gt; (Positive), Trade In &gt; Timeliness of Payment &gt; (Negative)"/>
    <s v="Yes"/>
    <s v="No"/>
    <m/>
    <x v="0"/>
    <x v="41"/>
    <x v="0"/>
    <m/>
    <x v="0"/>
    <x v="0"/>
  </r>
  <r>
    <s v="Marcus Kuhs - Used Trade-In Product"/>
    <n v="10"/>
    <n v="5"/>
    <d v="2026-01-22T10:33:18"/>
    <n v="5154708"/>
    <s v="Used Trade-In Product"/>
    <m/>
    <s v="Marcus Kuhs"/>
    <m/>
    <s v="marcus.kuhs@gmail.com"/>
    <m/>
    <m/>
    <m/>
    <m/>
    <s v="No"/>
    <m/>
    <m/>
    <s v="marcus.kuhs@gmail.com"/>
    <m/>
    <m/>
    <m/>
    <m/>
    <m/>
    <m/>
    <m/>
    <m/>
    <m/>
    <d v="2026-01-23T07:47:39"/>
    <d v="2026-01-22T12:47:22"/>
    <m/>
    <s v="1132578"/>
    <m/>
    <m/>
    <m/>
    <m/>
    <m/>
    <m/>
    <m/>
    <m/>
    <m/>
    <m/>
    <m/>
    <m/>
    <m/>
    <m/>
    <m/>
    <m/>
    <m/>
    <m/>
    <m/>
    <m/>
    <m/>
    <m/>
    <s v="https://bnh.lightning.force.com/001WP00000k2U8AYAU"/>
    <m/>
    <m/>
    <m/>
    <m/>
    <m/>
    <m/>
    <m/>
    <m/>
    <m/>
    <m/>
    <m/>
    <m/>
    <m/>
    <m/>
    <m/>
    <m/>
    <m/>
    <m/>
    <m/>
    <m/>
    <m/>
    <m/>
    <m/>
    <m/>
    <m/>
    <m/>
    <m/>
    <m/>
    <m/>
    <m/>
    <m/>
    <m/>
    <m/>
    <m/>
    <m/>
    <m/>
    <m/>
    <m/>
    <s v="CAD"/>
    <m/>
    <s v="No"/>
    <s v="Zane Bohnert"/>
    <s v="Zane Bohnert"/>
    <d v="2026-01-22T10:32:05"/>
    <s v="Promoter"/>
    <s v="Closed"/>
    <m/>
    <m/>
    <s v="Yes"/>
    <m/>
    <m/>
    <m/>
    <m/>
    <m/>
    <m/>
    <m/>
    <m/>
    <m/>
    <m/>
    <m/>
    <m/>
    <m/>
    <m/>
    <m/>
    <m/>
    <s v="B&amp;H advertised giving top dollar for equipment and I genuinely believe I received the best offer. I got a quote of $400 from my local camera supplier and felt insulted. B&amp;H knows the value of what customers have and doesn’t waste their time."/>
    <m/>
    <m/>
    <m/>
    <m/>
    <s v="I would’ve liked a tracking number with my check given the value of it, but that’s a very small concern of mine. I received my check quickly and without issue."/>
    <m/>
    <m/>
    <m/>
    <m/>
    <m/>
    <m/>
    <m/>
    <m/>
    <m/>
    <m/>
    <m/>
    <m/>
    <m/>
    <m/>
    <m/>
    <m/>
    <m/>
    <m/>
    <m/>
    <m/>
    <m/>
    <m/>
    <m/>
    <m/>
    <m/>
    <m/>
    <m/>
    <m/>
    <m/>
    <m/>
    <m/>
    <m/>
    <m/>
    <m/>
    <m/>
    <m/>
    <m/>
    <m/>
    <m/>
    <m/>
    <m/>
    <m/>
    <m/>
    <m/>
    <m/>
    <m/>
    <m/>
    <m/>
    <m/>
    <m/>
    <m/>
    <m/>
    <m/>
    <m/>
    <m/>
    <m/>
    <m/>
    <m/>
    <m/>
    <m/>
    <m/>
    <m/>
    <m/>
    <m/>
    <m/>
    <m/>
    <m/>
    <m/>
    <m/>
    <m/>
    <m/>
    <m/>
    <m/>
    <m/>
    <m/>
    <m/>
    <m/>
    <m/>
    <m/>
    <m/>
    <m/>
    <m/>
    <s v="B&amp;H advertised giving top dollar for equipment and I genuinely believe I received the best offer. I got a quote of $400 from my local camera supplier and felt insulted. B&amp;H knows the value of what customers have and doesn’t waste their time."/>
    <s v="I would’ve liked a tracking number with my check given the value of it, but that’s a very small concern of mine. I received my check quickly and without issu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Website &gt; Order Tracking &gt;"/>
    <s v="Trade In &gt; Overall Process &gt;, Trade In &gt; Quote Price &gt;, Trade In &gt; Timeliness of Payment &gt;"/>
    <m/>
    <m/>
    <s v="Trade In &gt; Overall Process &gt; (Negative), Website &gt; Order Tracking &gt; (Negative)"/>
    <s v="Trade In &gt; Overall Process &gt; (Negative), Trade In &gt; Quote Price &gt; (Positive), Trade In &gt; Timeliness of Payment &gt; (Positive)"/>
    <s v="Yes"/>
    <s v="Yes"/>
    <m/>
    <x v="10"/>
    <x v="51"/>
    <x v="22"/>
    <m/>
    <x v="0"/>
    <x v="0"/>
  </r>
  <r>
    <s v="Kevin Esler - Used Trade-In Product"/>
    <n v="10"/>
    <n v="5"/>
    <d v="2026-01-22T09:57:28"/>
    <n v="5154576"/>
    <s v="Used Trade-In Product"/>
    <m/>
    <s v="Kevin Esler"/>
    <m/>
    <s v="kevin.esler@gmail.com"/>
    <m/>
    <m/>
    <m/>
    <m/>
    <s v="No"/>
    <m/>
    <m/>
    <s v="kevin.esler@gmail.com"/>
    <m/>
    <m/>
    <m/>
    <m/>
    <m/>
    <m/>
    <m/>
    <m/>
    <m/>
    <d v="2026-01-22T16:03:03"/>
    <d v="2026-01-22T12:45:39"/>
    <m/>
    <s v="1134642"/>
    <m/>
    <m/>
    <m/>
    <m/>
    <m/>
    <m/>
    <m/>
    <m/>
    <m/>
    <m/>
    <m/>
    <m/>
    <m/>
    <m/>
    <m/>
    <m/>
    <m/>
    <m/>
    <m/>
    <m/>
    <m/>
    <m/>
    <s v="https://bnh.lightning.force.com/0011a00000pw8NoAAI"/>
    <m/>
    <m/>
    <m/>
    <m/>
    <m/>
    <m/>
    <m/>
    <m/>
    <m/>
    <m/>
    <m/>
    <m/>
    <m/>
    <m/>
    <m/>
    <m/>
    <m/>
    <m/>
    <m/>
    <m/>
    <m/>
    <m/>
    <m/>
    <m/>
    <m/>
    <m/>
    <m/>
    <m/>
    <m/>
    <m/>
    <m/>
    <m/>
    <m/>
    <m/>
    <m/>
    <m/>
    <m/>
    <m/>
    <s v="CAD"/>
    <m/>
    <s v="No"/>
    <s v="Gershon Orenstein"/>
    <s v="Gershon Orenstein"/>
    <d v="2026-01-22T09:57:33"/>
    <s v="Promoter"/>
    <s v="Closed"/>
    <m/>
    <m/>
    <s v="Yes"/>
    <m/>
    <m/>
    <m/>
    <m/>
    <m/>
    <m/>
    <m/>
    <m/>
    <m/>
    <m/>
    <m/>
    <m/>
    <m/>
    <m/>
    <m/>
    <m/>
    <s v="Prompt service."/>
    <m/>
    <m/>
    <m/>
    <m/>
    <m/>
    <m/>
    <m/>
    <m/>
    <m/>
    <m/>
    <m/>
    <m/>
    <m/>
    <m/>
    <m/>
    <m/>
    <m/>
    <m/>
    <m/>
    <m/>
    <m/>
    <m/>
    <m/>
    <m/>
    <m/>
    <m/>
    <m/>
    <m/>
    <m/>
    <m/>
    <m/>
    <m/>
    <m/>
    <m/>
    <m/>
    <m/>
    <m/>
    <m/>
    <m/>
    <m/>
    <m/>
    <m/>
    <m/>
    <m/>
    <m/>
    <m/>
    <m/>
    <m/>
    <m/>
    <m/>
    <m/>
    <m/>
    <m/>
    <m/>
    <m/>
    <m/>
    <m/>
    <m/>
    <m/>
    <m/>
    <m/>
    <m/>
    <m/>
    <m/>
    <m/>
    <m/>
    <m/>
    <m/>
    <m/>
    <m/>
    <m/>
    <m/>
    <m/>
    <m/>
    <m/>
    <m/>
    <m/>
    <m/>
    <m/>
    <m/>
    <m/>
    <m/>
    <m/>
    <m/>
    <m/>
    <m/>
    <m/>
    <s v="Prompt servi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Trade In &gt; Timeliness of Payment &gt;, Trade In &gt; Timeliness of Quote &gt;"/>
    <m/>
    <m/>
    <m/>
    <s v="Trade In &gt; Overall Process &gt; (Positive), Trade In &gt; Timeliness of Payment &gt; (Positive), Trade In &gt; Timeliness of Quote &gt; (Positive)"/>
    <s v="Yes"/>
    <s v="No"/>
    <m/>
    <x v="7"/>
    <x v="0"/>
    <x v="0"/>
    <m/>
    <x v="0"/>
    <x v="0"/>
  </r>
  <r>
    <s v="Joseph Circelli - Used Trade-In Product"/>
    <n v="10"/>
    <n v="5"/>
    <d v="2026-01-22T09:09:49"/>
    <n v="5154283"/>
    <s v="Used Trade-In Product"/>
    <m/>
    <s v="Joseph Circelli"/>
    <m/>
    <s v="cjoec91008@gmail.com"/>
    <m/>
    <m/>
    <m/>
    <s v="9 years 5 months"/>
    <s v="No"/>
    <m/>
    <m/>
    <s v="cjoec91008@gmail.com"/>
    <s v="113"/>
    <m/>
    <m/>
    <m/>
    <m/>
    <m/>
    <m/>
    <m/>
    <m/>
    <d v="2026-01-22T09:51:15"/>
    <d v="2026-01-16T12:54:12"/>
    <m/>
    <s v="1132072"/>
    <m/>
    <m/>
    <m/>
    <m/>
    <m/>
    <m/>
    <m/>
    <m/>
    <m/>
    <m/>
    <m/>
    <m/>
    <m/>
    <m/>
    <m/>
    <m/>
    <m/>
    <m/>
    <m/>
    <m/>
    <m/>
    <m/>
    <s v="https://bnh.lightning.force.com/0011a00000XhGAKAA3"/>
    <m/>
    <m/>
    <m/>
    <m/>
    <m/>
    <m/>
    <m/>
    <m/>
    <m/>
    <m/>
    <m/>
    <m/>
    <m/>
    <m/>
    <m/>
    <m/>
    <m/>
    <m/>
    <m/>
    <m/>
    <m/>
    <m/>
    <m/>
    <m/>
    <m/>
    <m/>
    <m/>
    <m/>
    <m/>
    <m/>
    <m/>
    <m/>
    <m/>
    <m/>
    <m/>
    <m/>
    <m/>
    <m/>
    <s v="CAD"/>
    <m/>
    <s v="No"/>
    <s v="Efrat Malachi"/>
    <s v="Efrat Malachi"/>
    <d v="2026-01-22T09:09:54"/>
    <s v="Promoter"/>
    <s v="Closed"/>
    <m/>
    <m/>
    <s v="Yes"/>
    <m/>
    <m/>
    <m/>
    <m/>
    <m/>
    <m/>
    <m/>
    <m/>
    <m/>
    <m/>
    <m/>
    <m/>
    <m/>
    <m/>
    <m/>
    <m/>
    <s v="All great co"/>
    <m/>
    <m/>
    <m/>
    <m/>
    <s v="Nothing all  ezc"/>
    <m/>
    <m/>
    <m/>
    <m/>
    <m/>
    <m/>
    <m/>
    <m/>
    <m/>
    <m/>
    <m/>
    <m/>
    <m/>
    <m/>
    <m/>
    <m/>
    <m/>
    <m/>
    <m/>
    <m/>
    <m/>
    <m/>
    <m/>
    <m/>
    <m/>
    <m/>
    <m/>
    <m/>
    <m/>
    <m/>
    <m/>
    <m/>
    <m/>
    <m/>
    <m/>
    <m/>
    <m/>
    <m/>
    <m/>
    <m/>
    <m/>
    <m/>
    <m/>
    <m/>
    <m/>
    <m/>
    <m/>
    <m/>
    <m/>
    <m/>
    <m/>
    <m/>
    <m/>
    <m/>
    <m/>
    <m/>
    <m/>
    <m/>
    <m/>
    <m/>
    <m/>
    <m/>
    <m/>
    <m/>
    <m/>
    <m/>
    <m/>
    <m/>
    <m/>
    <m/>
    <m/>
    <m/>
    <m/>
    <m/>
    <m/>
    <m/>
    <m/>
    <m/>
    <m/>
    <m/>
    <m/>
    <m/>
    <s v="All great co"/>
    <s v="Nothing all  ezc"/>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15"/>
    <x v="0"/>
    <x v="0"/>
    <m/>
    <x v="0"/>
    <x v="0"/>
  </r>
  <r>
    <s v="David Jenkins - Used Trade-In Product"/>
    <n v="6"/>
    <n v="5"/>
    <d v="2026-01-21T22:49:23"/>
    <n v="5153859"/>
    <s v="Used Trade-In Product"/>
    <m/>
    <s v="David Jenkins"/>
    <m/>
    <s v="fravillon@yahoo.com"/>
    <m/>
    <m/>
    <m/>
    <s v="16 years 7 months"/>
    <s v="No"/>
    <m/>
    <m/>
    <s v="fravillon@yahoo.com"/>
    <s v="199"/>
    <m/>
    <m/>
    <m/>
    <m/>
    <m/>
    <m/>
    <m/>
    <m/>
    <d v="2026-02-01T12:32:26"/>
    <d v="2026-01-21T12:47:53"/>
    <m/>
    <s v="1133772"/>
    <m/>
    <m/>
    <m/>
    <m/>
    <m/>
    <m/>
    <m/>
    <m/>
    <m/>
    <m/>
    <m/>
    <m/>
    <m/>
    <m/>
    <m/>
    <m/>
    <m/>
    <m/>
    <m/>
    <m/>
    <m/>
    <m/>
    <s v="https://bnh.lightning.force.com/0011a00000FmKmCAAV"/>
    <m/>
    <m/>
    <m/>
    <m/>
    <m/>
    <m/>
    <m/>
    <m/>
    <m/>
    <m/>
    <m/>
    <m/>
    <m/>
    <m/>
    <m/>
    <m/>
    <m/>
    <m/>
    <m/>
    <m/>
    <m/>
    <m/>
    <m/>
    <m/>
    <m/>
    <m/>
    <m/>
    <m/>
    <m/>
    <m/>
    <m/>
    <m/>
    <m/>
    <m/>
    <m/>
    <m/>
    <m/>
    <m/>
    <s v="CAD"/>
    <m/>
    <s v="No"/>
    <s v="Aine Hoye,Avraham Schwartz,Reina Caba"/>
    <s v="Reina Caba"/>
    <d v="2026-01-21T22:47:51"/>
    <s v="Detractor "/>
    <s v="Closed"/>
    <d v="2026-02-01T12:32:22"/>
    <s v="Reina Caba (reinac@bhphoto.com)"/>
    <s v="Yes"/>
    <m/>
    <m/>
    <m/>
    <m/>
    <m/>
    <m/>
    <m/>
    <m/>
    <m/>
    <m/>
    <m/>
    <m/>
    <m/>
    <m/>
    <m/>
    <m/>
    <s v="Very clear communications regarding my gear and quite satisfactory prices"/>
    <m/>
    <m/>
    <m/>
    <m/>
    <s v="Took quite a while to get a definitive quote"/>
    <m/>
    <m/>
    <m/>
    <m/>
    <m/>
    <m/>
    <m/>
    <m/>
    <m/>
    <m/>
    <m/>
    <m/>
    <m/>
    <m/>
    <m/>
    <m/>
    <m/>
    <m/>
    <m/>
    <m/>
    <m/>
    <m/>
    <m/>
    <m/>
    <m/>
    <m/>
    <m/>
    <m/>
    <m/>
    <m/>
    <m/>
    <m/>
    <m/>
    <m/>
    <m/>
    <m/>
    <m/>
    <m/>
    <m/>
    <m/>
    <m/>
    <m/>
    <m/>
    <m/>
    <m/>
    <m/>
    <m/>
    <m/>
    <m/>
    <m/>
    <m/>
    <m/>
    <m/>
    <m/>
    <m/>
    <m/>
    <m/>
    <m/>
    <m/>
    <m/>
    <m/>
    <m/>
    <m/>
    <m/>
    <m/>
    <m/>
    <m/>
    <m/>
    <m/>
    <m/>
    <m/>
    <m/>
    <m/>
    <m/>
    <m/>
    <m/>
    <m/>
    <m/>
    <m/>
    <m/>
    <m/>
    <m/>
    <s v="Very clear communications regarding my gear and quite satisfactory prices"/>
    <s v="Took quite a while to get a definitive quo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3"/>
    <n v="5"/>
    <n v="4"/>
    <m/>
    <m/>
    <m/>
    <m/>
    <m/>
    <m/>
    <m/>
    <m/>
    <m/>
    <m/>
    <m/>
    <m/>
    <m/>
    <m/>
    <m/>
    <m/>
    <m/>
    <m/>
    <m/>
    <m/>
    <m/>
    <m/>
    <m/>
    <m/>
    <m/>
    <m/>
    <m/>
    <m/>
    <m/>
    <m/>
    <m/>
    <m/>
    <m/>
    <m/>
    <m/>
    <m/>
    <m/>
    <m/>
    <m/>
    <m/>
    <m/>
    <m/>
    <m/>
    <m/>
    <m/>
    <m/>
    <m/>
    <m/>
    <m/>
    <m/>
    <m/>
    <m/>
    <m/>
    <m/>
    <m/>
    <m/>
    <m/>
    <m/>
    <m/>
    <m/>
    <m/>
    <m/>
    <m/>
    <m/>
    <m/>
    <m/>
    <m/>
    <m/>
    <m/>
    <m/>
    <m/>
    <m/>
    <m/>
    <m/>
    <m/>
    <m/>
    <m/>
    <m/>
    <m/>
    <m/>
    <m/>
    <m/>
    <m/>
    <m/>
    <m/>
    <m/>
    <m/>
    <m/>
    <m/>
    <m/>
    <m/>
    <m/>
    <m/>
    <m/>
    <m/>
    <m/>
    <m/>
    <m/>
    <m/>
    <m/>
    <m/>
    <s v="Pricing &gt; Value for Money &gt;, Trade In &gt; Overall Process &gt;, Used &gt; Pricing &gt;"/>
    <s v="People &gt; Follow Up &gt;, Trade In &gt; Quote Price &gt;, Trade In &gt; Timeliness of Quote &gt;"/>
    <m/>
    <m/>
    <s v="Pricing &gt; Value for Money &gt; (Positive), Trade In &gt; Overall Process &gt; (Negative), Used &gt; Pricing &gt; (Positive)"/>
    <s v="People &gt; Follow Up &gt; (Positive), Trade In &gt; Quote Price &gt; (Positive), Trade In &gt; Timeliness of Quote &gt; (Negative)"/>
    <s v="Yes"/>
    <s v="No"/>
    <m/>
    <x v="31"/>
    <x v="18"/>
    <x v="4"/>
    <m/>
    <x v="0"/>
    <x v="0"/>
  </r>
  <r>
    <s v="Kathryn Merchant - Used Trade-In Product"/>
    <n v="10"/>
    <n v="5"/>
    <d v="2026-01-21T21:35:09"/>
    <n v="5153774"/>
    <s v="Used Trade-In Product"/>
    <m/>
    <s v="Kathryn Merchant"/>
    <m/>
    <s v="k.4thmerch@gmail.com"/>
    <m/>
    <m/>
    <m/>
    <m/>
    <s v="No"/>
    <m/>
    <m/>
    <s v="k.4thmerch@gmail.com"/>
    <m/>
    <m/>
    <m/>
    <m/>
    <m/>
    <m/>
    <m/>
    <m/>
    <m/>
    <d v="2026-01-22T10:25:53"/>
    <d v="2026-01-20T12:49:18"/>
    <m/>
    <s v="1133263"/>
    <m/>
    <m/>
    <m/>
    <m/>
    <m/>
    <m/>
    <m/>
    <m/>
    <m/>
    <m/>
    <m/>
    <m/>
    <m/>
    <m/>
    <m/>
    <m/>
    <m/>
    <m/>
    <m/>
    <m/>
    <m/>
    <m/>
    <s v="https://bnh.lightning.force.com/001WP00000oBSuIYAW"/>
    <m/>
    <m/>
    <m/>
    <m/>
    <m/>
    <m/>
    <m/>
    <m/>
    <m/>
    <m/>
    <m/>
    <m/>
    <m/>
    <m/>
    <m/>
    <m/>
    <m/>
    <m/>
    <m/>
    <m/>
    <m/>
    <m/>
    <m/>
    <m/>
    <m/>
    <m/>
    <m/>
    <m/>
    <m/>
    <m/>
    <m/>
    <m/>
    <m/>
    <m/>
    <m/>
    <m/>
    <m/>
    <m/>
    <s v="CAD"/>
    <m/>
    <s v="No"/>
    <s v="Andrea Garcia"/>
    <s v="Andrea Garcia"/>
    <d v="2026-01-21T21:32:14"/>
    <s v="Promoter"/>
    <s v="Closed"/>
    <m/>
    <m/>
    <s v="Yes"/>
    <m/>
    <m/>
    <m/>
    <m/>
    <m/>
    <m/>
    <m/>
    <m/>
    <m/>
    <m/>
    <m/>
    <m/>
    <m/>
    <m/>
    <m/>
    <m/>
    <s v="I like how simple the process is. And whoever I spoke to on the phone confirmed how simple it was. I was most pleased with their customer service"/>
    <m/>
    <m/>
    <m/>
    <m/>
    <s v="I have nothing to dislike. I felt informed and aware the whole process"/>
    <m/>
    <m/>
    <m/>
    <m/>
    <m/>
    <m/>
    <m/>
    <m/>
    <m/>
    <m/>
    <m/>
    <m/>
    <m/>
    <m/>
    <m/>
    <m/>
    <m/>
    <m/>
    <m/>
    <m/>
    <m/>
    <m/>
    <m/>
    <m/>
    <m/>
    <m/>
    <m/>
    <m/>
    <m/>
    <m/>
    <m/>
    <m/>
    <m/>
    <m/>
    <m/>
    <m/>
    <m/>
    <m/>
    <m/>
    <m/>
    <m/>
    <m/>
    <m/>
    <m/>
    <m/>
    <m/>
    <m/>
    <m/>
    <m/>
    <m/>
    <m/>
    <m/>
    <m/>
    <m/>
    <m/>
    <m/>
    <m/>
    <m/>
    <m/>
    <m/>
    <m/>
    <m/>
    <m/>
    <m/>
    <m/>
    <m/>
    <m/>
    <m/>
    <m/>
    <m/>
    <m/>
    <m/>
    <m/>
    <m/>
    <m/>
    <m/>
    <m/>
    <m/>
    <m/>
    <m/>
    <m/>
    <m/>
    <s v="I like how simple the process is. And whoever I spoke to on the phone confirmed how simple it was. I was most pleased with their customer service"/>
    <s v="I have nothing to dislike. I felt informed and aware the whole proc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People &gt; Helpful / Efficient &gt;, People &gt; Overall Satisfaction &gt;, Trade In &gt; Overall Process &gt;"/>
    <m/>
    <m/>
    <s v="Trade In &gt; Overall Process &gt; (Positive)"/>
    <s v="People &gt; Helpful / Efficient &gt; (Positive), People &gt; Overall Satisfaction &gt; (Positive), Trade In &gt; Overall Process &gt; (Positive)"/>
    <s v="Yes"/>
    <s v="No"/>
    <m/>
    <x v="5"/>
    <x v="2"/>
    <x v="0"/>
    <m/>
    <x v="0"/>
    <x v="0"/>
  </r>
  <r>
    <s v="Grigory Shimanskiy - Used Trade-In Product"/>
    <n v="10"/>
    <n v="5"/>
    <d v="2026-01-21T20:37:30"/>
    <n v="5153624"/>
    <s v="Used Trade-In Product"/>
    <m/>
    <s v="Grigory Shimanskiy"/>
    <m/>
    <s v="gshimansky@gmail.com"/>
    <m/>
    <m/>
    <m/>
    <s v="9 years 0 months"/>
    <s v="Yes"/>
    <m/>
    <m/>
    <s v="gshimansky@gmail.com"/>
    <s v="108"/>
    <m/>
    <m/>
    <m/>
    <m/>
    <m/>
    <m/>
    <m/>
    <m/>
    <d v="2026-01-22T10:42:33"/>
    <d v="2026-01-21T12:48:16"/>
    <m/>
    <s v="1132883"/>
    <m/>
    <m/>
    <m/>
    <m/>
    <m/>
    <m/>
    <m/>
    <m/>
    <m/>
    <m/>
    <m/>
    <m/>
    <m/>
    <m/>
    <m/>
    <m/>
    <m/>
    <m/>
    <m/>
    <m/>
    <m/>
    <m/>
    <s v="https://bnh.lightning.force.com/001WP00000o4ndZYAQ"/>
    <m/>
    <m/>
    <m/>
    <m/>
    <m/>
    <m/>
    <m/>
    <m/>
    <m/>
    <m/>
    <m/>
    <m/>
    <m/>
    <m/>
    <m/>
    <m/>
    <m/>
    <m/>
    <m/>
    <m/>
    <m/>
    <m/>
    <m/>
    <m/>
    <m/>
    <m/>
    <m/>
    <m/>
    <m/>
    <m/>
    <m/>
    <m/>
    <m/>
    <m/>
    <m/>
    <m/>
    <m/>
    <m/>
    <s v="CAD"/>
    <m/>
    <s v="No"/>
    <s v="Emily Schreier"/>
    <s v="Emily Schreier"/>
    <d v="2026-01-21T20:33:13"/>
    <s v="Promoter"/>
    <s v="Closed"/>
    <m/>
    <m/>
    <s v="Yes"/>
    <m/>
    <m/>
    <m/>
    <m/>
    <m/>
    <m/>
    <m/>
    <m/>
    <m/>
    <m/>
    <m/>
    <m/>
    <m/>
    <m/>
    <m/>
    <m/>
    <s v="Good price, wide selection"/>
    <m/>
    <m/>
    <m/>
    <m/>
    <s v="Payment could be done electronically via direct deposit but using check is ok too._x000a_Canon European models (e.g. Canon 550D) are not available, only US analogue (Canon Rebel T2i)."/>
    <m/>
    <m/>
    <m/>
    <m/>
    <m/>
    <m/>
    <m/>
    <m/>
    <m/>
    <m/>
    <m/>
    <m/>
    <m/>
    <m/>
    <m/>
    <m/>
    <m/>
    <m/>
    <m/>
    <m/>
    <m/>
    <m/>
    <m/>
    <m/>
    <m/>
    <m/>
    <m/>
    <m/>
    <m/>
    <m/>
    <m/>
    <m/>
    <m/>
    <m/>
    <m/>
    <m/>
    <m/>
    <m/>
    <m/>
    <m/>
    <m/>
    <m/>
    <m/>
    <m/>
    <m/>
    <m/>
    <m/>
    <m/>
    <m/>
    <m/>
    <m/>
    <m/>
    <m/>
    <m/>
    <m/>
    <m/>
    <m/>
    <m/>
    <m/>
    <m/>
    <m/>
    <m/>
    <m/>
    <m/>
    <m/>
    <m/>
    <m/>
    <m/>
    <m/>
    <m/>
    <m/>
    <m/>
    <m/>
    <m/>
    <m/>
    <m/>
    <m/>
    <m/>
    <m/>
    <m/>
    <m/>
    <m/>
    <s v="Good price, wide selection"/>
    <s v="Payment could be done electronically via direct deposit but using check is ok too._x000a_Canon European models (e.g. Canon 550D) are not available, only US analogue (Canon Rebel T2i)."/>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n v="5"/>
    <n v="5"/>
    <n v="4"/>
    <m/>
    <m/>
    <m/>
    <m/>
    <m/>
    <m/>
    <m/>
    <m/>
    <m/>
    <m/>
    <m/>
    <m/>
    <m/>
    <m/>
    <m/>
    <m/>
    <m/>
    <m/>
    <m/>
    <m/>
    <m/>
    <m/>
    <m/>
    <m/>
    <m/>
    <m/>
    <m/>
    <m/>
    <m/>
    <m/>
    <m/>
    <m/>
    <m/>
    <m/>
    <m/>
    <m/>
    <m/>
    <m/>
    <m/>
    <m/>
    <m/>
    <m/>
    <m/>
    <m/>
    <m/>
    <m/>
    <m/>
    <m/>
    <m/>
    <m/>
    <m/>
    <m/>
    <m/>
    <m/>
    <m/>
    <m/>
    <m/>
    <m/>
    <m/>
    <m/>
    <m/>
    <m/>
    <m/>
    <m/>
    <m/>
    <m/>
    <m/>
    <m/>
    <m/>
    <m/>
    <m/>
    <m/>
    <m/>
    <m/>
    <m/>
    <m/>
    <m/>
    <m/>
    <m/>
    <m/>
    <m/>
    <m/>
    <m/>
    <m/>
    <m/>
    <m/>
    <m/>
    <m/>
    <m/>
    <m/>
    <m/>
    <m/>
    <m/>
    <m/>
    <m/>
    <m/>
    <m/>
    <m/>
    <m/>
    <m/>
    <m/>
    <s v="Pricing &gt; Value for Money &gt;, Product &gt; Selection / Variety &gt;, Trade In &gt; Quote Price &gt;, Used &gt; Description &gt;, Used &gt; Pricing &gt;"/>
    <s v="Product &gt; Selection / Variety &gt;, Trade In &gt; Overall Process &gt;, Trade In &gt; Quote Price &gt;, Used &gt; Selection &gt;"/>
    <m/>
    <m/>
    <s v="Pricing &gt; Value for Money &gt; (Positive), Product &gt; Selection / Variety &gt; (Negative), Product &gt; Selection / Variety &gt; (Positive), Trade In &gt; Quote Price &gt; (Positive), Used &gt; Description &gt; (No opinion), Used &gt; Pricing &gt; (Positive)"/>
    <s v="Product &gt; Selection / Variety &gt; (Positive), Trade In &gt; Overall Process &gt; (Negative), Trade In &gt; Quote Price &gt; (Positive), Used &gt; Selection &gt; (Negative)"/>
    <s v="Yes"/>
    <s v="No"/>
    <m/>
    <x v="10"/>
    <x v="16"/>
    <x v="0"/>
    <m/>
    <x v="0"/>
    <x v="0"/>
  </r>
  <r>
    <s v="Paul Christiansen - Used Trade-In Product"/>
    <n v="10"/>
    <n v="5"/>
    <d v="2026-01-21T18:30:36"/>
    <n v="5153309"/>
    <s v="Used Trade-In Product"/>
    <m/>
    <s v="Paul Christiansen"/>
    <m/>
    <s v="pchristiansen@leblanc-schuster.com"/>
    <m/>
    <m/>
    <m/>
    <s v="2 years 0 months"/>
    <s v="No"/>
    <m/>
    <m/>
    <s v="pchristiansen@leblanc-schuster.com"/>
    <s v="24"/>
    <m/>
    <m/>
    <m/>
    <m/>
    <m/>
    <m/>
    <m/>
    <m/>
    <d v="2026-01-22T09:59:18"/>
    <d v="2026-01-21T15:20:29"/>
    <m/>
    <s v="1135429"/>
    <m/>
    <m/>
    <m/>
    <m/>
    <m/>
    <m/>
    <m/>
    <m/>
    <m/>
    <m/>
    <m/>
    <m/>
    <m/>
    <m/>
    <m/>
    <m/>
    <m/>
    <m/>
    <m/>
    <m/>
    <m/>
    <m/>
    <s v="https://bnh.lightning.force.com/0018X00003QBTaNQAX"/>
    <m/>
    <m/>
    <m/>
    <m/>
    <m/>
    <m/>
    <m/>
    <m/>
    <m/>
    <m/>
    <m/>
    <m/>
    <m/>
    <m/>
    <m/>
    <m/>
    <m/>
    <m/>
    <m/>
    <m/>
    <m/>
    <m/>
    <m/>
    <m/>
    <m/>
    <m/>
    <m/>
    <m/>
    <m/>
    <m/>
    <m/>
    <m/>
    <m/>
    <m/>
    <m/>
    <m/>
    <m/>
    <m/>
    <s v="CAD"/>
    <m/>
    <s v="No"/>
    <s v="Zane Bohnert"/>
    <s v="Zane Bohnert"/>
    <d v="2026-01-21T18:30:26"/>
    <s v="Promoter"/>
    <s v="Closed"/>
    <m/>
    <m/>
    <s v="Yes"/>
    <m/>
    <m/>
    <m/>
    <m/>
    <m/>
    <m/>
    <m/>
    <m/>
    <m/>
    <m/>
    <m/>
    <m/>
    <m/>
    <m/>
    <m/>
    <m/>
    <s v="Great customer service. I will use B&amp;H again!"/>
    <m/>
    <m/>
    <m/>
    <m/>
    <m/>
    <m/>
    <m/>
    <m/>
    <m/>
    <m/>
    <m/>
    <m/>
    <m/>
    <m/>
    <m/>
    <m/>
    <m/>
    <m/>
    <m/>
    <m/>
    <m/>
    <m/>
    <m/>
    <m/>
    <m/>
    <m/>
    <m/>
    <m/>
    <m/>
    <m/>
    <m/>
    <m/>
    <m/>
    <m/>
    <m/>
    <m/>
    <m/>
    <m/>
    <m/>
    <m/>
    <m/>
    <m/>
    <m/>
    <m/>
    <m/>
    <m/>
    <m/>
    <m/>
    <m/>
    <m/>
    <m/>
    <m/>
    <m/>
    <m/>
    <m/>
    <m/>
    <m/>
    <m/>
    <m/>
    <m/>
    <m/>
    <m/>
    <m/>
    <m/>
    <m/>
    <m/>
    <m/>
    <m/>
    <m/>
    <m/>
    <m/>
    <m/>
    <m/>
    <m/>
    <m/>
    <m/>
    <m/>
    <m/>
    <m/>
    <m/>
    <m/>
    <m/>
    <m/>
    <m/>
    <m/>
    <m/>
    <m/>
    <s v="Great customer service. I will use B&amp;H again!"/>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Overall Satisfaction &gt;, Used &gt; Description &gt;"/>
    <s v="B&amp;H &gt; Loyalty &gt;, People &gt; Overall Satisfaction &gt;"/>
    <m/>
    <m/>
    <s v="People &gt; Overall Satisfaction &gt; (Positive), Used &gt; Description &gt; (No opinion)"/>
    <s v="B&amp;H &gt; Loyalty &gt; (Positive), People &gt; Overall Satisfaction &gt; (Positive)"/>
    <s v="Yes"/>
    <s v="Yes"/>
    <m/>
    <x v="7"/>
    <x v="0"/>
    <x v="0"/>
    <m/>
    <x v="0"/>
    <x v="0"/>
  </r>
  <r>
    <s v="Mike Jingles - Used Trade-In Product"/>
    <n v="10"/>
    <n v="5"/>
    <d v="2026-01-21T18:29:05"/>
    <n v="5153306"/>
    <s v="Used Trade-In Product"/>
    <m/>
    <s v="Mike Jingles"/>
    <m/>
    <s v="mjingles@gmail.com"/>
    <m/>
    <m/>
    <m/>
    <s v="1 years 10 months"/>
    <s v="No"/>
    <m/>
    <m/>
    <s v="mjingles@gmail.com"/>
    <s v="22"/>
    <m/>
    <m/>
    <m/>
    <m/>
    <m/>
    <m/>
    <m/>
    <m/>
    <d v="2026-01-22T09:58:56"/>
    <d v="2026-01-21T12:45:07"/>
    <m/>
    <s v="1132096"/>
    <m/>
    <m/>
    <m/>
    <m/>
    <m/>
    <m/>
    <m/>
    <m/>
    <m/>
    <m/>
    <m/>
    <m/>
    <m/>
    <m/>
    <m/>
    <m/>
    <m/>
    <m/>
    <m/>
    <m/>
    <m/>
    <m/>
    <s v="https://bnh.lightning.force.com/001WP00000nfUkRYAU"/>
    <m/>
    <m/>
    <m/>
    <m/>
    <m/>
    <m/>
    <m/>
    <m/>
    <m/>
    <m/>
    <m/>
    <m/>
    <m/>
    <m/>
    <m/>
    <m/>
    <m/>
    <m/>
    <m/>
    <m/>
    <m/>
    <m/>
    <m/>
    <m/>
    <m/>
    <m/>
    <m/>
    <m/>
    <m/>
    <m/>
    <m/>
    <m/>
    <m/>
    <m/>
    <m/>
    <m/>
    <m/>
    <m/>
    <s v="CAD"/>
    <m/>
    <s v="No"/>
    <s v="Zane Bohnert"/>
    <s v="Zane Bohnert"/>
    <d v="2026-01-21T18:29:02"/>
    <s v="Promoter"/>
    <s v="Closed"/>
    <m/>
    <m/>
    <s v="Yes"/>
    <m/>
    <m/>
    <m/>
    <m/>
    <m/>
    <m/>
    <m/>
    <m/>
    <m/>
    <m/>
    <m/>
    <m/>
    <m/>
    <m/>
    <m/>
    <m/>
    <s v="Clear pricing"/>
    <m/>
    <m/>
    <m/>
    <m/>
    <s v="Would prefer digital payment"/>
    <m/>
    <m/>
    <m/>
    <m/>
    <m/>
    <m/>
    <m/>
    <m/>
    <m/>
    <m/>
    <m/>
    <m/>
    <m/>
    <m/>
    <m/>
    <m/>
    <m/>
    <m/>
    <m/>
    <m/>
    <m/>
    <m/>
    <m/>
    <m/>
    <m/>
    <m/>
    <m/>
    <m/>
    <m/>
    <m/>
    <m/>
    <m/>
    <m/>
    <m/>
    <m/>
    <m/>
    <m/>
    <m/>
    <m/>
    <m/>
    <m/>
    <m/>
    <m/>
    <m/>
    <m/>
    <m/>
    <m/>
    <m/>
    <m/>
    <m/>
    <m/>
    <m/>
    <m/>
    <m/>
    <m/>
    <m/>
    <m/>
    <m/>
    <m/>
    <m/>
    <m/>
    <m/>
    <m/>
    <m/>
    <m/>
    <m/>
    <m/>
    <m/>
    <m/>
    <m/>
    <m/>
    <m/>
    <m/>
    <m/>
    <m/>
    <m/>
    <m/>
    <m/>
    <m/>
    <m/>
    <m/>
    <m/>
    <s v="Clear pricing"/>
    <s v="Would prefer digital pay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Used &gt; Pricing &gt;"/>
    <s v="Trade In &gt; Overall Process &gt;, Trade In &gt; Quote Price &gt;"/>
    <m/>
    <m/>
    <s v="Used &gt; Pricing &gt; (Positive)"/>
    <s v="Trade In &gt; Overall Process &gt; (Negative), Trade In &gt; Quote Price &gt; (Positive)"/>
    <s v="Yes"/>
    <s v="Yes"/>
    <m/>
    <x v="45"/>
    <x v="16"/>
    <x v="0"/>
    <m/>
    <x v="0"/>
    <x v="0"/>
  </r>
  <r>
    <s v="Derek Claxton - Used Trade-In Product"/>
    <n v="10"/>
    <n v="5"/>
    <d v="2026-01-21T16:52:32"/>
    <n v="5153065"/>
    <s v="Used Trade-In Product"/>
    <m/>
    <s v="Derek Claxton"/>
    <m/>
    <s v="imstitches@yahoo.com"/>
    <m/>
    <m/>
    <m/>
    <s v="3 years 1 months"/>
    <s v="Yes"/>
    <m/>
    <m/>
    <s v="imstitches@yahoo.com"/>
    <s v="37"/>
    <m/>
    <m/>
    <m/>
    <m/>
    <m/>
    <m/>
    <m/>
    <m/>
    <d v="2026-01-22T08:15:17"/>
    <d v="2026-01-21T18:22:58"/>
    <m/>
    <s v="1133924"/>
    <m/>
    <m/>
    <m/>
    <m/>
    <m/>
    <m/>
    <m/>
    <m/>
    <m/>
    <m/>
    <m/>
    <m/>
    <m/>
    <m/>
    <m/>
    <m/>
    <m/>
    <m/>
    <m/>
    <m/>
    <m/>
    <m/>
    <s v="https://bnh.lightning.force.com/0018X000039f4Y5QAI"/>
    <m/>
    <m/>
    <m/>
    <m/>
    <m/>
    <m/>
    <m/>
    <m/>
    <m/>
    <m/>
    <m/>
    <m/>
    <m/>
    <m/>
    <m/>
    <m/>
    <m/>
    <m/>
    <m/>
    <m/>
    <m/>
    <m/>
    <m/>
    <m/>
    <m/>
    <m/>
    <m/>
    <m/>
    <m/>
    <m/>
    <m/>
    <m/>
    <m/>
    <m/>
    <m/>
    <m/>
    <m/>
    <m/>
    <s v="CAD"/>
    <m/>
    <s v="No"/>
    <s v="Aine Hoye"/>
    <s v="Aine Hoye"/>
    <d v="2026-01-21T16:51:47"/>
    <s v="Promoter"/>
    <s v="Closed"/>
    <m/>
    <m/>
    <s v="Yes"/>
    <m/>
    <m/>
    <m/>
    <m/>
    <m/>
    <m/>
    <m/>
    <m/>
    <m/>
    <m/>
    <m/>
    <m/>
    <m/>
    <m/>
    <m/>
    <m/>
    <s v="The automated process on my end. Not having to talk to or haggle with someone."/>
    <m/>
    <m/>
    <m/>
    <m/>
    <s v="There was nothing I disliked. Shipping took the longest, but that isn't B&amp;H fault."/>
    <m/>
    <m/>
    <m/>
    <m/>
    <m/>
    <m/>
    <m/>
    <m/>
    <m/>
    <m/>
    <m/>
    <m/>
    <m/>
    <m/>
    <m/>
    <m/>
    <m/>
    <m/>
    <m/>
    <m/>
    <m/>
    <m/>
    <m/>
    <m/>
    <m/>
    <m/>
    <m/>
    <m/>
    <m/>
    <m/>
    <m/>
    <m/>
    <m/>
    <m/>
    <m/>
    <m/>
    <m/>
    <m/>
    <m/>
    <m/>
    <m/>
    <m/>
    <m/>
    <m/>
    <m/>
    <m/>
    <m/>
    <m/>
    <m/>
    <m/>
    <m/>
    <m/>
    <m/>
    <m/>
    <m/>
    <m/>
    <m/>
    <m/>
    <m/>
    <m/>
    <m/>
    <m/>
    <m/>
    <m/>
    <m/>
    <m/>
    <m/>
    <m/>
    <m/>
    <m/>
    <m/>
    <m/>
    <m/>
    <m/>
    <m/>
    <m/>
    <m/>
    <m/>
    <m/>
    <m/>
    <m/>
    <m/>
    <s v="The automated process on my end. Not having to talk to or haggle with someone."/>
    <s v="There was nothing I disliked. Shipping took the longest, but that isn't B&amp;H faul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Warehouse Fulfillment &gt; Timeliness &gt;"/>
    <s v="Trade In &gt; Overall Process &gt;, Traffic &gt; Timeliness &gt;"/>
    <m/>
    <m/>
    <s v="Trade In &gt; Overall Process &gt; (No opinion), Warehouse Fulfillment &gt; Timeliness &gt; (No opinion)"/>
    <s v="Trade In &gt; Overall Process &gt; (Positive), Traffic &gt; Timeliness &gt; (Negative)"/>
    <s v="Yes"/>
    <s v="Yes"/>
    <m/>
    <x v="5"/>
    <x v="52"/>
    <x v="0"/>
    <m/>
    <x v="0"/>
    <x v="0"/>
  </r>
  <r>
    <s v="Sara Wherry - Used Trade-In Product"/>
    <n v="10"/>
    <n v="5"/>
    <d v="2026-01-21T16:40:28"/>
    <n v="5153041"/>
    <s v="Used Trade-In Product"/>
    <m/>
    <s v="Sara Wherry"/>
    <m/>
    <s v="sara.wherry@gmail.com"/>
    <m/>
    <m/>
    <m/>
    <s v="2 years 2 months"/>
    <s v="No"/>
    <m/>
    <m/>
    <s v="sara.wherry@gmail.com"/>
    <s v="26"/>
    <m/>
    <m/>
    <m/>
    <m/>
    <m/>
    <m/>
    <m/>
    <m/>
    <d v="2026-01-22T08:12:34"/>
    <d v="2026-01-21T12:47:42"/>
    <m/>
    <s v="1133463"/>
    <m/>
    <m/>
    <m/>
    <m/>
    <m/>
    <m/>
    <m/>
    <m/>
    <m/>
    <m/>
    <m/>
    <m/>
    <m/>
    <m/>
    <m/>
    <m/>
    <m/>
    <m/>
    <m/>
    <m/>
    <m/>
    <m/>
    <s v="https://bnh.lightning.force.com/001WP00000oJHVJYA4"/>
    <m/>
    <m/>
    <m/>
    <m/>
    <m/>
    <m/>
    <m/>
    <m/>
    <m/>
    <m/>
    <m/>
    <m/>
    <m/>
    <m/>
    <m/>
    <m/>
    <m/>
    <m/>
    <m/>
    <m/>
    <m/>
    <m/>
    <m/>
    <m/>
    <m/>
    <m/>
    <m/>
    <m/>
    <m/>
    <m/>
    <m/>
    <m/>
    <m/>
    <m/>
    <m/>
    <m/>
    <m/>
    <m/>
    <s v="CAD"/>
    <m/>
    <s v="No"/>
    <s v="Aine Hoye"/>
    <s v="Aine Hoye"/>
    <d v="2026-01-21T16:39:26"/>
    <s v="Promoter"/>
    <s v="Closed"/>
    <m/>
    <m/>
    <s v="Yes"/>
    <m/>
    <m/>
    <m/>
    <m/>
    <m/>
    <m/>
    <m/>
    <m/>
    <m/>
    <m/>
    <m/>
    <m/>
    <m/>
    <m/>
    <m/>
    <m/>
    <s v="It was easy to sell my equipment, and I am satisfied with the price I received"/>
    <m/>
    <m/>
    <m/>
    <m/>
    <s v="It did take longer than in the past for my equipment to be reviewed and a check sent. However, this was clearly communicated to me before I sent in my equipment."/>
    <m/>
    <m/>
    <m/>
    <m/>
    <m/>
    <m/>
    <m/>
    <m/>
    <m/>
    <m/>
    <m/>
    <m/>
    <m/>
    <m/>
    <m/>
    <m/>
    <m/>
    <m/>
    <m/>
    <m/>
    <m/>
    <m/>
    <m/>
    <m/>
    <m/>
    <m/>
    <m/>
    <m/>
    <m/>
    <m/>
    <m/>
    <m/>
    <m/>
    <m/>
    <m/>
    <m/>
    <m/>
    <m/>
    <m/>
    <m/>
    <m/>
    <m/>
    <m/>
    <m/>
    <m/>
    <m/>
    <m/>
    <m/>
    <m/>
    <m/>
    <m/>
    <m/>
    <m/>
    <m/>
    <m/>
    <m/>
    <m/>
    <m/>
    <m/>
    <m/>
    <m/>
    <m/>
    <m/>
    <m/>
    <m/>
    <m/>
    <m/>
    <m/>
    <m/>
    <m/>
    <m/>
    <m/>
    <m/>
    <m/>
    <m/>
    <m/>
    <m/>
    <m/>
    <m/>
    <m/>
    <m/>
    <m/>
    <s v="It was easy to sell my equipment, and I am satisfied with the price I received"/>
    <s v="It did take longer than in the past for my equipment to be reviewed and a check sent. However, this was clearly communicated to me before I sent in my equip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n v="4"/>
    <m/>
    <m/>
    <m/>
    <m/>
    <m/>
    <m/>
    <m/>
    <m/>
    <m/>
    <m/>
    <m/>
    <m/>
    <m/>
    <m/>
    <m/>
    <m/>
    <m/>
    <m/>
    <m/>
    <m/>
    <m/>
    <m/>
    <m/>
    <m/>
    <m/>
    <m/>
    <m/>
    <m/>
    <m/>
    <m/>
    <m/>
    <m/>
    <m/>
    <m/>
    <m/>
    <m/>
    <m/>
    <m/>
    <m/>
    <m/>
    <m/>
    <m/>
    <m/>
    <m/>
    <m/>
    <m/>
    <m/>
    <m/>
    <m/>
    <m/>
    <m/>
    <m/>
    <m/>
    <m/>
    <m/>
    <m/>
    <m/>
    <m/>
    <m/>
    <m/>
    <m/>
    <m/>
    <m/>
    <m/>
    <m/>
    <m/>
    <m/>
    <m/>
    <m/>
    <m/>
    <m/>
    <m/>
    <m/>
    <m/>
    <m/>
    <m/>
    <m/>
    <m/>
    <m/>
    <m/>
    <m/>
    <m/>
    <m/>
    <m/>
    <m/>
    <m/>
    <m/>
    <m/>
    <m/>
    <m/>
    <m/>
    <m/>
    <m/>
    <m/>
    <m/>
    <m/>
    <m/>
    <m/>
    <m/>
    <m/>
    <m/>
    <s v="Pricing &gt; Value for Money &gt;, Used &gt; Pricing &gt;"/>
    <s v="People &gt; Communication Skills &gt;, Trade In &gt; Overall Process &gt;, Trade In &gt; Quote Price &gt;, Trade In &gt; Timeliness of Payment &gt;, Trade In &gt; Timeliness of Quote &gt;"/>
    <m/>
    <m/>
    <s v="Pricing &gt; Value for Money &gt; (Positive), Used &gt; Pricing &gt; (Positive)"/>
    <s v="People &gt; Communication Skills &gt; (Positive), Trade In &gt; Overall Process &gt; (Positive), Trade In &gt; Quote Price &gt; (Positive), Trade In &gt; Timeliness of Payment &gt; (Negative), Trade In &gt; Timeliness of Quote &gt; (Negative)"/>
    <s v="Yes"/>
    <s v="No"/>
    <m/>
    <x v="0"/>
    <x v="15"/>
    <x v="4"/>
    <m/>
    <x v="0"/>
    <x v="0"/>
  </r>
  <r>
    <s v="Christopher Staurovsky - Used Trade-In Product"/>
    <n v="10"/>
    <n v="5"/>
    <d v="2026-01-21T15:03:52"/>
    <n v="5152817"/>
    <s v="Used Trade-In Product"/>
    <m/>
    <s v="Christopher Staurovsky"/>
    <m/>
    <s v="1stlbirdman@gmail.com"/>
    <m/>
    <m/>
    <m/>
    <s v="13 years 2 months"/>
    <s v="No"/>
    <m/>
    <m/>
    <s v="1stlbirdman@gmail.com"/>
    <s v="158"/>
    <m/>
    <m/>
    <m/>
    <m/>
    <m/>
    <m/>
    <m/>
    <m/>
    <d v="2026-01-22T09:23:17"/>
    <d v="2026-01-21T12:46:46"/>
    <m/>
    <s v="1132117"/>
    <m/>
    <m/>
    <m/>
    <m/>
    <m/>
    <m/>
    <m/>
    <m/>
    <m/>
    <m/>
    <m/>
    <m/>
    <m/>
    <m/>
    <m/>
    <m/>
    <m/>
    <m/>
    <m/>
    <m/>
    <m/>
    <m/>
    <s v="https://bnh.lightning.force.com/0012L000012L3mHQAS"/>
    <m/>
    <m/>
    <m/>
    <m/>
    <m/>
    <m/>
    <m/>
    <m/>
    <m/>
    <m/>
    <m/>
    <m/>
    <m/>
    <m/>
    <m/>
    <m/>
    <m/>
    <m/>
    <m/>
    <m/>
    <m/>
    <m/>
    <m/>
    <m/>
    <m/>
    <m/>
    <m/>
    <m/>
    <m/>
    <m/>
    <m/>
    <m/>
    <m/>
    <m/>
    <m/>
    <m/>
    <m/>
    <m/>
    <s v="CAD"/>
    <m/>
    <s v="No"/>
    <s v="Gershon Orenstein"/>
    <s v="Gershon Orenstein"/>
    <d v="2026-01-21T15:03:11"/>
    <s v="Promoter"/>
    <s v="Closed"/>
    <m/>
    <m/>
    <s v="Yes"/>
    <m/>
    <m/>
    <m/>
    <m/>
    <m/>
    <m/>
    <m/>
    <m/>
    <m/>
    <m/>
    <m/>
    <m/>
    <m/>
    <m/>
    <m/>
    <m/>
    <s v="Don was very helpful on the phone, expedited the process, thank you"/>
    <m/>
    <m/>
    <m/>
    <m/>
    <m/>
    <m/>
    <m/>
    <m/>
    <m/>
    <m/>
    <m/>
    <m/>
    <m/>
    <m/>
    <m/>
    <m/>
    <m/>
    <m/>
    <m/>
    <m/>
    <m/>
    <m/>
    <m/>
    <m/>
    <m/>
    <m/>
    <m/>
    <m/>
    <m/>
    <m/>
    <m/>
    <m/>
    <m/>
    <m/>
    <m/>
    <m/>
    <m/>
    <m/>
    <m/>
    <m/>
    <m/>
    <m/>
    <m/>
    <m/>
    <m/>
    <m/>
    <m/>
    <m/>
    <m/>
    <m/>
    <m/>
    <m/>
    <m/>
    <m/>
    <m/>
    <m/>
    <m/>
    <m/>
    <m/>
    <m/>
    <m/>
    <m/>
    <m/>
    <m/>
    <m/>
    <m/>
    <m/>
    <m/>
    <m/>
    <m/>
    <m/>
    <m/>
    <m/>
    <m/>
    <m/>
    <m/>
    <m/>
    <m/>
    <m/>
    <m/>
    <m/>
    <m/>
    <m/>
    <m/>
    <m/>
    <m/>
    <m/>
    <s v="Don was very helpful on the phone, expedited the process, thank you"/>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s v="People &gt; Helpful / Efficient &gt;, Trade In &gt; Overall Process &gt;"/>
    <s v="People &gt; Helpful / Efficient &gt;, Trade In &gt; Overall Process &gt;"/>
    <m/>
    <s v="POSITIVE"/>
    <s v="People &gt; Helpful / Efficient &gt; (Positive), Trade In &gt; Overall Process &gt; (Positive)"/>
    <s v="People &gt; Helpful / Efficient &gt; (Positive), Trade In &gt; Overall Process &gt; (Positive)"/>
    <s v="No"/>
    <s v="No"/>
    <m/>
    <x v="7"/>
    <x v="0"/>
    <x v="0"/>
    <m/>
    <x v="0"/>
    <x v="0"/>
  </r>
  <r>
    <s v="Brooke Nunley - Used Trade-In Product"/>
    <n v="10"/>
    <n v="4"/>
    <d v="2026-01-21T14:45:20"/>
    <n v="5152778"/>
    <s v="Used Trade-In Product"/>
    <m/>
    <s v="Brooke Nunley"/>
    <m/>
    <s v="brooke.nunley02@gmail.com"/>
    <m/>
    <m/>
    <m/>
    <m/>
    <s v="No"/>
    <m/>
    <m/>
    <s v="brooke.nunley02@gmail.com"/>
    <m/>
    <m/>
    <m/>
    <m/>
    <m/>
    <m/>
    <m/>
    <m/>
    <m/>
    <d v="2026-01-22T09:15:42"/>
    <d v="2026-01-20T20:25:40"/>
    <m/>
    <s v="1135366"/>
    <m/>
    <m/>
    <m/>
    <m/>
    <m/>
    <m/>
    <m/>
    <m/>
    <m/>
    <m/>
    <m/>
    <m/>
    <m/>
    <m/>
    <m/>
    <m/>
    <m/>
    <m/>
    <m/>
    <m/>
    <m/>
    <m/>
    <s v="https://bnh.lightning.force.com/001WP00000pAYOQYA4"/>
    <m/>
    <m/>
    <m/>
    <m/>
    <m/>
    <m/>
    <m/>
    <m/>
    <m/>
    <m/>
    <m/>
    <m/>
    <m/>
    <m/>
    <m/>
    <m/>
    <m/>
    <m/>
    <m/>
    <m/>
    <m/>
    <m/>
    <m/>
    <m/>
    <m/>
    <m/>
    <m/>
    <m/>
    <m/>
    <m/>
    <m/>
    <m/>
    <m/>
    <m/>
    <m/>
    <m/>
    <m/>
    <m/>
    <s v="CAD"/>
    <m/>
    <s v="No"/>
    <s v="Gershon Orenstein"/>
    <s v="Gershon Orenstein"/>
    <d v="2026-01-21T14:45:47"/>
    <s v="Promoter"/>
    <s v="Closed"/>
    <m/>
    <m/>
    <s v="Yes"/>
    <m/>
    <m/>
    <m/>
    <m/>
    <m/>
    <m/>
    <m/>
    <m/>
    <m/>
    <m/>
    <m/>
    <m/>
    <m/>
    <m/>
    <m/>
    <m/>
    <s v="Everything is so easy. I was hesistant sending in expensive lenses but the care and convenience of B&amp;H is worth it."/>
    <m/>
    <m/>
    <m/>
    <m/>
    <s v="It took some time to get my quote back but the proper communication was made and didn’t leave me in the dark or disappoint me"/>
    <m/>
    <m/>
    <m/>
    <m/>
    <m/>
    <m/>
    <m/>
    <m/>
    <m/>
    <m/>
    <m/>
    <m/>
    <m/>
    <m/>
    <m/>
    <m/>
    <m/>
    <m/>
    <m/>
    <m/>
    <m/>
    <m/>
    <m/>
    <m/>
    <m/>
    <m/>
    <m/>
    <m/>
    <m/>
    <m/>
    <m/>
    <m/>
    <m/>
    <m/>
    <m/>
    <m/>
    <m/>
    <m/>
    <m/>
    <m/>
    <m/>
    <m/>
    <m/>
    <m/>
    <m/>
    <m/>
    <m/>
    <m/>
    <m/>
    <m/>
    <m/>
    <m/>
    <m/>
    <m/>
    <m/>
    <m/>
    <m/>
    <m/>
    <m/>
    <m/>
    <m/>
    <m/>
    <m/>
    <m/>
    <m/>
    <m/>
    <m/>
    <m/>
    <m/>
    <m/>
    <m/>
    <m/>
    <m/>
    <m/>
    <m/>
    <m/>
    <m/>
    <m/>
    <m/>
    <m/>
    <m/>
    <m/>
    <s v="Everything is so easy. I was hesistant sending in expensive lenses but the care and convenience of B&amp;H is worth it."/>
    <s v="It took some time to get my quote back but the proper communication was made and didn’t leave me in the dark or disappoint 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s v="People &gt; Courtesy / Professional &gt;, Trade In &gt; Overall Process &gt;, Trade In &gt; Timeliness of Quote &gt;"/>
    <m/>
    <m/>
    <s v="Pricing &gt; Value for Money &gt; (No opinion), Trade In &gt; Overall Process &gt; (Negative)"/>
    <s v="People &gt; Courtesy / Professional &gt; (Positive), Trade In &gt; Overall Process &gt; (Positive), Trade In &gt; Timeliness of Quote &gt; (Negative)"/>
    <s v="Yes"/>
    <s v="No"/>
    <m/>
    <x v="0"/>
    <x v="4"/>
    <x v="18"/>
    <m/>
    <x v="0"/>
    <x v="0"/>
  </r>
  <r>
    <s v="Dinah Mack - Used Trade-In Product"/>
    <n v="10"/>
    <n v="5"/>
    <d v="2026-01-21T14:16:24"/>
    <n v="5152703"/>
    <s v="Used Trade-In Product"/>
    <m/>
    <s v="Dinah Mack"/>
    <m/>
    <s v="dinahmack3434@gmail.com"/>
    <m/>
    <m/>
    <m/>
    <s v="2 years 10 months"/>
    <s v="No"/>
    <m/>
    <m/>
    <s v="dinahmack3434@gmail.com"/>
    <s v="34"/>
    <m/>
    <m/>
    <m/>
    <m/>
    <m/>
    <m/>
    <m/>
    <m/>
    <d v="2026-01-22T07:57:12"/>
    <d v="2026-01-21T12:45:36"/>
    <m/>
    <s v="1134259"/>
    <m/>
    <m/>
    <m/>
    <m/>
    <m/>
    <m/>
    <m/>
    <m/>
    <m/>
    <m/>
    <m/>
    <m/>
    <m/>
    <m/>
    <m/>
    <m/>
    <m/>
    <m/>
    <m/>
    <m/>
    <m/>
    <m/>
    <s v="https://bnh.lightning.force.com/0018X00003EFq1cQAD"/>
    <m/>
    <m/>
    <m/>
    <m/>
    <m/>
    <m/>
    <m/>
    <m/>
    <m/>
    <m/>
    <m/>
    <m/>
    <m/>
    <m/>
    <m/>
    <m/>
    <m/>
    <m/>
    <m/>
    <m/>
    <m/>
    <m/>
    <m/>
    <m/>
    <m/>
    <m/>
    <m/>
    <m/>
    <m/>
    <m/>
    <m/>
    <m/>
    <m/>
    <m/>
    <m/>
    <m/>
    <m/>
    <m/>
    <s v="CAD"/>
    <m/>
    <s v="No"/>
    <s v="Zane Bohnert"/>
    <s v="Zane Bohnert"/>
    <d v="2026-01-21T14:16:52"/>
    <s v="Promoter"/>
    <s v="Closed"/>
    <m/>
    <m/>
    <s v="Yes"/>
    <m/>
    <m/>
    <m/>
    <m/>
    <m/>
    <m/>
    <m/>
    <m/>
    <m/>
    <m/>
    <m/>
    <m/>
    <m/>
    <m/>
    <m/>
    <m/>
    <s v="It was a very easy process to complete."/>
    <m/>
    <m/>
    <m/>
    <m/>
    <m/>
    <m/>
    <m/>
    <m/>
    <m/>
    <m/>
    <m/>
    <m/>
    <m/>
    <m/>
    <m/>
    <m/>
    <m/>
    <m/>
    <m/>
    <m/>
    <m/>
    <m/>
    <m/>
    <m/>
    <m/>
    <m/>
    <m/>
    <m/>
    <m/>
    <m/>
    <m/>
    <m/>
    <m/>
    <m/>
    <m/>
    <m/>
    <m/>
    <m/>
    <m/>
    <m/>
    <m/>
    <m/>
    <m/>
    <m/>
    <m/>
    <m/>
    <m/>
    <m/>
    <m/>
    <m/>
    <m/>
    <m/>
    <m/>
    <m/>
    <m/>
    <m/>
    <m/>
    <m/>
    <m/>
    <m/>
    <m/>
    <m/>
    <m/>
    <m/>
    <m/>
    <m/>
    <m/>
    <m/>
    <m/>
    <m/>
    <m/>
    <m/>
    <m/>
    <m/>
    <m/>
    <m/>
    <m/>
    <m/>
    <m/>
    <m/>
    <m/>
    <m/>
    <m/>
    <m/>
    <m/>
    <m/>
    <m/>
    <s v="It was a very easy process to comple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n v="5"/>
    <n v="5"/>
    <s v="N/A"/>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David Wyllie - Used Trade-In Product"/>
    <n v="10"/>
    <n v="5"/>
    <d v="2026-01-21T13:39:25"/>
    <n v="5152621"/>
    <s v="Used Trade-In Product"/>
    <m/>
    <s v="David Wyllie"/>
    <m/>
    <s v="davidwyllie89@gmail.com"/>
    <m/>
    <m/>
    <m/>
    <m/>
    <s v="No"/>
    <m/>
    <m/>
    <s v="davidwyllie89@gmail.com"/>
    <m/>
    <m/>
    <m/>
    <m/>
    <m/>
    <m/>
    <m/>
    <m/>
    <m/>
    <d v="2026-01-22T07:51:50"/>
    <d v="2026-01-21T12:48:12"/>
    <m/>
    <s v="1132658"/>
    <m/>
    <m/>
    <m/>
    <m/>
    <m/>
    <m/>
    <m/>
    <m/>
    <m/>
    <m/>
    <m/>
    <m/>
    <m/>
    <m/>
    <m/>
    <m/>
    <m/>
    <m/>
    <m/>
    <m/>
    <m/>
    <m/>
    <s v="https://bnh.lightning.force.com/001WP00000o1m1mYAA"/>
    <m/>
    <m/>
    <m/>
    <m/>
    <m/>
    <m/>
    <m/>
    <m/>
    <m/>
    <m/>
    <m/>
    <m/>
    <m/>
    <m/>
    <m/>
    <m/>
    <m/>
    <m/>
    <m/>
    <m/>
    <m/>
    <m/>
    <m/>
    <m/>
    <m/>
    <m/>
    <m/>
    <m/>
    <m/>
    <m/>
    <m/>
    <m/>
    <m/>
    <m/>
    <m/>
    <m/>
    <m/>
    <m/>
    <s v="CAD"/>
    <m/>
    <s v="No"/>
    <s v="Zane Bohnert"/>
    <s v="Zane Bohnert"/>
    <d v="2026-01-21T13:40:04"/>
    <s v="Promoter"/>
    <s v="Closed"/>
    <m/>
    <m/>
    <s v="Yes"/>
    <m/>
    <m/>
    <m/>
    <m/>
    <m/>
    <m/>
    <m/>
    <m/>
    <m/>
    <m/>
    <m/>
    <m/>
    <m/>
    <m/>
    <m/>
    <m/>
    <s v="Quick and easy."/>
    <m/>
    <m/>
    <m/>
    <m/>
    <m/>
    <m/>
    <m/>
    <m/>
    <m/>
    <m/>
    <m/>
    <m/>
    <m/>
    <m/>
    <m/>
    <m/>
    <m/>
    <m/>
    <m/>
    <m/>
    <m/>
    <m/>
    <m/>
    <m/>
    <m/>
    <m/>
    <m/>
    <m/>
    <m/>
    <m/>
    <m/>
    <m/>
    <m/>
    <m/>
    <m/>
    <m/>
    <m/>
    <m/>
    <m/>
    <m/>
    <m/>
    <m/>
    <m/>
    <m/>
    <m/>
    <m/>
    <m/>
    <m/>
    <m/>
    <m/>
    <m/>
    <m/>
    <m/>
    <m/>
    <m/>
    <m/>
    <m/>
    <m/>
    <m/>
    <m/>
    <m/>
    <m/>
    <m/>
    <m/>
    <m/>
    <m/>
    <m/>
    <m/>
    <m/>
    <m/>
    <m/>
    <m/>
    <m/>
    <m/>
    <m/>
    <m/>
    <m/>
    <m/>
    <m/>
    <m/>
    <m/>
    <m/>
    <m/>
    <m/>
    <m/>
    <m/>
    <m/>
    <s v="Quick and eas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Jerry Giordano - Used Trade-In Product"/>
    <n v="10"/>
    <n v="5"/>
    <d v="2026-01-21T13:06:08"/>
    <n v="5152504"/>
    <s v="Used Trade-In Product"/>
    <m/>
    <s v="Jerry Giordano"/>
    <m/>
    <s v="jtgiophoto@comcast.net"/>
    <m/>
    <m/>
    <m/>
    <s v="21 years 9 months"/>
    <s v="Yes"/>
    <m/>
    <m/>
    <s v="jtgiophoto@comcast.net"/>
    <s v="261"/>
    <m/>
    <m/>
    <m/>
    <m/>
    <m/>
    <m/>
    <m/>
    <m/>
    <d v="2026-01-21T13:54:37"/>
    <d v="2026-01-21T15:20:31"/>
    <m/>
    <s v="1136405"/>
    <m/>
    <m/>
    <m/>
    <m/>
    <m/>
    <m/>
    <m/>
    <m/>
    <m/>
    <m/>
    <m/>
    <m/>
    <m/>
    <m/>
    <m/>
    <m/>
    <m/>
    <m/>
    <m/>
    <m/>
    <m/>
    <m/>
    <s v="https://bnh.lightning.force.com/001WP00000prsd4YAA"/>
    <m/>
    <m/>
    <m/>
    <m/>
    <m/>
    <m/>
    <m/>
    <m/>
    <m/>
    <m/>
    <m/>
    <m/>
    <m/>
    <m/>
    <m/>
    <m/>
    <m/>
    <m/>
    <m/>
    <m/>
    <m/>
    <m/>
    <m/>
    <m/>
    <m/>
    <m/>
    <m/>
    <m/>
    <m/>
    <m/>
    <m/>
    <m/>
    <m/>
    <m/>
    <m/>
    <m/>
    <m/>
    <m/>
    <s v="CAD"/>
    <m/>
    <s v="No"/>
    <s v="Efrat Malachi"/>
    <s v="Efrat Malachi"/>
    <d v="2026-01-21T12:54:14"/>
    <s v="Promoter"/>
    <s v="Closed"/>
    <m/>
    <m/>
    <s v="Yes"/>
    <m/>
    <m/>
    <m/>
    <m/>
    <m/>
    <m/>
    <m/>
    <m/>
    <m/>
    <m/>
    <m/>
    <m/>
    <m/>
    <m/>
    <m/>
    <m/>
    <s v="The entire experience was simple and fast from start to finish."/>
    <m/>
    <m/>
    <m/>
    <m/>
    <s v="I can't say that I &quot;disliked&quot; any part of the process. I was slightly disappointed when I received the timing of the physical trade-in evaluation after receipt of the equipment at B&amp;H. But with that said, it wasn't terribly long and it was completely understandable with the volume that your processors have to work through."/>
    <m/>
    <m/>
    <m/>
    <m/>
    <m/>
    <m/>
    <m/>
    <m/>
    <m/>
    <m/>
    <m/>
    <m/>
    <m/>
    <m/>
    <m/>
    <m/>
    <m/>
    <m/>
    <m/>
    <m/>
    <m/>
    <m/>
    <m/>
    <m/>
    <m/>
    <m/>
    <m/>
    <m/>
    <m/>
    <m/>
    <m/>
    <m/>
    <m/>
    <m/>
    <m/>
    <m/>
    <m/>
    <m/>
    <m/>
    <m/>
    <m/>
    <m/>
    <m/>
    <m/>
    <m/>
    <m/>
    <m/>
    <m/>
    <m/>
    <m/>
    <m/>
    <m/>
    <m/>
    <m/>
    <m/>
    <m/>
    <m/>
    <m/>
    <m/>
    <m/>
    <m/>
    <m/>
    <m/>
    <m/>
    <m/>
    <m/>
    <m/>
    <m/>
    <m/>
    <m/>
    <m/>
    <m/>
    <m/>
    <m/>
    <m/>
    <m/>
    <m/>
    <m/>
    <m/>
    <m/>
    <m/>
    <m/>
    <s v="The entire experience was simple and fast from start to finish."/>
    <s v="I can't say that I &quot;disliked&quot; any part of the process. I was slightly disappointed when I received the timing of the physical trade-in evaluation after receipt of the equipment at B&amp;H. But with that said, it wasn't terribly long and it was completely understandable with the volume that your processors have to work throug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Negative)"/>
    <s v="Trade In &gt; Overall Process &gt; (Positive), Trade In &gt; Timeliness of Payment &gt; (Negative)"/>
    <s v="Yes"/>
    <s v="Yes"/>
    <m/>
    <x v="5"/>
    <x v="4"/>
    <x v="0"/>
    <m/>
    <x v="0"/>
    <x v="0"/>
  </r>
  <r>
    <s v="Janice Borodezt - Used Trade-In Product"/>
    <n v="10"/>
    <n v="5"/>
    <d v="2026-01-21T12:23:11"/>
    <n v="5152424"/>
    <s v="Used Trade-In Product"/>
    <m/>
    <s v="Janice Borodezt"/>
    <m/>
    <s v="jborodezt@yahoo.com"/>
    <m/>
    <m/>
    <m/>
    <m/>
    <s v="No"/>
    <m/>
    <m/>
    <s v="jborodezt@yahoo.com"/>
    <m/>
    <m/>
    <m/>
    <m/>
    <m/>
    <m/>
    <m/>
    <m/>
    <m/>
    <d v="2026-01-21T13:50:20"/>
    <d v="2026-01-21T12:46:59"/>
    <m/>
    <s v="1134524"/>
    <m/>
    <m/>
    <m/>
    <m/>
    <m/>
    <m/>
    <m/>
    <m/>
    <m/>
    <m/>
    <m/>
    <m/>
    <m/>
    <m/>
    <m/>
    <m/>
    <m/>
    <m/>
    <m/>
    <m/>
    <m/>
    <m/>
    <s v="https://bnh.lightning.force.com/0011a00000KZHk6AAH"/>
    <m/>
    <m/>
    <m/>
    <m/>
    <m/>
    <m/>
    <m/>
    <m/>
    <m/>
    <m/>
    <m/>
    <m/>
    <m/>
    <m/>
    <m/>
    <m/>
    <m/>
    <m/>
    <m/>
    <m/>
    <m/>
    <m/>
    <m/>
    <m/>
    <m/>
    <m/>
    <m/>
    <m/>
    <m/>
    <m/>
    <m/>
    <m/>
    <m/>
    <m/>
    <m/>
    <m/>
    <m/>
    <m/>
    <s v="CAD"/>
    <m/>
    <s v="No"/>
    <s v="Aine Hoye"/>
    <s v="Aine Hoye"/>
    <d v="2026-01-21T12:23:14"/>
    <s v="Promoter"/>
    <s v="Closed"/>
    <m/>
    <m/>
    <s v="Yes"/>
    <m/>
    <m/>
    <m/>
    <m/>
    <m/>
    <m/>
    <m/>
    <m/>
    <m/>
    <m/>
    <m/>
    <m/>
    <m/>
    <m/>
    <m/>
    <m/>
    <s v="B &amp; H did an outstanding job in providing me with a fair quote for my camera equipment and also expediting a check to me. Thank you B &amp; H Photo for a job well done."/>
    <m/>
    <m/>
    <m/>
    <m/>
    <m/>
    <m/>
    <m/>
    <m/>
    <m/>
    <m/>
    <m/>
    <m/>
    <m/>
    <m/>
    <m/>
    <m/>
    <m/>
    <m/>
    <m/>
    <m/>
    <m/>
    <m/>
    <m/>
    <m/>
    <m/>
    <m/>
    <m/>
    <m/>
    <m/>
    <m/>
    <m/>
    <m/>
    <m/>
    <m/>
    <m/>
    <m/>
    <m/>
    <m/>
    <m/>
    <m/>
    <m/>
    <m/>
    <m/>
    <m/>
    <m/>
    <m/>
    <m/>
    <m/>
    <m/>
    <m/>
    <m/>
    <m/>
    <m/>
    <m/>
    <m/>
    <m/>
    <m/>
    <m/>
    <m/>
    <m/>
    <m/>
    <m/>
    <m/>
    <m/>
    <m/>
    <m/>
    <m/>
    <m/>
    <m/>
    <m/>
    <m/>
    <m/>
    <m/>
    <m/>
    <m/>
    <m/>
    <m/>
    <m/>
    <m/>
    <m/>
    <m/>
    <m/>
    <m/>
    <m/>
    <m/>
    <m/>
    <m/>
    <s v="B &amp; H did an outstanding job in providing me with a fair quote for my camera equipment and also expediting a check to me. Thank you B &amp; H Photo for a job well d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Satisfaction &gt;, Trade In &gt; Quote Price &gt;, Trade In &gt; Timeliness of Payment &gt;"/>
    <m/>
    <s v="POSITIVE"/>
    <s v="Trade In &gt; Overall Process &gt; (Positive)"/>
    <s v="B&amp;H &gt; Satisfaction &gt; (Positive), Trade In &gt; Quote Price &gt; (Positive), Trade In &gt; Timeliness of Payment &gt; (Positive)"/>
    <s v="Yes"/>
    <s v="No"/>
    <m/>
    <x v="28"/>
    <x v="12"/>
    <x v="0"/>
    <m/>
    <x v="0"/>
    <x v="0"/>
  </r>
  <r>
    <s v="Lauren Dighton - Used Trade-In Product"/>
    <n v="10"/>
    <n v="5"/>
    <d v="2026-01-21T11:21:52"/>
    <n v="5152260"/>
    <s v="Used Trade-In Product"/>
    <m/>
    <s v="Lauren Dighton"/>
    <m/>
    <s v="ldighton2017@gmail.com"/>
    <m/>
    <m/>
    <m/>
    <m/>
    <s v="No"/>
    <m/>
    <m/>
    <s v="ldighton2017@gmail.com"/>
    <m/>
    <m/>
    <m/>
    <m/>
    <m/>
    <m/>
    <m/>
    <m/>
    <m/>
    <d v="2026-01-21T13:58:56"/>
    <d v="2025-12-30T12:57:30"/>
    <m/>
    <s v="1129334"/>
    <m/>
    <m/>
    <m/>
    <m/>
    <m/>
    <m/>
    <m/>
    <m/>
    <m/>
    <m/>
    <m/>
    <m/>
    <m/>
    <m/>
    <m/>
    <m/>
    <m/>
    <m/>
    <m/>
    <m/>
    <m/>
    <m/>
    <s v="https://bnh.lightning.force.com/001WP00000m7Sp5YAE"/>
    <m/>
    <m/>
    <m/>
    <m/>
    <m/>
    <m/>
    <m/>
    <m/>
    <m/>
    <m/>
    <m/>
    <m/>
    <m/>
    <m/>
    <m/>
    <m/>
    <m/>
    <m/>
    <m/>
    <m/>
    <m/>
    <m/>
    <m/>
    <m/>
    <m/>
    <m/>
    <m/>
    <m/>
    <m/>
    <m/>
    <m/>
    <m/>
    <m/>
    <m/>
    <m/>
    <m/>
    <m/>
    <m/>
    <s v="CAD"/>
    <m/>
    <s v="No"/>
    <s v="Emily Schreier"/>
    <s v="Emily Schreier"/>
    <d v="2026-01-21T11:22:14"/>
    <s v="Promoter"/>
    <s v="Closed"/>
    <m/>
    <m/>
    <s v="Yes"/>
    <m/>
    <m/>
    <m/>
    <m/>
    <m/>
    <m/>
    <m/>
    <m/>
    <m/>
    <m/>
    <m/>
    <m/>
    <m/>
    <m/>
    <m/>
    <m/>
    <s v="B&amp;H made my quote and selling process so easy!"/>
    <m/>
    <m/>
    <m/>
    <m/>
    <m/>
    <m/>
    <m/>
    <m/>
    <m/>
    <m/>
    <m/>
    <m/>
    <m/>
    <m/>
    <m/>
    <m/>
    <m/>
    <m/>
    <m/>
    <m/>
    <m/>
    <m/>
    <m/>
    <m/>
    <m/>
    <m/>
    <m/>
    <m/>
    <m/>
    <m/>
    <m/>
    <m/>
    <m/>
    <m/>
    <m/>
    <m/>
    <m/>
    <m/>
    <m/>
    <m/>
    <m/>
    <m/>
    <m/>
    <m/>
    <m/>
    <m/>
    <m/>
    <m/>
    <m/>
    <m/>
    <m/>
    <m/>
    <m/>
    <m/>
    <m/>
    <m/>
    <m/>
    <m/>
    <m/>
    <m/>
    <m/>
    <m/>
    <m/>
    <m/>
    <m/>
    <m/>
    <m/>
    <m/>
    <m/>
    <m/>
    <m/>
    <m/>
    <m/>
    <m/>
    <m/>
    <m/>
    <m/>
    <m/>
    <m/>
    <m/>
    <m/>
    <m/>
    <m/>
    <m/>
    <m/>
    <m/>
    <m/>
    <s v="B&amp;H made my quote and selling process so eas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Dan Dwelle - Used Trade-In Product"/>
    <n v="10"/>
    <n v="5"/>
    <d v="2026-01-21T10:51:49"/>
    <n v="5152160"/>
    <s v="Used Trade-In Product"/>
    <m/>
    <s v="Dan Dwelle"/>
    <m/>
    <s v="dd7320sf@icloud.com"/>
    <m/>
    <m/>
    <m/>
    <m/>
    <s v="No"/>
    <m/>
    <m/>
    <s v="dd7320sf@icloud.com"/>
    <m/>
    <m/>
    <m/>
    <m/>
    <m/>
    <m/>
    <m/>
    <m/>
    <m/>
    <d v="2026-01-21T15:02:21"/>
    <d v="2026-01-21T12:46:49"/>
    <m/>
    <s v="1133321"/>
    <m/>
    <m/>
    <m/>
    <m/>
    <m/>
    <m/>
    <m/>
    <m/>
    <m/>
    <m/>
    <m/>
    <m/>
    <m/>
    <m/>
    <m/>
    <m/>
    <m/>
    <m/>
    <m/>
    <m/>
    <m/>
    <m/>
    <s v="https://bnh.lightning.force.com/0012L00001Eas6SQAR"/>
    <m/>
    <m/>
    <m/>
    <m/>
    <m/>
    <m/>
    <m/>
    <m/>
    <m/>
    <m/>
    <m/>
    <m/>
    <m/>
    <m/>
    <m/>
    <m/>
    <m/>
    <m/>
    <m/>
    <m/>
    <m/>
    <m/>
    <m/>
    <m/>
    <m/>
    <m/>
    <m/>
    <m/>
    <m/>
    <m/>
    <m/>
    <m/>
    <m/>
    <m/>
    <m/>
    <m/>
    <m/>
    <m/>
    <s v="CAD"/>
    <m/>
    <s v="No"/>
    <s v="Nick Badame"/>
    <s v="Nick Badame"/>
    <d v="2026-01-21T10:50:45"/>
    <s v="Promoter"/>
    <s v="Closed"/>
    <m/>
    <m/>
    <s v="Yes"/>
    <m/>
    <m/>
    <m/>
    <m/>
    <m/>
    <m/>
    <m/>
    <m/>
    <m/>
    <m/>
    <m/>
    <m/>
    <m/>
    <m/>
    <m/>
    <m/>
    <s v="Likely the best online store on the Internet - not just for camera equipment, all retail."/>
    <m/>
    <m/>
    <m/>
    <m/>
    <s v="B&amp;H is exceptional."/>
    <m/>
    <m/>
    <m/>
    <m/>
    <m/>
    <m/>
    <m/>
    <m/>
    <m/>
    <m/>
    <m/>
    <m/>
    <m/>
    <m/>
    <m/>
    <m/>
    <m/>
    <m/>
    <m/>
    <m/>
    <m/>
    <m/>
    <m/>
    <m/>
    <m/>
    <m/>
    <m/>
    <m/>
    <m/>
    <m/>
    <m/>
    <m/>
    <m/>
    <m/>
    <m/>
    <m/>
    <m/>
    <m/>
    <m/>
    <m/>
    <m/>
    <m/>
    <m/>
    <m/>
    <m/>
    <m/>
    <m/>
    <m/>
    <m/>
    <m/>
    <m/>
    <m/>
    <m/>
    <m/>
    <m/>
    <m/>
    <m/>
    <m/>
    <m/>
    <m/>
    <m/>
    <m/>
    <m/>
    <m/>
    <m/>
    <m/>
    <m/>
    <m/>
    <m/>
    <m/>
    <m/>
    <m/>
    <m/>
    <m/>
    <m/>
    <m/>
    <m/>
    <m/>
    <m/>
    <m/>
    <m/>
    <m/>
    <s v="Likely the best online store on the Internet - not just for camera equipment, all retail."/>
    <s v="B&amp;H is exception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Website &gt; Overall Satisfaction &gt;"/>
    <m/>
    <m/>
    <m/>
    <s v="B&amp;H &gt; Satisfaction &gt; (Positive), Website &gt; Overall Satisfaction &gt; (Positive)"/>
    <s v="Yes"/>
    <s v="No"/>
    <m/>
    <x v="39"/>
    <x v="0"/>
    <x v="0"/>
    <m/>
    <x v="0"/>
    <x v="0"/>
  </r>
  <r>
    <s v="Terry Thiewes - Used Trade-In Product"/>
    <n v="10"/>
    <n v="5"/>
    <d v="2026-01-21T10:23:45"/>
    <n v="5152013"/>
    <s v="Used Trade-In Product"/>
    <m/>
    <s v="Terry Thiewes"/>
    <m/>
    <s v="tthiewes@gmail.com"/>
    <m/>
    <m/>
    <m/>
    <s v="20 years 4 months"/>
    <s v="No"/>
    <m/>
    <m/>
    <s v="tthiewes@gmail.com"/>
    <s v="244"/>
    <m/>
    <m/>
    <m/>
    <m/>
    <m/>
    <m/>
    <m/>
    <m/>
    <d v="2026-01-21T13:51:34"/>
    <d v="2026-01-21T12:44:48"/>
    <m/>
    <s v="1132410"/>
    <m/>
    <m/>
    <m/>
    <m/>
    <m/>
    <m/>
    <m/>
    <m/>
    <m/>
    <m/>
    <m/>
    <m/>
    <m/>
    <m/>
    <m/>
    <m/>
    <m/>
    <m/>
    <m/>
    <m/>
    <m/>
    <m/>
    <s v="https://bnh.lightning.force.com/0011a00000WFHq0AAH"/>
    <m/>
    <m/>
    <m/>
    <m/>
    <m/>
    <m/>
    <m/>
    <m/>
    <m/>
    <m/>
    <m/>
    <m/>
    <m/>
    <m/>
    <m/>
    <m/>
    <m/>
    <m/>
    <m/>
    <m/>
    <m/>
    <m/>
    <m/>
    <m/>
    <m/>
    <m/>
    <m/>
    <m/>
    <m/>
    <m/>
    <m/>
    <m/>
    <m/>
    <m/>
    <m/>
    <m/>
    <m/>
    <m/>
    <s v="CAD"/>
    <m/>
    <s v="No"/>
    <s v="Nick Badame"/>
    <s v="Nick Badame"/>
    <d v="2026-01-21T10:09:06"/>
    <s v="Promoter"/>
    <s v="Closed"/>
    <m/>
    <m/>
    <s v="Yes"/>
    <m/>
    <m/>
    <m/>
    <m/>
    <m/>
    <m/>
    <m/>
    <m/>
    <m/>
    <m/>
    <m/>
    <m/>
    <m/>
    <m/>
    <m/>
    <m/>
    <s v="I have bought from and sold to B&amp;H many things over many years.  They are the leading support for my photography hobby. _x000a_   They have and maintain, the cleanest, easiest to use, web site in the industry plus their product summaries, their specifications listings and customer reviews are key to all my hobby purchase decisions.  _x000a__x000a_   Thanks so much everyone. _x000a__x000a_Terry Thiewes"/>
    <m/>
    <m/>
    <m/>
    <m/>
    <s v="Not a thing"/>
    <m/>
    <m/>
    <m/>
    <m/>
    <m/>
    <m/>
    <m/>
    <m/>
    <m/>
    <m/>
    <m/>
    <m/>
    <m/>
    <m/>
    <m/>
    <m/>
    <m/>
    <m/>
    <m/>
    <m/>
    <m/>
    <m/>
    <m/>
    <m/>
    <m/>
    <m/>
    <m/>
    <m/>
    <m/>
    <m/>
    <m/>
    <m/>
    <m/>
    <m/>
    <m/>
    <m/>
    <m/>
    <m/>
    <m/>
    <m/>
    <m/>
    <m/>
    <m/>
    <m/>
    <m/>
    <m/>
    <m/>
    <m/>
    <m/>
    <m/>
    <m/>
    <m/>
    <m/>
    <m/>
    <m/>
    <m/>
    <m/>
    <m/>
    <m/>
    <m/>
    <m/>
    <m/>
    <m/>
    <m/>
    <m/>
    <m/>
    <m/>
    <m/>
    <m/>
    <m/>
    <m/>
    <m/>
    <m/>
    <m/>
    <m/>
    <m/>
    <m/>
    <m/>
    <m/>
    <m/>
    <m/>
    <m/>
    <s v="I have bought from and sold to B&amp;H many things over many years.  They are the leading support for my photography hobby. _x000a_   They have and maintain, the cleanest, easiest to use, web site in the industry plus their product summaries, their specifications listings and customer reviews are key to all my hobby purchase decisions.  _x000a__x000a_   Thanks so much everyone. _x000a__x000a_Terry Thiewes"/>
    <s v="Not a 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Used &gt; Description &gt;"/>
    <s v="B&amp;H &gt; Loyalty &gt;, B&amp;H &gt; Satisfaction &gt;, Website &gt; Content Product Details / Information &gt;, Website &gt; Overall Satisfaction &gt;, Website &gt; Product Reviews &gt;"/>
    <m/>
    <m/>
    <s v="Used &gt; Description &gt; (Positive)"/>
    <s v="B&amp;H &gt; Loyalty &gt; (Positive), B&amp;H &gt; Satisfaction &gt; (Positive), Website &gt; Content Product Details / Information &gt; (Positive), Website &gt; Overall Satisfaction &gt; (Positive), Website &gt; Product Reviews &gt; (Positive)"/>
    <s v="Yes"/>
    <s v="Yes"/>
    <m/>
    <x v="25"/>
    <x v="0"/>
    <x v="0"/>
    <m/>
    <x v="0"/>
    <x v="0"/>
  </r>
  <r>
    <s v="Jian Chen - Used Trade-In Product"/>
    <n v="10"/>
    <n v="5"/>
    <d v="2026-01-21T09:54:44"/>
    <n v="5151939"/>
    <s v="Used Trade-In Product"/>
    <m/>
    <s v="Jian Chen"/>
    <m/>
    <s v="koalacj@gmail.com"/>
    <m/>
    <m/>
    <m/>
    <s v="13 years 10 months"/>
    <s v="Yes"/>
    <m/>
    <m/>
    <s v="koalacj@gmail.com"/>
    <s v="166"/>
    <m/>
    <m/>
    <m/>
    <m/>
    <m/>
    <m/>
    <m/>
    <m/>
    <d v="2026-01-21T13:57:19"/>
    <d v="2026-01-21T12:45:05"/>
    <m/>
    <s v="1135054"/>
    <m/>
    <m/>
    <m/>
    <m/>
    <m/>
    <m/>
    <m/>
    <m/>
    <m/>
    <m/>
    <m/>
    <m/>
    <m/>
    <m/>
    <m/>
    <m/>
    <m/>
    <m/>
    <m/>
    <m/>
    <m/>
    <m/>
    <s v="https://bnh.lightning.force.com/0012L000012KAzMQAW"/>
    <m/>
    <m/>
    <m/>
    <m/>
    <m/>
    <m/>
    <m/>
    <m/>
    <m/>
    <m/>
    <m/>
    <m/>
    <m/>
    <m/>
    <m/>
    <m/>
    <m/>
    <m/>
    <m/>
    <m/>
    <m/>
    <m/>
    <m/>
    <m/>
    <m/>
    <m/>
    <m/>
    <m/>
    <m/>
    <m/>
    <m/>
    <m/>
    <m/>
    <m/>
    <m/>
    <m/>
    <m/>
    <m/>
    <s v="CAD"/>
    <m/>
    <s v="No"/>
    <s v="Gershon Orenstein"/>
    <s v="Gershon Orenstein"/>
    <d v="2026-01-21T09:53:43"/>
    <s v="Promoter"/>
    <s v="Closed"/>
    <m/>
    <m/>
    <s v="Yes"/>
    <m/>
    <m/>
    <m/>
    <m/>
    <m/>
    <m/>
    <m/>
    <m/>
    <m/>
    <m/>
    <m/>
    <m/>
    <m/>
    <m/>
    <m/>
    <m/>
    <s v="Professional you can trust"/>
    <m/>
    <m/>
    <m/>
    <m/>
    <s v="No right now"/>
    <m/>
    <m/>
    <m/>
    <m/>
    <m/>
    <m/>
    <m/>
    <m/>
    <m/>
    <m/>
    <m/>
    <m/>
    <m/>
    <m/>
    <m/>
    <m/>
    <m/>
    <m/>
    <m/>
    <m/>
    <m/>
    <m/>
    <m/>
    <m/>
    <m/>
    <m/>
    <m/>
    <m/>
    <m/>
    <m/>
    <m/>
    <m/>
    <m/>
    <m/>
    <m/>
    <m/>
    <m/>
    <m/>
    <m/>
    <m/>
    <m/>
    <m/>
    <m/>
    <m/>
    <m/>
    <m/>
    <m/>
    <m/>
    <m/>
    <m/>
    <m/>
    <m/>
    <m/>
    <m/>
    <m/>
    <m/>
    <m/>
    <m/>
    <m/>
    <m/>
    <m/>
    <m/>
    <m/>
    <m/>
    <m/>
    <m/>
    <m/>
    <m/>
    <m/>
    <m/>
    <m/>
    <m/>
    <m/>
    <m/>
    <m/>
    <m/>
    <m/>
    <m/>
    <m/>
    <m/>
    <m/>
    <m/>
    <s v="Professional you can trust"/>
    <s v="No right no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s v="B&amp;H &gt; Reliable / Trustworthy &gt;, People &gt; Courtesy / Professional &gt;"/>
    <m/>
    <m/>
    <s v="B&amp;H &gt; Reliable / Trustworthy &gt; (Positive)"/>
    <s v="B&amp;H &gt; Reliable / Trustworthy &gt; (Positive), People &gt; Courtesy / Professional &gt; (Positive)"/>
    <s v="Yes"/>
    <s v="No"/>
    <m/>
    <x v="16"/>
    <x v="42"/>
    <x v="0"/>
    <m/>
    <x v="0"/>
    <x v="0"/>
  </r>
  <r>
    <s v="Juan Vazquez-Leddon - Used Trade-In Product"/>
    <n v="10"/>
    <n v="5"/>
    <d v="2026-01-20T19:58:27"/>
    <n v="5150821"/>
    <s v="Used Trade-In Product"/>
    <m/>
    <s v="Juan Vazquez-Leddon"/>
    <m/>
    <s v="juan@juanv.net"/>
    <m/>
    <m/>
    <m/>
    <s v="5 years 10 months"/>
    <s v="Yes"/>
    <m/>
    <m/>
    <s v="juan@juanv.net"/>
    <s v="70"/>
    <m/>
    <m/>
    <m/>
    <m/>
    <m/>
    <m/>
    <m/>
    <m/>
    <d v="2026-01-21T09:32:14"/>
    <d v="2026-01-20T19:24:29"/>
    <m/>
    <s v="1135913"/>
    <m/>
    <m/>
    <m/>
    <m/>
    <m/>
    <m/>
    <m/>
    <m/>
    <m/>
    <m/>
    <m/>
    <m/>
    <m/>
    <m/>
    <m/>
    <m/>
    <m/>
    <m/>
    <m/>
    <m/>
    <m/>
    <m/>
    <s v="https://bnh.lightning.force.com/001WP00000pVsa4YAC"/>
    <m/>
    <m/>
    <m/>
    <m/>
    <m/>
    <m/>
    <m/>
    <m/>
    <m/>
    <m/>
    <m/>
    <m/>
    <m/>
    <m/>
    <m/>
    <m/>
    <m/>
    <m/>
    <m/>
    <m/>
    <m/>
    <m/>
    <m/>
    <m/>
    <m/>
    <m/>
    <m/>
    <m/>
    <m/>
    <m/>
    <m/>
    <m/>
    <m/>
    <m/>
    <m/>
    <m/>
    <m/>
    <m/>
    <s v="CAD"/>
    <m/>
    <s v="No"/>
    <s v="Efrat Malachi"/>
    <s v="Efrat Malachi"/>
    <d v="2026-01-20T19:58:28"/>
    <s v="Promoter"/>
    <s v="Closed"/>
    <m/>
    <m/>
    <s v="Yes"/>
    <m/>
    <m/>
    <m/>
    <m/>
    <m/>
    <m/>
    <m/>
    <m/>
    <m/>
    <m/>
    <m/>
    <m/>
    <m/>
    <m/>
    <m/>
    <m/>
    <s v="It was easy, really easy."/>
    <m/>
    <m/>
    <m/>
    <m/>
    <s v="Nothing so far..."/>
    <m/>
    <m/>
    <m/>
    <m/>
    <m/>
    <m/>
    <m/>
    <m/>
    <m/>
    <m/>
    <m/>
    <m/>
    <m/>
    <m/>
    <m/>
    <m/>
    <m/>
    <m/>
    <m/>
    <m/>
    <m/>
    <m/>
    <m/>
    <m/>
    <m/>
    <m/>
    <m/>
    <m/>
    <m/>
    <m/>
    <m/>
    <m/>
    <m/>
    <m/>
    <m/>
    <m/>
    <m/>
    <m/>
    <m/>
    <m/>
    <m/>
    <m/>
    <m/>
    <m/>
    <m/>
    <m/>
    <m/>
    <m/>
    <m/>
    <m/>
    <m/>
    <m/>
    <m/>
    <m/>
    <m/>
    <m/>
    <m/>
    <m/>
    <m/>
    <m/>
    <m/>
    <m/>
    <m/>
    <m/>
    <m/>
    <m/>
    <m/>
    <m/>
    <m/>
    <m/>
    <m/>
    <m/>
    <m/>
    <m/>
    <m/>
    <m/>
    <m/>
    <m/>
    <m/>
    <m/>
    <m/>
    <m/>
    <s v="It was easy, really easy."/>
    <s v="Nothing so fa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Vincent Ventimiglia - Used Trade-In Product"/>
    <n v="10"/>
    <n v="5"/>
    <d v="2026-01-20T18:49:10"/>
    <n v="5150571"/>
    <s v="Used Trade-In Product"/>
    <m/>
    <s v="Vincent Ventimiglia"/>
    <m/>
    <s v="vventimiglia1984@gmail.com"/>
    <m/>
    <m/>
    <m/>
    <s v="2 years 1 months"/>
    <s v="Yes"/>
    <m/>
    <m/>
    <s v="vventimiglia1984@gmail.com"/>
    <s v="25"/>
    <m/>
    <m/>
    <m/>
    <m/>
    <m/>
    <m/>
    <m/>
    <m/>
    <d v="2026-01-21T09:50:39"/>
    <d v="2026-01-20T21:25:23"/>
    <m/>
    <s v="1136158"/>
    <m/>
    <m/>
    <m/>
    <m/>
    <m/>
    <m/>
    <m/>
    <m/>
    <m/>
    <m/>
    <m/>
    <m/>
    <m/>
    <m/>
    <m/>
    <m/>
    <m/>
    <m/>
    <m/>
    <m/>
    <m/>
    <m/>
    <s v="https://bnh.lightning.force.com/0018X00003PZL14QAH"/>
    <m/>
    <m/>
    <m/>
    <m/>
    <m/>
    <m/>
    <m/>
    <m/>
    <m/>
    <m/>
    <m/>
    <m/>
    <m/>
    <m/>
    <m/>
    <m/>
    <m/>
    <m/>
    <m/>
    <m/>
    <m/>
    <m/>
    <m/>
    <m/>
    <m/>
    <m/>
    <m/>
    <m/>
    <m/>
    <m/>
    <m/>
    <m/>
    <m/>
    <m/>
    <m/>
    <m/>
    <m/>
    <m/>
    <s v="CAD"/>
    <m/>
    <s v="No"/>
    <s v="Zane Bohnert"/>
    <s v="Zane Bohnert"/>
    <d v="2026-01-20T18:49:24"/>
    <s v="Promoter"/>
    <s v="Closed"/>
    <m/>
    <m/>
    <s v="Yes"/>
    <m/>
    <m/>
    <m/>
    <m/>
    <m/>
    <m/>
    <m/>
    <m/>
    <m/>
    <m/>
    <m/>
    <m/>
    <m/>
    <m/>
    <m/>
    <m/>
    <s v="Everything was very smooth."/>
    <m/>
    <m/>
    <m/>
    <m/>
    <s v="Time to get final price was a bit on the long side."/>
    <m/>
    <m/>
    <m/>
    <m/>
    <m/>
    <m/>
    <m/>
    <m/>
    <m/>
    <m/>
    <m/>
    <m/>
    <m/>
    <m/>
    <m/>
    <m/>
    <m/>
    <m/>
    <m/>
    <m/>
    <m/>
    <m/>
    <m/>
    <m/>
    <m/>
    <m/>
    <m/>
    <m/>
    <m/>
    <m/>
    <m/>
    <m/>
    <m/>
    <m/>
    <m/>
    <m/>
    <m/>
    <m/>
    <m/>
    <m/>
    <m/>
    <m/>
    <m/>
    <m/>
    <m/>
    <m/>
    <m/>
    <m/>
    <m/>
    <m/>
    <m/>
    <m/>
    <m/>
    <m/>
    <m/>
    <m/>
    <m/>
    <m/>
    <m/>
    <m/>
    <m/>
    <m/>
    <m/>
    <m/>
    <m/>
    <m/>
    <m/>
    <m/>
    <m/>
    <m/>
    <m/>
    <m/>
    <m/>
    <m/>
    <m/>
    <m/>
    <m/>
    <m/>
    <m/>
    <m/>
    <m/>
    <m/>
    <s v="Everything was very smooth."/>
    <s v="Time to get final price was a bit on the long sid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Used &gt; Pricing &gt;"/>
    <s v="Trade In &gt; Overall Process &gt;, Trade In &gt; Timeliness of Quote &gt;"/>
    <m/>
    <m/>
    <s v="Used &gt; Pricing &gt; (Negative)"/>
    <s v="Trade In &gt; Overall Process &gt; (Positive), Trade In &gt; Timeliness of Quote &gt; (Negative)"/>
    <s v="Yes"/>
    <s v="No"/>
    <m/>
    <x v="5"/>
    <x v="4"/>
    <x v="0"/>
    <m/>
    <x v="0"/>
    <x v="0"/>
  </r>
  <r>
    <s v="Robert Kang - Used Trade-In Product"/>
    <n v="10"/>
    <n v="4"/>
    <d v="2026-01-20T18:00:09"/>
    <n v="5150461"/>
    <s v="Used Trade-In Product"/>
    <m/>
    <s v="Robert Kang"/>
    <m/>
    <s v="robertkangmd@gmail.com"/>
    <m/>
    <m/>
    <m/>
    <s v="11 years 4 months"/>
    <s v="No"/>
    <m/>
    <m/>
    <s v="robertkangmd@gmail.com"/>
    <s v="136"/>
    <m/>
    <m/>
    <m/>
    <m/>
    <m/>
    <m/>
    <m/>
    <m/>
    <d v="2026-01-21T09:42:35"/>
    <d v="2026-01-20T12:48:06"/>
    <m/>
    <s v="1132611"/>
    <m/>
    <m/>
    <m/>
    <m/>
    <m/>
    <m/>
    <m/>
    <m/>
    <m/>
    <m/>
    <m/>
    <m/>
    <m/>
    <m/>
    <m/>
    <m/>
    <m/>
    <m/>
    <m/>
    <m/>
    <m/>
    <m/>
    <s v="https://bnh.lightning.force.com/0011a00000mJYz1AAG"/>
    <m/>
    <m/>
    <m/>
    <m/>
    <m/>
    <m/>
    <m/>
    <m/>
    <m/>
    <m/>
    <m/>
    <m/>
    <m/>
    <m/>
    <m/>
    <m/>
    <m/>
    <m/>
    <m/>
    <m/>
    <m/>
    <m/>
    <m/>
    <m/>
    <m/>
    <m/>
    <m/>
    <m/>
    <m/>
    <m/>
    <m/>
    <m/>
    <m/>
    <m/>
    <m/>
    <m/>
    <m/>
    <m/>
    <s v="CAD"/>
    <m/>
    <s v="No"/>
    <s v="Gershon Orenstein"/>
    <s v="Gershon Orenstein"/>
    <d v="2026-01-20T17:59:35"/>
    <s v="Promoter"/>
    <s v="Closed"/>
    <m/>
    <m/>
    <s v="Yes"/>
    <m/>
    <m/>
    <m/>
    <m/>
    <m/>
    <m/>
    <m/>
    <m/>
    <m/>
    <m/>
    <m/>
    <m/>
    <m/>
    <m/>
    <m/>
    <m/>
    <s v="It's a relatively easy process."/>
    <m/>
    <m/>
    <m/>
    <m/>
    <s v="Would like to have been paid more."/>
    <m/>
    <m/>
    <m/>
    <m/>
    <m/>
    <m/>
    <m/>
    <m/>
    <m/>
    <m/>
    <m/>
    <m/>
    <m/>
    <m/>
    <m/>
    <m/>
    <m/>
    <m/>
    <m/>
    <m/>
    <m/>
    <m/>
    <m/>
    <m/>
    <m/>
    <m/>
    <m/>
    <m/>
    <m/>
    <m/>
    <m/>
    <m/>
    <m/>
    <m/>
    <m/>
    <m/>
    <m/>
    <m/>
    <m/>
    <m/>
    <m/>
    <m/>
    <m/>
    <m/>
    <m/>
    <m/>
    <m/>
    <m/>
    <m/>
    <m/>
    <m/>
    <m/>
    <m/>
    <m/>
    <m/>
    <m/>
    <m/>
    <m/>
    <m/>
    <m/>
    <m/>
    <m/>
    <m/>
    <m/>
    <m/>
    <m/>
    <m/>
    <m/>
    <m/>
    <m/>
    <m/>
    <m/>
    <m/>
    <m/>
    <m/>
    <m/>
    <m/>
    <m/>
    <m/>
    <m/>
    <m/>
    <m/>
    <s v="It's a relatively easy process."/>
    <s v="Would like to have been paid mo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4"/>
    <n v="4"/>
    <n v="3"/>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Positive)"/>
    <s v="Trade In &gt; Overall Process &gt; (Positive), Trade In &gt; Quote Price &gt; (Negative)"/>
    <s v="Yes"/>
    <s v="No"/>
    <m/>
    <x v="0"/>
    <x v="8"/>
    <x v="0"/>
    <m/>
    <x v="0"/>
    <x v="0"/>
  </r>
  <r>
    <s v="David Kabot - Used Trade-In Product"/>
    <n v="10"/>
    <n v="5"/>
    <d v="2026-01-20T15:43:23"/>
    <n v="5150151"/>
    <s v="Used Trade-In Product"/>
    <m/>
    <s v="David Kabot"/>
    <m/>
    <s v="davikabo@gmail.com"/>
    <m/>
    <m/>
    <m/>
    <s v="12 years 0 months"/>
    <s v="No"/>
    <m/>
    <m/>
    <s v="davikabo@gmail.com"/>
    <s v="144"/>
    <m/>
    <m/>
    <m/>
    <m/>
    <m/>
    <m/>
    <m/>
    <m/>
    <d v="2026-01-20T15:56:39"/>
    <d v="2026-01-20T12:50:38"/>
    <m/>
    <s v="1132715"/>
    <m/>
    <m/>
    <m/>
    <m/>
    <m/>
    <m/>
    <m/>
    <m/>
    <m/>
    <m/>
    <m/>
    <m/>
    <m/>
    <m/>
    <m/>
    <m/>
    <m/>
    <m/>
    <m/>
    <m/>
    <m/>
    <m/>
    <s v="https://bnh.lightning.force.com/0012L00001JSlSFQA1"/>
    <m/>
    <m/>
    <m/>
    <m/>
    <m/>
    <m/>
    <m/>
    <m/>
    <m/>
    <m/>
    <m/>
    <m/>
    <m/>
    <m/>
    <m/>
    <m/>
    <m/>
    <m/>
    <m/>
    <m/>
    <m/>
    <m/>
    <m/>
    <m/>
    <m/>
    <m/>
    <m/>
    <m/>
    <m/>
    <m/>
    <m/>
    <m/>
    <m/>
    <m/>
    <m/>
    <m/>
    <m/>
    <m/>
    <s v="CAD"/>
    <m/>
    <s v="No"/>
    <s v="Nick Badame"/>
    <s v="Nick Badame"/>
    <d v="2026-01-20T15:45:47"/>
    <s v="Promoter"/>
    <s v="Closed"/>
    <m/>
    <m/>
    <s v="Yes"/>
    <m/>
    <m/>
    <m/>
    <m/>
    <m/>
    <m/>
    <m/>
    <m/>
    <m/>
    <m/>
    <m/>
    <m/>
    <m/>
    <m/>
    <m/>
    <m/>
    <s v="The ease of the selling transaction was exceptional."/>
    <m/>
    <m/>
    <m/>
    <m/>
    <s v="N/A"/>
    <m/>
    <m/>
    <m/>
    <m/>
    <m/>
    <m/>
    <m/>
    <m/>
    <m/>
    <m/>
    <m/>
    <m/>
    <m/>
    <m/>
    <m/>
    <m/>
    <m/>
    <m/>
    <m/>
    <m/>
    <m/>
    <m/>
    <m/>
    <m/>
    <m/>
    <m/>
    <m/>
    <m/>
    <m/>
    <m/>
    <m/>
    <m/>
    <m/>
    <m/>
    <m/>
    <m/>
    <m/>
    <m/>
    <m/>
    <m/>
    <m/>
    <m/>
    <m/>
    <m/>
    <m/>
    <m/>
    <m/>
    <m/>
    <m/>
    <m/>
    <m/>
    <m/>
    <m/>
    <m/>
    <m/>
    <m/>
    <m/>
    <m/>
    <m/>
    <m/>
    <m/>
    <m/>
    <m/>
    <m/>
    <m/>
    <m/>
    <m/>
    <m/>
    <m/>
    <m/>
    <m/>
    <m/>
    <m/>
    <m/>
    <m/>
    <m/>
    <m/>
    <m/>
    <m/>
    <m/>
    <m/>
    <m/>
    <s v="The ease of the selling transaction was exceptional."/>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s v="POSITIVE"/>
    <s v="Trade In &gt; Overall Process &gt; (Positive)"/>
    <s v="Trade In &gt; Overall Process &gt; (Positive)"/>
    <s v="No"/>
    <s v="No"/>
    <m/>
    <x v="5"/>
    <x v="0"/>
    <x v="0"/>
    <m/>
    <x v="0"/>
    <x v="0"/>
  </r>
  <r>
    <s v="Teresa Herlinger - Used Trade-In Product"/>
    <n v="10"/>
    <n v="5"/>
    <d v="2026-01-20T15:39:14"/>
    <n v="5150140"/>
    <s v="Used Trade-In Product"/>
    <m/>
    <s v="Teresa Herlinger"/>
    <m/>
    <s v="wordsmithink@msn.com"/>
    <m/>
    <m/>
    <m/>
    <m/>
    <s v="No"/>
    <m/>
    <m/>
    <s v="wordsmithink@msn.com"/>
    <m/>
    <m/>
    <m/>
    <m/>
    <m/>
    <m/>
    <m/>
    <m/>
    <m/>
    <d v="2026-01-20T15:57:45"/>
    <d v="2026-01-20T12:50:43"/>
    <m/>
    <s v="1131297"/>
    <m/>
    <m/>
    <m/>
    <m/>
    <m/>
    <m/>
    <m/>
    <m/>
    <m/>
    <m/>
    <m/>
    <m/>
    <m/>
    <m/>
    <m/>
    <m/>
    <m/>
    <m/>
    <m/>
    <m/>
    <m/>
    <m/>
    <s v="https://bnh.lightning.force.com/001WP00000nIkxEYAS"/>
    <m/>
    <m/>
    <m/>
    <m/>
    <m/>
    <m/>
    <m/>
    <m/>
    <m/>
    <m/>
    <m/>
    <m/>
    <m/>
    <m/>
    <m/>
    <m/>
    <m/>
    <m/>
    <m/>
    <m/>
    <m/>
    <m/>
    <m/>
    <m/>
    <m/>
    <m/>
    <m/>
    <m/>
    <m/>
    <m/>
    <m/>
    <m/>
    <m/>
    <m/>
    <m/>
    <m/>
    <m/>
    <m/>
    <s v="CAD"/>
    <m/>
    <s v="No"/>
    <s v="Nick Badame"/>
    <s v="Nick Badame"/>
    <d v="2026-01-20T15:39:51"/>
    <s v="Promoter"/>
    <s v="Closed"/>
    <m/>
    <m/>
    <s v="Yes"/>
    <m/>
    <m/>
    <m/>
    <m/>
    <m/>
    <m/>
    <m/>
    <m/>
    <m/>
    <m/>
    <m/>
    <m/>
    <m/>
    <m/>
    <m/>
    <m/>
    <s v="The excellent, fair quote for the equipment."/>
    <m/>
    <m/>
    <m/>
    <m/>
    <s v="Nothing to dislike!"/>
    <m/>
    <m/>
    <m/>
    <m/>
    <m/>
    <m/>
    <m/>
    <m/>
    <m/>
    <m/>
    <m/>
    <m/>
    <m/>
    <m/>
    <m/>
    <m/>
    <m/>
    <m/>
    <m/>
    <m/>
    <m/>
    <m/>
    <m/>
    <m/>
    <m/>
    <m/>
    <m/>
    <m/>
    <m/>
    <m/>
    <m/>
    <m/>
    <m/>
    <m/>
    <m/>
    <m/>
    <m/>
    <m/>
    <m/>
    <m/>
    <m/>
    <m/>
    <m/>
    <m/>
    <m/>
    <m/>
    <m/>
    <m/>
    <m/>
    <m/>
    <m/>
    <m/>
    <m/>
    <m/>
    <m/>
    <m/>
    <m/>
    <m/>
    <m/>
    <m/>
    <m/>
    <m/>
    <m/>
    <m/>
    <m/>
    <m/>
    <m/>
    <m/>
    <m/>
    <m/>
    <m/>
    <m/>
    <m/>
    <m/>
    <m/>
    <m/>
    <m/>
    <m/>
    <m/>
    <m/>
    <m/>
    <m/>
    <s v="The excellent, fair quote for the equipment."/>
    <s v="Nothing to dislik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Quote Price &gt;"/>
    <m/>
    <m/>
    <s v="Trade In &gt; Overall Process &gt; (Positive)"/>
    <s v="Trade In &gt; Quote Price &gt; (Positive)"/>
    <s v="Yes"/>
    <s v="No"/>
    <m/>
    <x v="28"/>
    <x v="0"/>
    <x v="0"/>
    <m/>
    <x v="0"/>
    <x v="0"/>
  </r>
  <r>
    <s v="Lonnie Ash - Used Trade-In Product"/>
    <n v="9"/>
    <n v="5"/>
    <d v="2026-01-20T12:30:22"/>
    <n v="5149555"/>
    <s v="Used Trade-In Product"/>
    <m/>
    <s v="Lonnie Ash"/>
    <m/>
    <s v="lonnie.ash@gmail.com"/>
    <m/>
    <m/>
    <m/>
    <s v="1 months"/>
    <s v="No"/>
    <m/>
    <m/>
    <s v="lonnie.ash@gmail.com"/>
    <s v="1"/>
    <m/>
    <m/>
    <m/>
    <m/>
    <m/>
    <m/>
    <m/>
    <m/>
    <d v="2026-01-20T14:04:15"/>
    <d v="2026-01-20T12:48:35"/>
    <m/>
    <s v="1133335"/>
    <m/>
    <m/>
    <m/>
    <m/>
    <m/>
    <m/>
    <m/>
    <m/>
    <m/>
    <m/>
    <m/>
    <m/>
    <m/>
    <m/>
    <m/>
    <m/>
    <m/>
    <m/>
    <m/>
    <m/>
    <m/>
    <m/>
    <s v="https://bnh.lightning.force.com/001WP00000oEqV5YAK"/>
    <m/>
    <m/>
    <m/>
    <m/>
    <m/>
    <m/>
    <m/>
    <m/>
    <m/>
    <m/>
    <m/>
    <m/>
    <m/>
    <m/>
    <m/>
    <m/>
    <m/>
    <m/>
    <m/>
    <m/>
    <m/>
    <m/>
    <m/>
    <m/>
    <m/>
    <m/>
    <m/>
    <m/>
    <m/>
    <m/>
    <m/>
    <m/>
    <m/>
    <m/>
    <m/>
    <m/>
    <m/>
    <m/>
    <s v="CAD"/>
    <m/>
    <s v="No"/>
    <s v="Aine Hoye"/>
    <s v="Aine Hoye"/>
    <d v="2026-01-20T12:30:31"/>
    <s v="Promoter"/>
    <s v="Closed"/>
    <m/>
    <m/>
    <s v="Yes"/>
    <m/>
    <m/>
    <m/>
    <m/>
    <m/>
    <m/>
    <m/>
    <m/>
    <m/>
    <m/>
    <m/>
    <m/>
    <m/>
    <m/>
    <m/>
    <m/>
    <s v="Very easy process."/>
    <m/>
    <m/>
    <m/>
    <m/>
    <s v="Not all of my items were purchased and the sell price for the items that were purchased seemed low."/>
    <m/>
    <m/>
    <m/>
    <m/>
    <m/>
    <m/>
    <m/>
    <m/>
    <m/>
    <m/>
    <m/>
    <m/>
    <m/>
    <m/>
    <m/>
    <m/>
    <m/>
    <m/>
    <m/>
    <m/>
    <m/>
    <m/>
    <m/>
    <m/>
    <m/>
    <m/>
    <m/>
    <m/>
    <m/>
    <m/>
    <m/>
    <m/>
    <m/>
    <m/>
    <m/>
    <m/>
    <m/>
    <m/>
    <m/>
    <m/>
    <m/>
    <m/>
    <m/>
    <m/>
    <m/>
    <m/>
    <m/>
    <m/>
    <m/>
    <m/>
    <m/>
    <m/>
    <m/>
    <m/>
    <m/>
    <m/>
    <m/>
    <m/>
    <m/>
    <m/>
    <m/>
    <m/>
    <m/>
    <m/>
    <m/>
    <m/>
    <m/>
    <m/>
    <m/>
    <m/>
    <m/>
    <m/>
    <m/>
    <m/>
    <m/>
    <m/>
    <m/>
    <m/>
    <m/>
    <m/>
    <m/>
    <m/>
    <s v="Very easy process."/>
    <s v="Not all of my items were purchased and the sell price for the items that were purchased seemed lo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4"/>
    <n v="5"/>
    <n v="5"/>
    <n v="5"/>
    <m/>
    <m/>
    <m/>
    <m/>
    <m/>
    <m/>
    <m/>
    <m/>
    <m/>
    <m/>
    <m/>
    <m/>
    <m/>
    <m/>
    <m/>
    <m/>
    <m/>
    <m/>
    <m/>
    <m/>
    <m/>
    <m/>
    <m/>
    <m/>
    <m/>
    <m/>
    <m/>
    <m/>
    <m/>
    <m/>
    <m/>
    <m/>
    <m/>
    <m/>
    <m/>
    <m/>
    <m/>
    <m/>
    <m/>
    <m/>
    <m/>
    <m/>
    <m/>
    <m/>
    <m/>
    <m/>
    <m/>
    <m/>
    <m/>
    <m/>
    <m/>
    <m/>
    <m/>
    <m/>
    <m/>
    <m/>
    <m/>
    <m/>
    <m/>
    <m/>
    <m/>
    <m/>
    <m/>
    <m/>
    <m/>
    <m/>
    <m/>
    <m/>
    <m/>
    <m/>
    <m/>
    <m/>
    <m/>
    <m/>
    <m/>
    <m/>
    <m/>
    <m/>
    <m/>
    <m/>
    <m/>
    <m/>
    <m/>
    <m/>
    <m/>
    <m/>
    <m/>
    <m/>
    <m/>
    <m/>
    <m/>
    <m/>
    <m/>
    <m/>
    <m/>
    <m/>
    <m/>
    <m/>
    <m/>
    <m/>
    <m/>
    <s v="Trade In &gt; Overall Process &gt;, Used &gt; Pricing &gt;"/>
    <s v="Trade In &gt; Overall Process &gt;, Trade In &gt; Quote Price &gt;"/>
    <m/>
    <m/>
    <s v="Trade In &gt; Overall Process &gt; (Positive), Used &gt; Pricing &gt; (Negative)"/>
    <s v="Trade In &gt; Overall Process &gt; (Negative), Trade In &gt; Overall Process &gt; (Positive), Trade In &gt; Quote Price &gt; (Negative)"/>
    <s v="Yes"/>
    <s v="No"/>
    <m/>
    <x v="0"/>
    <x v="8"/>
    <x v="5"/>
    <m/>
    <x v="0"/>
    <x v="0"/>
  </r>
  <r>
    <s v="Max Pyle - Used Trade-In Product"/>
    <n v="10"/>
    <n v="5"/>
    <d v="2026-01-20T12:22:33"/>
    <n v="5149520"/>
    <s v="Used Trade-In Product"/>
    <m/>
    <s v="Max Pyle"/>
    <m/>
    <s v="maxpyle@icloud.com"/>
    <m/>
    <m/>
    <m/>
    <s v="5 years 11 months"/>
    <s v="Yes"/>
    <m/>
    <m/>
    <s v="maxpyle@icloud.com"/>
    <s v="71"/>
    <m/>
    <m/>
    <m/>
    <m/>
    <m/>
    <m/>
    <m/>
    <m/>
    <d v="2026-01-20T14:02:31"/>
    <d v="2026-01-20T15:18:46"/>
    <m/>
    <s v="1132447"/>
    <m/>
    <m/>
    <m/>
    <m/>
    <m/>
    <m/>
    <m/>
    <m/>
    <m/>
    <m/>
    <m/>
    <m/>
    <m/>
    <m/>
    <m/>
    <m/>
    <m/>
    <m/>
    <m/>
    <m/>
    <m/>
    <m/>
    <s v="https://bnh.lightning.force.com/0012L000014HjA7QAK"/>
    <m/>
    <m/>
    <m/>
    <m/>
    <m/>
    <m/>
    <m/>
    <m/>
    <m/>
    <m/>
    <m/>
    <m/>
    <m/>
    <m/>
    <m/>
    <m/>
    <m/>
    <m/>
    <m/>
    <m/>
    <m/>
    <m/>
    <m/>
    <m/>
    <m/>
    <m/>
    <m/>
    <m/>
    <m/>
    <m/>
    <m/>
    <m/>
    <m/>
    <m/>
    <m/>
    <m/>
    <m/>
    <m/>
    <s v="CAD"/>
    <m/>
    <s v="No"/>
    <s v="Aine Hoye"/>
    <s v="Aine Hoye"/>
    <d v="2026-01-20T12:22:22"/>
    <s v="Promoter"/>
    <s v="Closed"/>
    <m/>
    <m/>
    <s v="Yes"/>
    <m/>
    <m/>
    <m/>
    <m/>
    <m/>
    <m/>
    <m/>
    <m/>
    <m/>
    <m/>
    <m/>
    <m/>
    <m/>
    <m/>
    <m/>
    <m/>
    <s v="Professional, easy and quick. Can't beat B&amp;H!"/>
    <m/>
    <m/>
    <m/>
    <m/>
    <s v="N/a"/>
    <m/>
    <m/>
    <m/>
    <m/>
    <m/>
    <m/>
    <m/>
    <m/>
    <m/>
    <m/>
    <m/>
    <m/>
    <m/>
    <m/>
    <m/>
    <m/>
    <m/>
    <m/>
    <m/>
    <m/>
    <m/>
    <m/>
    <m/>
    <m/>
    <m/>
    <m/>
    <m/>
    <m/>
    <m/>
    <m/>
    <m/>
    <m/>
    <m/>
    <m/>
    <m/>
    <m/>
    <m/>
    <m/>
    <m/>
    <m/>
    <m/>
    <m/>
    <m/>
    <m/>
    <m/>
    <m/>
    <m/>
    <m/>
    <m/>
    <m/>
    <m/>
    <m/>
    <m/>
    <m/>
    <m/>
    <m/>
    <m/>
    <m/>
    <m/>
    <m/>
    <m/>
    <m/>
    <m/>
    <m/>
    <m/>
    <m/>
    <m/>
    <m/>
    <m/>
    <m/>
    <m/>
    <m/>
    <m/>
    <m/>
    <m/>
    <m/>
    <m/>
    <m/>
    <m/>
    <m/>
    <m/>
    <m/>
    <s v="Professional, easy and quick. Can't beat B&amp;H!"/>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s v="B&amp;H &gt; Reliable / Trustworthy &gt;, B&amp;H &gt; Satisfaction &gt;, Trade In &gt; Overall Process &gt;"/>
    <m/>
    <m/>
    <s v="B&amp;H &gt; Satisfaction &gt; (Positive)"/>
    <s v="B&amp;H &gt; Reliable / Trustworthy &gt; (Positive), B&amp;H &gt; Satisfaction &gt; (Positive), Trade In &gt; Overall Process &gt; (Positive)"/>
    <s v="Yes"/>
    <s v="No"/>
    <m/>
    <x v="0"/>
    <x v="39"/>
    <x v="0"/>
    <m/>
    <x v="0"/>
    <x v="0"/>
  </r>
  <r>
    <s v="Jay Swank - Used Trade-In Product"/>
    <n v="9"/>
    <n v="4"/>
    <d v="2026-01-20T11:43:18"/>
    <n v="5149416"/>
    <s v="Used Trade-In Product"/>
    <m/>
    <s v="Jay Swank"/>
    <m/>
    <s v="jay.dvos@gmail.com"/>
    <m/>
    <m/>
    <m/>
    <s v="5 years 3 months"/>
    <s v="No"/>
    <m/>
    <m/>
    <s v="jay.dvos@gmail.com"/>
    <s v="63"/>
    <m/>
    <m/>
    <m/>
    <m/>
    <m/>
    <m/>
    <m/>
    <m/>
    <d v="2026-01-20T14:09:21"/>
    <d v="2025-12-31T18:21:40"/>
    <m/>
    <s v="1129673"/>
    <m/>
    <m/>
    <m/>
    <m/>
    <m/>
    <m/>
    <m/>
    <m/>
    <m/>
    <m/>
    <m/>
    <m/>
    <m/>
    <m/>
    <m/>
    <m/>
    <m/>
    <m/>
    <m/>
    <m/>
    <m/>
    <m/>
    <s v="https://bnh.lightning.force.com/0012L000019EPnVQAW"/>
    <m/>
    <m/>
    <m/>
    <m/>
    <m/>
    <m/>
    <m/>
    <m/>
    <m/>
    <m/>
    <m/>
    <m/>
    <m/>
    <m/>
    <m/>
    <m/>
    <m/>
    <m/>
    <m/>
    <m/>
    <m/>
    <m/>
    <m/>
    <m/>
    <m/>
    <m/>
    <m/>
    <m/>
    <m/>
    <m/>
    <m/>
    <m/>
    <m/>
    <m/>
    <m/>
    <m/>
    <m/>
    <m/>
    <s v="CAD"/>
    <m/>
    <s v="No"/>
    <s v="Emily Schreier"/>
    <s v="Emily Schreier"/>
    <d v="2026-01-20T11:42:46"/>
    <s v="Promoter"/>
    <s v="Closed"/>
    <m/>
    <m/>
    <s v="Yes"/>
    <m/>
    <m/>
    <m/>
    <m/>
    <m/>
    <m/>
    <m/>
    <m/>
    <m/>
    <m/>
    <m/>
    <m/>
    <m/>
    <m/>
    <m/>
    <m/>
    <s v="I appreciate the offer remained the same. Equipment I've sold elsewhere was changed for no reason."/>
    <m/>
    <m/>
    <m/>
    <m/>
    <s v="It took a bit too long. I missed a sale on replacement equipment I wanted so now I'm waiting hopefully it will come back"/>
    <m/>
    <m/>
    <m/>
    <m/>
    <m/>
    <m/>
    <m/>
    <m/>
    <m/>
    <m/>
    <m/>
    <m/>
    <m/>
    <m/>
    <m/>
    <m/>
    <m/>
    <m/>
    <m/>
    <m/>
    <m/>
    <m/>
    <m/>
    <m/>
    <m/>
    <m/>
    <m/>
    <m/>
    <m/>
    <m/>
    <m/>
    <m/>
    <m/>
    <m/>
    <m/>
    <m/>
    <m/>
    <m/>
    <m/>
    <m/>
    <m/>
    <m/>
    <m/>
    <m/>
    <m/>
    <m/>
    <m/>
    <m/>
    <m/>
    <m/>
    <m/>
    <m/>
    <m/>
    <m/>
    <m/>
    <m/>
    <m/>
    <m/>
    <m/>
    <m/>
    <m/>
    <m/>
    <m/>
    <m/>
    <m/>
    <m/>
    <m/>
    <m/>
    <m/>
    <m/>
    <m/>
    <m/>
    <m/>
    <m/>
    <m/>
    <m/>
    <m/>
    <m/>
    <m/>
    <m/>
    <m/>
    <m/>
    <s v="I appreciate the offer remained the same. Equipment I've sold elsewhere was changed for no reason."/>
    <s v="It took a bit too long. I missed a sale on replacement equipment I wanted so now I'm waiting hopefully it will come ba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4"/>
    <n v="4"/>
    <n v="4"/>
    <n v="2"/>
    <m/>
    <m/>
    <m/>
    <m/>
    <m/>
    <m/>
    <m/>
    <m/>
    <m/>
    <m/>
    <m/>
    <m/>
    <m/>
    <m/>
    <m/>
    <m/>
    <m/>
    <m/>
    <m/>
    <m/>
    <m/>
    <m/>
    <m/>
    <m/>
    <m/>
    <m/>
    <m/>
    <m/>
    <m/>
    <m/>
    <m/>
    <m/>
    <m/>
    <m/>
    <m/>
    <m/>
    <m/>
    <m/>
    <m/>
    <m/>
    <m/>
    <m/>
    <m/>
    <m/>
    <m/>
    <m/>
    <m/>
    <m/>
    <m/>
    <m/>
    <m/>
    <m/>
    <m/>
    <m/>
    <m/>
    <m/>
    <m/>
    <m/>
    <m/>
    <m/>
    <m/>
    <m/>
    <m/>
    <m/>
    <m/>
    <m/>
    <m/>
    <m/>
    <m/>
    <m/>
    <m/>
    <m/>
    <m/>
    <m/>
    <m/>
    <m/>
    <m/>
    <m/>
    <m/>
    <m/>
    <m/>
    <m/>
    <m/>
    <m/>
    <m/>
    <m/>
    <m/>
    <m/>
    <m/>
    <m/>
    <m/>
    <m/>
    <m/>
    <m/>
    <m/>
    <m/>
    <m/>
    <m/>
    <m/>
    <m/>
    <m/>
    <m/>
    <s v="Trade In &gt; Quote Price &gt;, Trade In &gt; Timeliness of Payment &gt;"/>
    <m/>
    <m/>
    <m/>
    <s v="Trade In &gt; Quote Price &gt; (Positive), Trade In &gt; Timeliness of Payment &gt; (Negative)"/>
    <s v="Yes"/>
    <s v="Yes"/>
    <m/>
    <x v="8"/>
    <x v="4"/>
    <x v="0"/>
    <m/>
    <x v="0"/>
    <x v="0"/>
  </r>
  <r>
    <s v="Justin Rodrigues - Used Trade-In Product"/>
    <n v="10"/>
    <n v="5"/>
    <d v="2026-01-20T10:26:30"/>
    <n v="5149164"/>
    <s v="Used Trade-In Product"/>
    <m/>
    <s v="Justin Rodrigues"/>
    <m/>
    <s v="justin.rodrigues24@gmail.com"/>
    <m/>
    <m/>
    <m/>
    <s v="2 years 6 months"/>
    <s v="No"/>
    <m/>
    <m/>
    <s v="justin.rodrigues24@gmail.com"/>
    <s v="30"/>
    <m/>
    <m/>
    <m/>
    <m/>
    <m/>
    <m/>
    <m/>
    <m/>
    <d v="2026-01-20T16:10:58"/>
    <d v="2026-01-20T12:50:04"/>
    <m/>
    <s v="1131593"/>
    <m/>
    <m/>
    <m/>
    <m/>
    <m/>
    <m/>
    <m/>
    <m/>
    <m/>
    <m/>
    <m/>
    <m/>
    <m/>
    <m/>
    <m/>
    <m/>
    <m/>
    <m/>
    <m/>
    <m/>
    <m/>
    <m/>
    <s v="https://bnh.lightning.force.com/0018X00003JBogBQAT"/>
    <m/>
    <m/>
    <m/>
    <m/>
    <m/>
    <m/>
    <m/>
    <m/>
    <m/>
    <m/>
    <m/>
    <m/>
    <m/>
    <m/>
    <m/>
    <m/>
    <m/>
    <m/>
    <m/>
    <m/>
    <m/>
    <m/>
    <m/>
    <m/>
    <m/>
    <m/>
    <m/>
    <m/>
    <m/>
    <m/>
    <m/>
    <m/>
    <m/>
    <m/>
    <m/>
    <m/>
    <m/>
    <m/>
    <s v="CAD"/>
    <m/>
    <s v="No"/>
    <s v="Gershon Orenstein"/>
    <s v="Gershon Orenstein"/>
    <d v="2026-01-20T10:22:23"/>
    <s v="Promoter"/>
    <s v="Closed"/>
    <m/>
    <m/>
    <s v="Yes"/>
    <m/>
    <m/>
    <m/>
    <m/>
    <m/>
    <m/>
    <m/>
    <m/>
    <m/>
    <m/>
    <m/>
    <m/>
    <m/>
    <m/>
    <m/>
    <m/>
    <s v="Overall is was extremely to do the entire process."/>
    <m/>
    <m/>
    <m/>
    <m/>
    <s v="It would be amazing if we could get higher quotes on high quality used gear especially with the increase in camera prices but I understand B and H has to make some profit as well. And it was comprobable to other businesses."/>
    <m/>
    <m/>
    <m/>
    <m/>
    <m/>
    <m/>
    <m/>
    <m/>
    <m/>
    <m/>
    <m/>
    <m/>
    <m/>
    <m/>
    <m/>
    <m/>
    <m/>
    <m/>
    <m/>
    <m/>
    <m/>
    <m/>
    <m/>
    <m/>
    <m/>
    <m/>
    <m/>
    <m/>
    <m/>
    <m/>
    <m/>
    <m/>
    <m/>
    <m/>
    <m/>
    <m/>
    <m/>
    <m/>
    <m/>
    <m/>
    <m/>
    <m/>
    <m/>
    <m/>
    <m/>
    <m/>
    <m/>
    <m/>
    <m/>
    <m/>
    <m/>
    <m/>
    <m/>
    <m/>
    <m/>
    <m/>
    <m/>
    <m/>
    <m/>
    <m/>
    <m/>
    <m/>
    <m/>
    <m/>
    <m/>
    <m/>
    <m/>
    <m/>
    <m/>
    <m/>
    <m/>
    <m/>
    <m/>
    <m/>
    <m/>
    <m/>
    <m/>
    <m/>
    <m/>
    <m/>
    <m/>
    <m/>
    <s v="Overall is was extremely to do the entire process."/>
    <s v="It would be amazing if we could get higher quotes on high quality used gear especially with the increase in camera prices but I understand B and H has to make some profit as well. And it was comprobable to other business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4"/>
    <n v="4"/>
    <n v="5"/>
    <n v="4"/>
    <m/>
    <m/>
    <m/>
    <m/>
    <m/>
    <m/>
    <m/>
    <m/>
    <m/>
    <m/>
    <m/>
    <m/>
    <m/>
    <m/>
    <m/>
    <m/>
    <m/>
    <m/>
    <m/>
    <m/>
    <m/>
    <m/>
    <m/>
    <m/>
    <m/>
    <m/>
    <m/>
    <m/>
    <m/>
    <m/>
    <m/>
    <m/>
    <m/>
    <m/>
    <m/>
    <m/>
    <m/>
    <m/>
    <m/>
    <m/>
    <m/>
    <m/>
    <m/>
    <m/>
    <m/>
    <m/>
    <m/>
    <m/>
    <m/>
    <m/>
    <m/>
    <m/>
    <m/>
    <m/>
    <m/>
    <m/>
    <m/>
    <m/>
    <m/>
    <m/>
    <m/>
    <m/>
    <m/>
    <m/>
    <m/>
    <m/>
    <m/>
    <m/>
    <m/>
    <m/>
    <m/>
    <m/>
    <m/>
    <m/>
    <m/>
    <m/>
    <m/>
    <m/>
    <m/>
    <m/>
    <m/>
    <m/>
    <m/>
    <m/>
    <m/>
    <m/>
    <m/>
    <m/>
    <m/>
    <m/>
    <m/>
    <m/>
    <m/>
    <m/>
    <m/>
    <m/>
    <m/>
    <m/>
    <m/>
    <m/>
    <m/>
    <s v="Trade In &gt; Overall Process &gt;, Trade In &gt; Quote Price &gt;, Used &gt; Pricing &gt;"/>
    <s v="Trade In &gt; Overall Process &gt;, Trade In &gt; Quote Price &gt;"/>
    <m/>
    <m/>
    <s v="Trade In &gt; Overall Process &gt; (Positive), Trade In &gt; Quote Price &gt; (Negative), Used &gt; Pricing &gt; (Negative)"/>
    <s v="Trade In &gt; Overall Process &gt; (Positive), Trade In &gt; Quote Price &gt; (Negative)"/>
    <s v="Yes"/>
    <s v="No"/>
    <m/>
    <x v="29"/>
    <x v="0"/>
    <x v="0"/>
    <m/>
    <x v="0"/>
    <x v="0"/>
  </r>
  <r>
    <s v="David Gales - Used Trade-In Product"/>
    <n v="10"/>
    <n v="5"/>
    <d v="2026-01-20T10:11:19"/>
    <n v="5149116"/>
    <s v="Used Trade-In Product"/>
    <m/>
    <s v="David Gales"/>
    <m/>
    <s v="dgales@mac.com"/>
    <m/>
    <m/>
    <m/>
    <s v="21 years 5 months"/>
    <s v="Yes"/>
    <m/>
    <m/>
    <s v="dgales@mac.com"/>
    <s v="257"/>
    <m/>
    <m/>
    <m/>
    <m/>
    <m/>
    <m/>
    <m/>
    <m/>
    <d v="2026-01-20T11:14:40"/>
    <d v="2026-01-20T12:47:51"/>
    <m/>
    <s v="1132510"/>
    <m/>
    <m/>
    <m/>
    <m/>
    <m/>
    <m/>
    <m/>
    <m/>
    <m/>
    <m/>
    <m/>
    <m/>
    <m/>
    <m/>
    <m/>
    <m/>
    <m/>
    <m/>
    <m/>
    <m/>
    <m/>
    <m/>
    <s v="https://bnh.lightning.force.com/0018X000031cXYGQA2"/>
    <m/>
    <m/>
    <m/>
    <m/>
    <m/>
    <m/>
    <m/>
    <m/>
    <m/>
    <m/>
    <m/>
    <m/>
    <m/>
    <m/>
    <m/>
    <m/>
    <m/>
    <m/>
    <m/>
    <m/>
    <m/>
    <m/>
    <m/>
    <m/>
    <m/>
    <m/>
    <m/>
    <m/>
    <m/>
    <m/>
    <m/>
    <m/>
    <m/>
    <m/>
    <m/>
    <m/>
    <m/>
    <m/>
    <s v="CAD"/>
    <m/>
    <s v="No"/>
    <s v="Sergio Jonusas"/>
    <s v="Sergio Jonusas"/>
    <d v="2026-01-20T10:11:08"/>
    <s v="Promoter"/>
    <s v="Closed"/>
    <m/>
    <m/>
    <s v="Yes"/>
    <m/>
    <m/>
    <m/>
    <m/>
    <m/>
    <m/>
    <m/>
    <m/>
    <m/>
    <m/>
    <m/>
    <m/>
    <m/>
    <m/>
    <m/>
    <m/>
    <s v="You actually upgraded on of the pieces I traded and gave me more than I was expecting."/>
    <m/>
    <m/>
    <m/>
    <m/>
    <m/>
    <m/>
    <m/>
    <m/>
    <m/>
    <m/>
    <m/>
    <m/>
    <m/>
    <m/>
    <m/>
    <m/>
    <m/>
    <m/>
    <m/>
    <m/>
    <m/>
    <m/>
    <m/>
    <m/>
    <m/>
    <m/>
    <m/>
    <m/>
    <m/>
    <m/>
    <m/>
    <m/>
    <m/>
    <m/>
    <m/>
    <m/>
    <m/>
    <m/>
    <m/>
    <m/>
    <m/>
    <m/>
    <m/>
    <m/>
    <m/>
    <m/>
    <m/>
    <m/>
    <m/>
    <m/>
    <m/>
    <m/>
    <m/>
    <m/>
    <m/>
    <m/>
    <m/>
    <m/>
    <m/>
    <m/>
    <m/>
    <m/>
    <m/>
    <m/>
    <m/>
    <m/>
    <m/>
    <m/>
    <m/>
    <m/>
    <m/>
    <m/>
    <m/>
    <m/>
    <m/>
    <m/>
    <m/>
    <m/>
    <m/>
    <m/>
    <m/>
    <m/>
    <m/>
    <m/>
    <m/>
    <m/>
    <m/>
    <s v="You actually upgraded on of the pieces I traded and gave me more than I was expect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Quote Price &gt;"/>
    <m/>
    <m/>
    <m/>
    <s v="Trade In &gt; Quote Price &gt; (Positive)"/>
    <s v="Yes"/>
    <s v="No"/>
    <m/>
    <x v="38"/>
    <x v="0"/>
    <x v="0"/>
    <m/>
    <x v="0"/>
    <x v="0"/>
  </r>
  <r>
    <s v="Lynford Morton - Used Trade-In Product"/>
    <n v="10"/>
    <n v="5"/>
    <d v="2026-01-20T10:05:45"/>
    <n v="5149096"/>
    <s v="Used Trade-In Product"/>
    <m/>
    <s v="Lynford Morton"/>
    <m/>
    <s v="lynfordm@gmail.com"/>
    <m/>
    <m/>
    <m/>
    <s v="19 years 10 months"/>
    <s v="No"/>
    <m/>
    <m/>
    <s v="lynfordm@gmail.com"/>
    <s v="238"/>
    <m/>
    <m/>
    <m/>
    <m/>
    <m/>
    <m/>
    <m/>
    <m/>
    <d v="2026-01-20T16:03:27"/>
    <d v="2026-01-20T12:49:11"/>
    <m/>
    <s v="1127010"/>
    <m/>
    <m/>
    <m/>
    <m/>
    <m/>
    <m/>
    <m/>
    <m/>
    <m/>
    <m/>
    <m/>
    <m/>
    <m/>
    <m/>
    <m/>
    <m/>
    <m/>
    <m/>
    <m/>
    <m/>
    <m/>
    <m/>
    <s v="https://bnh.lightning.force.com/0011a00000FPmDBAA1"/>
    <m/>
    <m/>
    <m/>
    <m/>
    <m/>
    <m/>
    <m/>
    <m/>
    <m/>
    <m/>
    <m/>
    <m/>
    <m/>
    <m/>
    <m/>
    <m/>
    <m/>
    <m/>
    <m/>
    <m/>
    <m/>
    <m/>
    <m/>
    <m/>
    <m/>
    <m/>
    <m/>
    <m/>
    <m/>
    <m/>
    <m/>
    <m/>
    <m/>
    <m/>
    <m/>
    <m/>
    <m/>
    <m/>
    <s v="CAD"/>
    <m/>
    <s v="No"/>
    <s v="Gershon Orenstein"/>
    <s v="Gershon Orenstein"/>
    <d v="2026-01-20T10:05:51"/>
    <s v="Promoter"/>
    <s v="Closed"/>
    <m/>
    <m/>
    <s v="Yes"/>
    <m/>
    <m/>
    <m/>
    <m/>
    <m/>
    <m/>
    <m/>
    <m/>
    <m/>
    <m/>
    <m/>
    <m/>
    <m/>
    <m/>
    <m/>
    <m/>
    <s v="I sold on site at PPA, and they cut me a check on the spot."/>
    <m/>
    <m/>
    <m/>
    <m/>
    <s v="Hard to find the selling page on your website."/>
    <m/>
    <m/>
    <m/>
    <m/>
    <m/>
    <m/>
    <m/>
    <m/>
    <m/>
    <m/>
    <m/>
    <m/>
    <m/>
    <m/>
    <m/>
    <m/>
    <m/>
    <m/>
    <m/>
    <m/>
    <m/>
    <m/>
    <m/>
    <m/>
    <m/>
    <m/>
    <m/>
    <m/>
    <m/>
    <m/>
    <m/>
    <m/>
    <m/>
    <m/>
    <m/>
    <m/>
    <m/>
    <m/>
    <m/>
    <m/>
    <m/>
    <m/>
    <m/>
    <m/>
    <m/>
    <m/>
    <m/>
    <m/>
    <m/>
    <m/>
    <m/>
    <m/>
    <m/>
    <m/>
    <m/>
    <m/>
    <m/>
    <m/>
    <m/>
    <m/>
    <m/>
    <m/>
    <m/>
    <m/>
    <m/>
    <m/>
    <m/>
    <m/>
    <m/>
    <m/>
    <m/>
    <m/>
    <m/>
    <m/>
    <m/>
    <m/>
    <m/>
    <m/>
    <m/>
    <m/>
    <m/>
    <m/>
    <s v="I sold on site at PPA, and they cut me a check on the spot."/>
    <s v="Hard to find the selling page on your websi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3"/>
    <n v="3"/>
    <m/>
    <m/>
    <m/>
    <m/>
    <m/>
    <m/>
    <n v="5"/>
    <s v="N/A"/>
    <n v="5"/>
    <n v="5"/>
    <m/>
    <m/>
    <m/>
    <m/>
    <m/>
    <m/>
    <m/>
    <m/>
    <m/>
    <m/>
    <m/>
    <m/>
    <m/>
    <m/>
    <m/>
    <m/>
    <m/>
    <m/>
    <m/>
    <m/>
    <m/>
    <m/>
    <m/>
    <m/>
    <m/>
    <m/>
    <m/>
    <m/>
    <m/>
    <m/>
    <m/>
    <m/>
    <m/>
    <m/>
    <m/>
    <m/>
    <m/>
    <m/>
    <m/>
    <m/>
    <m/>
    <m/>
    <m/>
    <m/>
    <m/>
    <m/>
    <m/>
    <m/>
    <m/>
    <m/>
    <m/>
    <m/>
    <m/>
    <m/>
    <m/>
    <m/>
    <m/>
    <m/>
    <m/>
    <m/>
    <m/>
    <m/>
    <m/>
    <m/>
    <m/>
    <m/>
    <m/>
    <m/>
    <m/>
    <m/>
    <m/>
    <m/>
    <m/>
    <m/>
    <m/>
    <m/>
    <m/>
    <m/>
    <m/>
    <m/>
    <m/>
    <m/>
    <m/>
    <m/>
    <m/>
    <m/>
    <m/>
    <m/>
    <m/>
    <m/>
    <m/>
    <m/>
    <m/>
    <m/>
    <m/>
    <m/>
    <m/>
    <m/>
    <m/>
    <m/>
    <m/>
    <m/>
    <s v="Trade In &gt; Overall Process &gt;, Trade In &gt; Quote Price &gt;, Trade In &gt; Timeliness of Payment &gt;, Trade In &gt; Timeliness of Quote &gt;, Website &gt; Navigation &gt;"/>
    <m/>
    <m/>
    <m/>
    <s v="Trade In &gt; Overall Process &gt; (Positive), Trade In &gt; Quote Price &gt; (Positive), Trade In &gt; Timeliness of Payment &gt; (Positive), Trade In &gt; Timeliness of Quote &gt; (Positive), Website &gt; Navigation &gt; (Negative)"/>
    <s v="Yes"/>
    <s v="Yes"/>
    <m/>
    <x v="19"/>
    <x v="53"/>
    <x v="0"/>
    <m/>
    <x v="0"/>
    <x v="0"/>
  </r>
  <r>
    <s v="Kit Wright - Used Trade-In Product"/>
    <n v="10"/>
    <n v="5"/>
    <d v="2026-01-20T10:05:28"/>
    <n v="5149086"/>
    <s v="Used Trade-In Product"/>
    <m/>
    <s v="Kit Wright"/>
    <m/>
    <s v="kitsstudio@gmail.com"/>
    <m/>
    <m/>
    <m/>
    <m/>
    <s v="No"/>
    <m/>
    <m/>
    <s v="kitsstudio@gmail.com"/>
    <m/>
    <m/>
    <m/>
    <m/>
    <m/>
    <m/>
    <m/>
    <m/>
    <m/>
    <d v="2026-01-20T16:02:04"/>
    <d v="2026-01-20T12:49:08"/>
    <m/>
    <s v="1132494"/>
    <m/>
    <m/>
    <m/>
    <m/>
    <m/>
    <m/>
    <m/>
    <m/>
    <m/>
    <m/>
    <m/>
    <m/>
    <m/>
    <m/>
    <m/>
    <m/>
    <m/>
    <m/>
    <m/>
    <m/>
    <m/>
    <m/>
    <s v="https://bnh.lightning.force.com/001WP00000nu6BTYAY"/>
    <m/>
    <m/>
    <m/>
    <m/>
    <m/>
    <m/>
    <m/>
    <m/>
    <m/>
    <m/>
    <m/>
    <m/>
    <m/>
    <m/>
    <m/>
    <m/>
    <m/>
    <m/>
    <m/>
    <m/>
    <m/>
    <m/>
    <m/>
    <m/>
    <m/>
    <m/>
    <m/>
    <m/>
    <m/>
    <m/>
    <m/>
    <m/>
    <m/>
    <m/>
    <m/>
    <m/>
    <m/>
    <m/>
    <s v="CAD"/>
    <m/>
    <s v="No"/>
    <s v="Gershon Orenstein"/>
    <s v="Gershon Orenstein"/>
    <d v="2026-01-20T10:02:33"/>
    <s v="Promoter"/>
    <s v="Closed"/>
    <m/>
    <m/>
    <s v="Yes"/>
    <m/>
    <m/>
    <m/>
    <m/>
    <m/>
    <m/>
    <m/>
    <m/>
    <m/>
    <m/>
    <m/>
    <m/>
    <m/>
    <m/>
    <m/>
    <m/>
    <s v="How courteous the sales staff is ( I was dealing with Michael F).  Letting me know each step along the way.  All instructions and feedback was extremely clear.  It was one of the most professional and easy transactions I have ever experienced.  Thank you B&amp;H team!"/>
    <m/>
    <m/>
    <m/>
    <m/>
    <s v="Cannot think of anything I disliked"/>
    <m/>
    <m/>
    <m/>
    <m/>
    <m/>
    <m/>
    <m/>
    <m/>
    <m/>
    <m/>
    <m/>
    <m/>
    <m/>
    <m/>
    <m/>
    <m/>
    <m/>
    <m/>
    <m/>
    <m/>
    <m/>
    <m/>
    <m/>
    <m/>
    <m/>
    <m/>
    <m/>
    <m/>
    <m/>
    <m/>
    <m/>
    <m/>
    <m/>
    <m/>
    <m/>
    <m/>
    <m/>
    <m/>
    <m/>
    <m/>
    <m/>
    <m/>
    <m/>
    <m/>
    <m/>
    <m/>
    <m/>
    <m/>
    <m/>
    <m/>
    <m/>
    <m/>
    <m/>
    <m/>
    <m/>
    <m/>
    <m/>
    <m/>
    <m/>
    <m/>
    <m/>
    <m/>
    <m/>
    <m/>
    <m/>
    <m/>
    <m/>
    <m/>
    <m/>
    <m/>
    <m/>
    <m/>
    <m/>
    <m/>
    <m/>
    <m/>
    <m/>
    <m/>
    <m/>
    <m/>
    <m/>
    <m/>
    <s v="How courteous the sales staff is ( I was dealing with Michael F).  Letting me know each step along the way.  All instructions and feedback was extremely clear.  It was one of the most professional and easy transactions I have ever experienced.  Thank you B&amp;H team!"/>
    <s v="Cannot think of anything I dislik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s v="N/A"/>
    <m/>
    <m/>
    <m/>
    <m/>
    <m/>
    <m/>
    <m/>
    <m/>
    <m/>
    <m/>
    <m/>
    <m/>
    <m/>
    <m/>
    <m/>
    <m/>
    <m/>
    <m/>
    <m/>
    <m/>
    <m/>
    <m/>
    <m/>
    <m/>
    <m/>
    <m/>
    <m/>
    <m/>
    <m/>
    <m/>
    <m/>
    <m/>
    <m/>
    <m/>
    <m/>
    <m/>
    <m/>
    <m/>
    <m/>
    <m/>
    <m/>
    <m/>
    <m/>
    <m/>
    <m/>
    <m/>
    <m/>
    <m/>
    <m/>
    <m/>
    <m/>
    <m/>
    <m/>
    <m/>
    <m/>
    <m/>
    <m/>
    <m/>
    <m/>
    <m/>
    <m/>
    <m/>
    <m/>
    <m/>
    <m/>
    <m/>
    <m/>
    <m/>
    <m/>
    <m/>
    <m/>
    <m/>
    <m/>
    <m/>
    <m/>
    <m/>
    <m/>
    <m/>
    <m/>
    <m/>
    <m/>
    <m/>
    <m/>
    <m/>
    <m/>
    <m/>
    <m/>
    <m/>
    <m/>
    <m/>
    <m/>
    <m/>
    <m/>
    <m/>
    <m/>
    <m/>
    <m/>
    <m/>
    <m/>
    <m/>
    <m/>
    <s v="People &gt; Courtesy / Professional &gt;, Trade In &gt; Overall Process &gt;"/>
    <s v="B&amp;H &gt; Satisfaction &gt;, People &gt; Communication Skills &gt;, People &gt; Courtesy / Professional &gt;, Trade In &gt; Overall Process &gt;"/>
    <m/>
    <s v="POSITIVE,NEUTRAL"/>
    <s v="People &gt; Courtesy / Professional &gt; (Positive), Trade In &gt; Overall Process &gt; (Positive)"/>
    <s v="B&amp;H &gt; Satisfaction &gt; (Positive), People &gt; Communication Skills &gt; (Positive), People &gt; Courtesy / Professional &gt; (Positive), Trade In &gt; Overall Process &gt; (Positive)"/>
    <s v="Yes"/>
    <s v="No"/>
    <m/>
    <x v="7"/>
    <x v="35"/>
    <x v="31"/>
    <m/>
    <x v="0"/>
    <x v="0"/>
  </r>
  <r>
    <s v="James Floyd - Used Trade-In Product"/>
    <n v="10"/>
    <n v="5"/>
    <d v="2026-01-20T09:57:16"/>
    <n v="5149065"/>
    <s v="Used Trade-In Product"/>
    <m/>
    <s v="James Floyd"/>
    <m/>
    <s v="arcticdude@msn.com"/>
    <m/>
    <m/>
    <m/>
    <s v="14 years 0 months"/>
    <s v="Yes"/>
    <m/>
    <m/>
    <s v="arcticdude@msn.com"/>
    <s v="168"/>
    <m/>
    <m/>
    <m/>
    <m/>
    <m/>
    <m/>
    <m/>
    <m/>
    <d v="2026-01-20T11:13:48"/>
    <d v="2026-01-20T12:50:29"/>
    <m/>
    <s v="1132553"/>
    <m/>
    <m/>
    <m/>
    <m/>
    <m/>
    <m/>
    <m/>
    <m/>
    <m/>
    <m/>
    <m/>
    <m/>
    <m/>
    <m/>
    <m/>
    <m/>
    <m/>
    <m/>
    <m/>
    <m/>
    <m/>
    <m/>
    <s v="https://bnh.lightning.force.com/0011a00000lPCfZAAW"/>
    <m/>
    <m/>
    <m/>
    <m/>
    <m/>
    <m/>
    <m/>
    <m/>
    <m/>
    <m/>
    <m/>
    <m/>
    <m/>
    <m/>
    <m/>
    <m/>
    <m/>
    <m/>
    <m/>
    <m/>
    <m/>
    <m/>
    <m/>
    <m/>
    <m/>
    <m/>
    <m/>
    <m/>
    <m/>
    <m/>
    <m/>
    <m/>
    <m/>
    <m/>
    <m/>
    <m/>
    <m/>
    <m/>
    <s v="CAD"/>
    <m/>
    <s v="No"/>
    <s v="Sergio Jonusas"/>
    <s v="Sergio Jonusas"/>
    <d v="2026-01-20T09:57:09"/>
    <s v="Promoter"/>
    <s v="Closed"/>
    <m/>
    <m/>
    <s v="Yes"/>
    <m/>
    <m/>
    <m/>
    <m/>
    <m/>
    <m/>
    <m/>
    <m/>
    <m/>
    <m/>
    <m/>
    <m/>
    <m/>
    <m/>
    <m/>
    <m/>
    <s v="ease of selling"/>
    <m/>
    <m/>
    <m/>
    <m/>
    <s v="No issues"/>
    <m/>
    <m/>
    <m/>
    <m/>
    <m/>
    <m/>
    <m/>
    <m/>
    <m/>
    <m/>
    <m/>
    <m/>
    <m/>
    <m/>
    <m/>
    <m/>
    <m/>
    <m/>
    <m/>
    <m/>
    <m/>
    <m/>
    <m/>
    <m/>
    <m/>
    <m/>
    <m/>
    <m/>
    <m/>
    <m/>
    <m/>
    <m/>
    <m/>
    <m/>
    <m/>
    <m/>
    <m/>
    <m/>
    <m/>
    <m/>
    <m/>
    <m/>
    <m/>
    <m/>
    <m/>
    <m/>
    <m/>
    <m/>
    <m/>
    <m/>
    <m/>
    <m/>
    <m/>
    <m/>
    <m/>
    <m/>
    <m/>
    <m/>
    <m/>
    <m/>
    <m/>
    <m/>
    <m/>
    <m/>
    <m/>
    <m/>
    <m/>
    <m/>
    <m/>
    <m/>
    <m/>
    <m/>
    <m/>
    <m/>
    <m/>
    <m/>
    <m/>
    <m/>
    <m/>
    <m/>
    <m/>
    <m/>
    <s v="ease of selling"/>
    <s v="No issu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5"/>
    <x v="0"/>
    <x v="0"/>
    <m/>
    <x v="0"/>
    <x v="0"/>
  </r>
  <r>
    <s v="Zhuojun Chen - Used Trade-In Product"/>
    <n v="10"/>
    <n v="5"/>
    <d v="2026-01-20T09:57:01"/>
    <n v="5149064"/>
    <s v="Used Trade-In Product"/>
    <m/>
    <s v="Zhuojun Chen"/>
    <m/>
    <s v="georgechen0705@gmail.com"/>
    <m/>
    <m/>
    <m/>
    <m/>
    <s v="No"/>
    <m/>
    <m/>
    <s v="georgechen0705@gmail.com"/>
    <m/>
    <m/>
    <m/>
    <m/>
    <m/>
    <m/>
    <m/>
    <m/>
    <m/>
    <d v="2026-01-20T16:00:23"/>
    <d v="2026-01-20T12:49:26"/>
    <m/>
    <s v="1133470"/>
    <m/>
    <m/>
    <m/>
    <m/>
    <m/>
    <m/>
    <m/>
    <m/>
    <m/>
    <m/>
    <m/>
    <m/>
    <m/>
    <m/>
    <m/>
    <m/>
    <m/>
    <m/>
    <m/>
    <m/>
    <m/>
    <m/>
    <s v="https://bnh.lightning.force.com/001WP00000oJe2IYAS"/>
    <m/>
    <m/>
    <m/>
    <m/>
    <m/>
    <m/>
    <m/>
    <m/>
    <m/>
    <m/>
    <m/>
    <m/>
    <m/>
    <m/>
    <m/>
    <m/>
    <m/>
    <m/>
    <m/>
    <m/>
    <m/>
    <m/>
    <m/>
    <m/>
    <m/>
    <m/>
    <m/>
    <m/>
    <m/>
    <m/>
    <m/>
    <m/>
    <m/>
    <m/>
    <m/>
    <m/>
    <m/>
    <m/>
    <s v="CAD"/>
    <m/>
    <s v="No"/>
    <s v="Gershon Orenstein"/>
    <s v="Gershon Orenstein"/>
    <d v="2026-01-20T09:57:09"/>
    <s v="Promoter"/>
    <s v="Closed"/>
    <m/>
    <m/>
    <s v="Yes"/>
    <m/>
    <m/>
    <m/>
    <m/>
    <m/>
    <m/>
    <m/>
    <m/>
    <m/>
    <m/>
    <m/>
    <m/>
    <m/>
    <m/>
    <m/>
    <m/>
    <s v="Everything, very quick and efficient"/>
    <m/>
    <m/>
    <m/>
    <m/>
    <s v="Wish the quote price can be more higher :)"/>
    <m/>
    <m/>
    <m/>
    <m/>
    <m/>
    <m/>
    <m/>
    <m/>
    <m/>
    <m/>
    <m/>
    <m/>
    <m/>
    <m/>
    <m/>
    <m/>
    <m/>
    <m/>
    <m/>
    <m/>
    <m/>
    <m/>
    <m/>
    <m/>
    <m/>
    <m/>
    <m/>
    <m/>
    <m/>
    <m/>
    <m/>
    <m/>
    <m/>
    <m/>
    <m/>
    <m/>
    <m/>
    <m/>
    <m/>
    <m/>
    <m/>
    <m/>
    <m/>
    <m/>
    <m/>
    <m/>
    <m/>
    <m/>
    <m/>
    <m/>
    <m/>
    <m/>
    <m/>
    <m/>
    <m/>
    <m/>
    <m/>
    <m/>
    <m/>
    <m/>
    <m/>
    <m/>
    <m/>
    <m/>
    <m/>
    <m/>
    <m/>
    <m/>
    <m/>
    <m/>
    <m/>
    <m/>
    <m/>
    <m/>
    <m/>
    <m/>
    <m/>
    <m/>
    <m/>
    <m/>
    <m/>
    <m/>
    <s v="Everything, very quick and efficient"/>
    <s v="Wish the quote price can be more higher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Trade In &gt; Timeliness of Payment &gt;, Trade In &gt; Timeliness of Quote &gt;"/>
    <m/>
    <m/>
    <s v="Pricing &gt; Value for Money &gt; (Negative), Trade In &gt; Quote Price &gt; (Negative), Used &gt; Pricing &gt; (Negative)"/>
    <s v="Trade In &gt; Overall Process &gt; (Strongly positive), Trade In &gt; Quote Price &gt; (Negative), Trade In &gt; Timeliness of Payment &gt; (Strongly positive), Trade In &gt; Timeliness of Quote &gt; (Strongly positive)"/>
    <s v="Yes"/>
    <s v="No"/>
    <m/>
    <x v="25"/>
    <x v="8"/>
    <x v="0"/>
    <m/>
    <x v="0"/>
    <x v="0"/>
  </r>
  <r>
    <s v="Micah Tennant - Used Trade-In Product"/>
    <n v="10"/>
    <n v="5"/>
    <d v="2026-01-20T09:09:56"/>
    <n v="5148846"/>
    <s v="Used Trade-In Product"/>
    <m/>
    <s v="Micah Tennant"/>
    <m/>
    <s v="micahtennant@gmail.com"/>
    <m/>
    <m/>
    <m/>
    <s v="2 years 9 months"/>
    <s v="No"/>
    <m/>
    <m/>
    <s v="micahtennant@gmail.com"/>
    <s v="33"/>
    <m/>
    <m/>
    <m/>
    <m/>
    <m/>
    <m/>
    <m/>
    <m/>
    <d v="2026-01-26T12:25:36"/>
    <d v="2026-01-19T12:55:46"/>
    <m/>
    <s v="1133687"/>
    <m/>
    <m/>
    <m/>
    <m/>
    <m/>
    <m/>
    <m/>
    <m/>
    <m/>
    <m/>
    <m/>
    <m/>
    <m/>
    <m/>
    <m/>
    <m/>
    <m/>
    <m/>
    <m/>
    <m/>
    <m/>
    <m/>
    <s v="https://bnh.lightning.force.com/0018X00003FJs67QAD"/>
    <m/>
    <m/>
    <m/>
    <m/>
    <m/>
    <m/>
    <m/>
    <m/>
    <m/>
    <m/>
    <m/>
    <m/>
    <m/>
    <m/>
    <m/>
    <m/>
    <m/>
    <m/>
    <m/>
    <m/>
    <m/>
    <m/>
    <m/>
    <m/>
    <m/>
    <m/>
    <m/>
    <m/>
    <m/>
    <m/>
    <m/>
    <m/>
    <m/>
    <m/>
    <m/>
    <m/>
    <m/>
    <m/>
    <s v="CAD"/>
    <m/>
    <s v="No"/>
    <s v="Gershon Orenstein,Avraham Schwartz,Reina Caba,Avraham Schwartz,Reina Caba"/>
    <s v="Reina Caba"/>
    <d v="2026-01-20T09:07:53"/>
    <s v="Promoter"/>
    <s v="Closed"/>
    <m/>
    <m/>
    <s v="Yes"/>
    <m/>
    <m/>
    <m/>
    <m/>
    <m/>
    <m/>
    <m/>
    <m/>
    <m/>
    <m/>
    <m/>
    <m/>
    <m/>
    <m/>
    <m/>
    <m/>
    <s v="Quick quote from the online tool"/>
    <m/>
    <m/>
    <m/>
    <m/>
    <s v="I had expected a request for confirmation of the price after B&amp;H reviewed the lenses, but in the email they just said they had sent a check. Not a big deal since the sale price matched the quote, but a small comment."/>
    <m/>
    <m/>
    <m/>
    <m/>
    <m/>
    <m/>
    <m/>
    <m/>
    <m/>
    <m/>
    <m/>
    <m/>
    <m/>
    <m/>
    <m/>
    <m/>
    <m/>
    <m/>
    <m/>
    <m/>
    <m/>
    <m/>
    <m/>
    <m/>
    <m/>
    <m/>
    <m/>
    <m/>
    <m/>
    <m/>
    <m/>
    <m/>
    <m/>
    <m/>
    <m/>
    <m/>
    <m/>
    <m/>
    <m/>
    <m/>
    <m/>
    <m/>
    <m/>
    <m/>
    <m/>
    <m/>
    <m/>
    <m/>
    <m/>
    <m/>
    <m/>
    <m/>
    <m/>
    <m/>
    <m/>
    <m/>
    <m/>
    <m/>
    <m/>
    <m/>
    <m/>
    <m/>
    <m/>
    <m/>
    <m/>
    <m/>
    <m/>
    <m/>
    <m/>
    <m/>
    <m/>
    <m/>
    <m/>
    <m/>
    <m/>
    <m/>
    <m/>
    <m/>
    <m/>
    <m/>
    <m/>
    <m/>
    <s v="Quick quote from the online tool"/>
    <s v="I had expected a request for confirmation of the price after B&amp;H reviewed the lenses, but in the email they just said they had sent a check. Not a big deal since the sale price matched the quote, but a small com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4"/>
    <n v="4"/>
    <n v="4"/>
    <m/>
    <m/>
    <m/>
    <m/>
    <m/>
    <m/>
    <m/>
    <m/>
    <m/>
    <m/>
    <m/>
    <m/>
    <m/>
    <m/>
    <m/>
    <m/>
    <m/>
    <m/>
    <m/>
    <m/>
    <m/>
    <m/>
    <m/>
    <m/>
    <m/>
    <m/>
    <m/>
    <m/>
    <m/>
    <m/>
    <m/>
    <m/>
    <m/>
    <m/>
    <m/>
    <m/>
    <m/>
    <m/>
    <m/>
    <m/>
    <m/>
    <m/>
    <m/>
    <m/>
    <m/>
    <m/>
    <m/>
    <m/>
    <m/>
    <m/>
    <m/>
    <m/>
    <m/>
    <m/>
    <m/>
    <m/>
    <m/>
    <m/>
    <m/>
    <m/>
    <m/>
    <m/>
    <m/>
    <m/>
    <m/>
    <m/>
    <m/>
    <m/>
    <m/>
    <m/>
    <m/>
    <m/>
    <m/>
    <m/>
    <m/>
    <m/>
    <m/>
    <m/>
    <m/>
    <m/>
    <m/>
    <m/>
    <m/>
    <m/>
    <m/>
    <m/>
    <m/>
    <m/>
    <m/>
    <m/>
    <m/>
    <m/>
    <m/>
    <m/>
    <m/>
    <m/>
    <m/>
    <m/>
    <m/>
    <m/>
    <m/>
    <s v="Pricing &gt; Price Match &gt;, Trade In &gt; Overall Process &gt;, Trade In &gt; Quote Price &gt;, Trade In &gt; Timeliness of Quote &gt;, Used &gt; Pricing &gt;"/>
    <s v="Trade In &gt; Overall Process &gt;, Trade In &gt; Quote Price &gt;, Trade In &gt; Timeliness of Quote &gt;"/>
    <m/>
    <m/>
    <s v="Pricing &gt; Price Match &gt; (No opinion), Trade In &gt; Overall Process &gt; (Positive), Trade In &gt; Quote Price &gt; (No opinion), Trade In &gt; Timeliness of Quote &gt; (Positive), Used &gt; Pricing &gt; (Negative), Used &gt; Pricing &gt; (No opinion)"/>
    <s v="Trade In &gt; Overall Process &gt; (Positive), Trade In &gt; Quote Price &gt; (Positive), Trade In &gt; Timeliness of Quote &gt; (Positive)"/>
    <s v="Yes"/>
    <s v="Yes"/>
    <m/>
    <x v="13"/>
    <x v="0"/>
    <x v="0"/>
    <m/>
    <x v="0"/>
    <x v="0"/>
  </r>
  <r>
    <s v="Steve Solomon - Used Trade-In Product"/>
    <n v="10"/>
    <n v="5"/>
    <d v="2026-01-19T18:07:15"/>
    <n v="5147979"/>
    <s v="Used Trade-In Product"/>
    <m/>
    <s v="Steve Solomon"/>
    <m/>
    <s v="steve@totalqualityphoto.com"/>
    <m/>
    <m/>
    <m/>
    <s v="3 years 2 months"/>
    <s v="Yes"/>
    <m/>
    <m/>
    <s v="steve@totalqualityphoto.com"/>
    <s v="38"/>
    <m/>
    <m/>
    <m/>
    <m/>
    <m/>
    <m/>
    <m/>
    <m/>
    <d v="2026-01-20T09:21:11"/>
    <d v="2026-01-19T20:23:45"/>
    <m/>
    <s v="1135932"/>
    <m/>
    <m/>
    <m/>
    <m/>
    <m/>
    <m/>
    <m/>
    <m/>
    <m/>
    <m/>
    <m/>
    <m/>
    <m/>
    <m/>
    <m/>
    <m/>
    <m/>
    <m/>
    <m/>
    <m/>
    <m/>
    <m/>
    <s v="https://bnh.lightning.force.com/0018X000038Cq6bQAC"/>
    <m/>
    <m/>
    <m/>
    <m/>
    <m/>
    <m/>
    <m/>
    <m/>
    <m/>
    <m/>
    <m/>
    <m/>
    <m/>
    <m/>
    <m/>
    <m/>
    <m/>
    <m/>
    <m/>
    <m/>
    <m/>
    <m/>
    <m/>
    <m/>
    <m/>
    <m/>
    <m/>
    <m/>
    <m/>
    <m/>
    <m/>
    <m/>
    <m/>
    <m/>
    <m/>
    <m/>
    <m/>
    <m/>
    <s v="CAD"/>
    <m/>
    <s v="No"/>
    <s v="Andrea Garcia"/>
    <s v="Andrea Garcia"/>
    <d v="2026-01-19T18:06:15"/>
    <s v="Promoter"/>
    <s v="Closed"/>
    <m/>
    <m/>
    <s v="Yes"/>
    <m/>
    <m/>
    <m/>
    <m/>
    <m/>
    <m/>
    <m/>
    <m/>
    <m/>
    <m/>
    <m/>
    <m/>
    <m/>
    <m/>
    <m/>
    <m/>
    <s v="Web app is great!"/>
    <m/>
    <m/>
    <m/>
    <m/>
    <s v="NA"/>
    <m/>
    <m/>
    <m/>
    <m/>
    <m/>
    <m/>
    <m/>
    <m/>
    <m/>
    <m/>
    <m/>
    <m/>
    <m/>
    <m/>
    <m/>
    <m/>
    <m/>
    <m/>
    <m/>
    <m/>
    <m/>
    <m/>
    <m/>
    <m/>
    <m/>
    <m/>
    <m/>
    <m/>
    <m/>
    <m/>
    <m/>
    <m/>
    <m/>
    <m/>
    <m/>
    <m/>
    <m/>
    <m/>
    <m/>
    <m/>
    <m/>
    <m/>
    <m/>
    <m/>
    <m/>
    <m/>
    <m/>
    <m/>
    <m/>
    <m/>
    <m/>
    <m/>
    <m/>
    <m/>
    <m/>
    <m/>
    <m/>
    <m/>
    <m/>
    <m/>
    <m/>
    <m/>
    <m/>
    <m/>
    <m/>
    <m/>
    <m/>
    <m/>
    <m/>
    <m/>
    <m/>
    <m/>
    <m/>
    <m/>
    <m/>
    <m/>
    <m/>
    <m/>
    <m/>
    <m/>
    <m/>
    <m/>
    <s v="Web app is great!"/>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s v="N/A"/>
    <m/>
    <m/>
    <m/>
    <m/>
    <n v="5"/>
    <n v="5"/>
    <m/>
    <m/>
    <m/>
    <m/>
    <m/>
    <m/>
    <s v="N/A"/>
    <s v="N/A"/>
    <s v="N/A"/>
    <s v="N/A"/>
    <m/>
    <m/>
    <m/>
    <m/>
    <m/>
    <m/>
    <m/>
    <m/>
    <m/>
    <m/>
    <m/>
    <m/>
    <m/>
    <m/>
    <m/>
    <m/>
    <m/>
    <m/>
    <m/>
    <m/>
    <m/>
    <m/>
    <m/>
    <m/>
    <m/>
    <m/>
    <m/>
    <m/>
    <m/>
    <m/>
    <m/>
    <m/>
    <m/>
    <m/>
    <m/>
    <m/>
    <m/>
    <m/>
    <m/>
    <m/>
    <m/>
    <m/>
    <m/>
    <m/>
    <m/>
    <m/>
    <m/>
    <m/>
    <m/>
    <m/>
    <m/>
    <m/>
    <m/>
    <m/>
    <m/>
    <m/>
    <m/>
    <m/>
    <m/>
    <m/>
    <m/>
    <m/>
    <m/>
    <m/>
    <m/>
    <m/>
    <m/>
    <m/>
    <m/>
    <m/>
    <m/>
    <m/>
    <m/>
    <m/>
    <m/>
    <m/>
    <m/>
    <m/>
    <m/>
    <m/>
    <m/>
    <m/>
    <m/>
    <m/>
    <m/>
    <m/>
    <m/>
    <m/>
    <m/>
    <m/>
    <m/>
    <m/>
    <m/>
    <m/>
    <m/>
    <m/>
    <m/>
    <m/>
    <m/>
    <m/>
    <m/>
    <s v="Mobile | App &gt; Overall Satisfaction &gt;"/>
    <s v="Mobile | App &gt; Overall Satisfaction &gt;"/>
    <m/>
    <m/>
    <s v="Mobile | App &gt; Overall Satisfaction &gt; (Positive)"/>
    <s v="Mobile | App &gt; Overall Satisfaction &gt; (Positive)"/>
    <s v="No"/>
    <s v="No"/>
    <m/>
    <x v="25"/>
    <x v="0"/>
    <x v="0"/>
    <m/>
    <x v="0"/>
    <x v="0"/>
  </r>
  <r>
    <s v="Royce Bollenbacher - Used Trade-In Product"/>
    <n v="10"/>
    <n v="5"/>
    <d v="2026-01-19T17:53:41"/>
    <n v="5147882"/>
    <s v="Used Trade-In Product"/>
    <m/>
    <s v="Royce Bollenbacher"/>
    <m/>
    <s v="pete.bollenbacher@gmail.com"/>
    <m/>
    <m/>
    <m/>
    <s v="20 years 0 months"/>
    <s v="No"/>
    <m/>
    <m/>
    <s v="pete.bollenbacher@gmail.com"/>
    <s v="240"/>
    <m/>
    <m/>
    <m/>
    <m/>
    <m/>
    <m/>
    <m/>
    <m/>
    <d v="2026-01-20T09:17:29"/>
    <d v="2026-01-19T16:17:31"/>
    <m/>
    <s v="1135576"/>
    <m/>
    <m/>
    <m/>
    <m/>
    <m/>
    <m/>
    <m/>
    <m/>
    <m/>
    <m/>
    <m/>
    <m/>
    <m/>
    <m/>
    <m/>
    <m/>
    <m/>
    <m/>
    <m/>
    <m/>
    <m/>
    <m/>
    <s v="https://bnh.lightning.force.com/0011a00000FrZlAAAV"/>
    <m/>
    <m/>
    <m/>
    <m/>
    <m/>
    <m/>
    <m/>
    <m/>
    <m/>
    <m/>
    <m/>
    <m/>
    <m/>
    <m/>
    <m/>
    <m/>
    <m/>
    <m/>
    <m/>
    <m/>
    <m/>
    <m/>
    <m/>
    <m/>
    <m/>
    <m/>
    <m/>
    <m/>
    <m/>
    <m/>
    <m/>
    <m/>
    <m/>
    <m/>
    <m/>
    <m/>
    <m/>
    <m/>
    <s v="CAD"/>
    <m/>
    <s v="No"/>
    <s v="Emily Schreier"/>
    <s v="Emily Schreier"/>
    <d v="2026-01-19T17:50:09"/>
    <s v="Promoter"/>
    <s v="Closed"/>
    <m/>
    <m/>
    <s v="Yes"/>
    <m/>
    <m/>
    <m/>
    <m/>
    <m/>
    <m/>
    <m/>
    <m/>
    <m/>
    <m/>
    <m/>
    <m/>
    <m/>
    <m/>
    <m/>
    <m/>
    <s v="The ease of using the TDI to make a new lens purchase."/>
    <m/>
    <m/>
    <m/>
    <m/>
    <s v="N/A"/>
    <m/>
    <m/>
    <m/>
    <m/>
    <m/>
    <m/>
    <m/>
    <m/>
    <m/>
    <m/>
    <m/>
    <m/>
    <m/>
    <m/>
    <m/>
    <m/>
    <m/>
    <m/>
    <m/>
    <m/>
    <m/>
    <m/>
    <m/>
    <m/>
    <m/>
    <m/>
    <m/>
    <m/>
    <m/>
    <m/>
    <m/>
    <m/>
    <m/>
    <m/>
    <m/>
    <m/>
    <m/>
    <m/>
    <m/>
    <m/>
    <m/>
    <m/>
    <m/>
    <m/>
    <m/>
    <m/>
    <m/>
    <m/>
    <m/>
    <m/>
    <m/>
    <m/>
    <m/>
    <m/>
    <m/>
    <m/>
    <m/>
    <m/>
    <m/>
    <m/>
    <m/>
    <m/>
    <m/>
    <m/>
    <m/>
    <m/>
    <m/>
    <m/>
    <m/>
    <m/>
    <m/>
    <m/>
    <m/>
    <m/>
    <m/>
    <m/>
    <m/>
    <m/>
    <m/>
    <m/>
    <m/>
    <m/>
    <s v="The ease of using the TDI to make a new lens purchas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30"/>
    <x v="54"/>
    <x v="0"/>
    <m/>
    <x v="0"/>
    <x v="0"/>
  </r>
  <r>
    <s v="Dennis Hinkamp - Used Trade-In Product"/>
    <n v="8"/>
    <n v="3"/>
    <d v="2026-01-19T17:23:15"/>
    <n v="5147799"/>
    <s v="Used Trade-In Product"/>
    <m/>
    <s v="Dennis Hinkamp"/>
    <m/>
    <s v="dennish@ext.usu.edu"/>
    <m/>
    <m/>
    <m/>
    <s v="22 years 8 months"/>
    <s v="No"/>
    <m/>
    <m/>
    <s v="dennish@ext.usu.edu"/>
    <s v="272"/>
    <m/>
    <m/>
    <m/>
    <m/>
    <m/>
    <m/>
    <m/>
    <m/>
    <d v="2026-02-01T10:46:57"/>
    <d v="2026-01-19T14:17:08"/>
    <m/>
    <s v="1133851"/>
    <m/>
    <m/>
    <m/>
    <m/>
    <m/>
    <m/>
    <m/>
    <m/>
    <m/>
    <m/>
    <m/>
    <m/>
    <m/>
    <m/>
    <m/>
    <m/>
    <m/>
    <m/>
    <m/>
    <m/>
    <m/>
    <m/>
    <s v="https://bnh.lightning.force.com/0011a00000G507DAAR"/>
    <m/>
    <m/>
    <m/>
    <m/>
    <m/>
    <m/>
    <m/>
    <m/>
    <m/>
    <m/>
    <m/>
    <m/>
    <m/>
    <m/>
    <m/>
    <m/>
    <m/>
    <m/>
    <m/>
    <m/>
    <m/>
    <m/>
    <m/>
    <m/>
    <m/>
    <m/>
    <m/>
    <m/>
    <m/>
    <m/>
    <m/>
    <m/>
    <m/>
    <m/>
    <m/>
    <m/>
    <m/>
    <m/>
    <s v="CAD"/>
    <m/>
    <s v="No"/>
    <s v="Emily Schreier,Avraham Schwartz,Reina Caba,Avraham Schwartz,Reina Caba"/>
    <s v="Reina Caba"/>
    <d v="2026-01-19T17:19:49"/>
    <s v="Passive"/>
    <s v="Closed"/>
    <d v="2026-02-01T10:46:53"/>
    <s v="Reina Caba (reinac@bhphoto.com)"/>
    <s v="Yes"/>
    <m/>
    <m/>
    <m/>
    <m/>
    <m/>
    <m/>
    <m/>
    <m/>
    <m/>
    <m/>
    <m/>
    <m/>
    <m/>
    <m/>
    <m/>
    <m/>
    <s v="The quotes and shipping experience were easy"/>
    <m/>
    <m/>
    <m/>
    <m/>
    <s v="It took longer than expected to get the credit. Also I had hoped the store credit would be easier to use. You can't shop online and have to call a live salesperson and give all your numbers. If I do this again I will likely just ask for a check"/>
    <m/>
    <m/>
    <m/>
    <m/>
    <m/>
    <m/>
    <m/>
    <m/>
    <m/>
    <m/>
    <m/>
    <m/>
    <m/>
    <m/>
    <m/>
    <m/>
    <m/>
    <m/>
    <m/>
    <m/>
    <m/>
    <m/>
    <m/>
    <m/>
    <m/>
    <m/>
    <m/>
    <m/>
    <m/>
    <m/>
    <m/>
    <m/>
    <m/>
    <m/>
    <m/>
    <m/>
    <m/>
    <m/>
    <m/>
    <m/>
    <m/>
    <m/>
    <m/>
    <m/>
    <m/>
    <m/>
    <m/>
    <m/>
    <m/>
    <m/>
    <m/>
    <m/>
    <m/>
    <m/>
    <m/>
    <m/>
    <m/>
    <m/>
    <m/>
    <m/>
    <m/>
    <m/>
    <m/>
    <m/>
    <m/>
    <m/>
    <m/>
    <m/>
    <m/>
    <m/>
    <m/>
    <m/>
    <m/>
    <m/>
    <m/>
    <m/>
    <m/>
    <m/>
    <m/>
    <m/>
    <m/>
    <m/>
    <s v="The quotes and shipping experience were easy"/>
    <s v="It took longer than expected to get the credit. Also I had hoped the store credit would be easier to use. You can't shop online and have to call a live salesperson and give all your numbers. If I do this again I will likely just ask for a che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2"/>
    <n v="4"/>
    <n v="3"/>
    <n v="3"/>
    <m/>
    <m/>
    <m/>
    <m/>
    <m/>
    <m/>
    <m/>
    <m/>
    <m/>
    <m/>
    <m/>
    <m/>
    <m/>
    <m/>
    <m/>
    <m/>
    <m/>
    <m/>
    <m/>
    <m/>
    <m/>
    <m/>
    <m/>
    <m/>
    <m/>
    <m/>
    <m/>
    <m/>
    <m/>
    <m/>
    <m/>
    <m/>
    <m/>
    <m/>
    <m/>
    <m/>
    <m/>
    <m/>
    <m/>
    <m/>
    <m/>
    <m/>
    <m/>
    <m/>
    <m/>
    <m/>
    <m/>
    <m/>
    <m/>
    <m/>
    <m/>
    <m/>
    <m/>
    <m/>
    <m/>
    <m/>
    <m/>
    <m/>
    <m/>
    <m/>
    <m/>
    <m/>
    <m/>
    <m/>
    <m/>
    <m/>
    <m/>
    <m/>
    <m/>
    <m/>
    <m/>
    <m/>
    <m/>
    <m/>
    <m/>
    <m/>
    <m/>
    <m/>
    <m/>
    <m/>
    <m/>
    <m/>
    <m/>
    <m/>
    <m/>
    <m/>
    <m/>
    <m/>
    <m/>
    <m/>
    <m/>
    <m/>
    <m/>
    <m/>
    <m/>
    <m/>
    <m/>
    <m/>
    <m/>
    <m/>
    <m/>
    <s v="Trade In &gt; Overall Process &gt;, Used &gt; Description &gt;"/>
    <s v="Trade In &gt; Overall Process &gt;, Trade In &gt; Timeliness of Payment &gt;"/>
    <m/>
    <m/>
    <s v="Trade In &gt; Overall Process &gt; (Positive), Used &gt; Description &gt; (Negative)"/>
    <s v="Trade In &gt; Overall Process &gt; (Negative), Trade In &gt; Overall Process &gt; (Positive), Trade In &gt; Timeliness of Payment &gt; (Negative)"/>
    <s v="Yes"/>
    <s v="No"/>
    <m/>
    <x v="21"/>
    <x v="55"/>
    <x v="9"/>
    <s v="Wants to use trade-in store credit online (instead of having to call in)"/>
    <x v="0"/>
    <x v="0"/>
  </r>
  <r>
    <s v="Steven R Allen - Used Trade-In Product"/>
    <n v="10"/>
    <n v="5"/>
    <d v="2026-01-19T15:36:52"/>
    <n v="5147530"/>
    <s v="Used Trade-In Product"/>
    <m/>
    <s v="Steven R Allen"/>
    <m/>
    <s v="steve.allen@stwd.com"/>
    <m/>
    <m/>
    <m/>
    <s v="12 years 5 months"/>
    <s v="Yes"/>
    <m/>
    <m/>
    <s v="steve.allen@stwd.com"/>
    <s v="149"/>
    <m/>
    <m/>
    <m/>
    <m/>
    <m/>
    <m/>
    <m/>
    <m/>
    <d v="2026-01-20T08:58:45"/>
    <d v="2026-01-19T18:17:33"/>
    <m/>
    <s v="1135600"/>
    <m/>
    <m/>
    <m/>
    <m/>
    <m/>
    <m/>
    <m/>
    <m/>
    <m/>
    <m/>
    <m/>
    <m/>
    <m/>
    <m/>
    <m/>
    <m/>
    <m/>
    <m/>
    <m/>
    <m/>
    <m/>
    <m/>
    <s v="https://bnh.lightning.force.com/0018X00003PEQDDQA5"/>
    <m/>
    <m/>
    <m/>
    <m/>
    <m/>
    <m/>
    <m/>
    <m/>
    <m/>
    <m/>
    <m/>
    <m/>
    <m/>
    <m/>
    <m/>
    <m/>
    <m/>
    <m/>
    <m/>
    <m/>
    <m/>
    <m/>
    <m/>
    <m/>
    <m/>
    <m/>
    <m/>
    <m/>
    <m/>
    <m/>
    <m/>
    <m/>
    <m/>
    <m/>
    <m/>
    <m/>
    <m/>
    <m/>
    <s v="CAD"/>
    <m/>
    <s v="No"/>
    <s v="Zane Bohnert"/>
    <s v="Zane Bohnert"/>
    <d v="2026-01-19T15:37:20"/>
    <s v="Promoter"/>
    <s v="Closed"/>
    <m/>
    <m/>
    <s v="Yes"/>
    <m/>
    <m/>
    <m/>
    <m/>
    <m/>
    <m/>
    <m/>
    <m/>
    <m/>
    <m/>
    <m/>
    <m/>
    <m/>
    <m/>
    <m/>
    <m/>
    <s v="Ease of use and selection of gear."/>
    <m/>
    <m/>
    <m/>
    <m/>
    <s v="None"/>
    <m/>
    <m/>
    <m/>
    <m/>
    <m/>
    <m/>
    <m/>
    <m/>
    <m/>
    <m/>
    <m/>
    <m/>
    <m/>
    <m/>
    <m/>
    <m/>
    <m/>
    <m/>
    <m/>
    <m/>
    <m/>
    <m/>
    <m/>
    <m/>
    <m/>
    <m/>
    <m/>
    <m/>
    <m/>
    <m/>
    <m/>
    <m/>
    <m/>
    <m/>
    <m/>
    <m/>
    <m/>
    <m/>
    <m/>
    <m/>
    <m/>
    <m/>
    <m/>
    <m/>
    <m/>
    <m/>
    <m/>
    <m/>
    <m/>
    <m/>
    <m/>
    <m/>
    <m/>
    <m/>
    <m/>
    <m/>
    <m/>
    <m/>
    <m/>
    <m/>
    <m/>
    <m/>
    <m/>
    <m/>
    <m/>
    <m/>
    <m/>
    <m/>
    <m/>
    <m/>
    <m/>
    <m/>
    <m/>
    <m/>
    <m/>
    <m/>
    <m/>
    <m/>
    <m/>
    <m/>
    <m/>
    <m/>
    <s v="Ease of use and selection of gear."/>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s v="N/A"/>
    <n v="5"/>
    <s v="N/A"/>
    <m/>
    <m/>
    <m/>
    <m/>
    <m/>
    <m/>
    <m/>
    <m/>
    <m/>
    <m/>
    <m/>
    <m/>
    <m/>
    <m/>
    <m/>
    <m/>
    <m/>
    <m/>
    <m/>
    <m/>
    <m/>
    <m/>
    <m/>
    <m/>
    <m/>
    <m/>
    <m/>
    <m/>
    <m/>
    <m/>
    <m/>
    <m/>
    <m/>
    <m/>
    <m/>
    <m/>
    <m/>
    <m/>
    <m/>
    <m/>
    <m/>
    <m/>
    <m/>
    <m/>
    <m/>
    <m/>
    <m/>
    <m/>
    <m/>
    <m/>
    <m/>
    <m/>
    <m/>
    <m/>
    <m/>
    <m/>
    <m/>
    <m/>
    <m/>
    <m/>
    <m/>
    <m/>
    <m/>
    <m/>
    <m/>
    <m/>
    <m/>
    <m/>
    <m/>
    <m/>
    <m/>
    <m/>
    <m/>
    <m/>
    <m/>
    <m/>
    <m/>
    <m/>
    <m/>
    <m/>
    <m/>
    <m/>
    <m/>
    <m/>
    <m/>
    <m/>
    <m/>
    <m/>
    <m/>
    <m/>
    <m/>
    <m/>
    <m/>
    <m/>
    <m/>
    <m/>
    <m/>
    <m/>
    <m/>
    <m/>
    <m/>
    <s v="Product &gt; Selection / Variety &gt;"/>
    <s v="Product &gt; Selection / Variety &gt;, Trade In &gt; Overall Process &gt;"/>
    <m/>
    <m/>
    <s v="Product &gt; Selection / Variety &gt; (No opinion)"/>
    <s v="Product &gt; Selection / Variety &gt; (Positive), Trade In &gt; Overall Process &gt; (Positive)"/>
    <s v="Yes"/>
    <s v="Yes"/>
    <m/>
    <x v="5"/>
    <x v="0"/>
    <x v="0"/>
    <m/>
    <x v="0"/>
    <x v="0"/>
  </r>
  <r>
    <s v="Jeremiah Hwang - Used Trade-In Product"/>
    <n v="9"/>
    <n v="5"/>
    <d v="2026-01-19T12:08:07"/>
    <n v="5146977"/>
    <s v="Used Trade-In Product"/>
    <m/>
    <s v="Jeremiah Hwang"/>
    <m/>
    <s v="jeremyhwang@gmail.com"/>
    <m/>
    <m/>
    <m/>
    <s v="10 years 3 months"/>
    <s v="No"/>
    <m/>
    <m/>
    <s v="jeremyhwang@gmail.com"/>
    <s v="123"/>
    <m/>
    <m/>
    <m/>
    <m/>
    <m/>
    <m/>
    <m/>
    <m/>
    <d v="2026-01-19T13:06:07"/>
    <d v="2026-01-19T12:54:56"/>
    <m/>
    <s v="1131361"/>
    <m/>
    <m/>
    <m/>
    <m/>
    <m/>
    <m/>
    <m/>
    <m/>
    <m/>
    <m/>
    <m/>
    <m/>
    <m/>
    <m/>
    <m/>
    <m/>
    <m/>
    <m/>
    <m/>
    <m/>
    <m/>
    <m/>
    <s v="https://bnh.lightning.force.com/0018X00003UUwFXQA1"/>
    <m/>
    <m/>
    <m/>
    <m/>
    <m/>
    <m/>
    <m/>
    <m/>
    <m/>
    <m/>
    <m/>
    <m/>
    <m/>
    <m/>
    <m/>
    <m/>
    <m/>
    <m/>
    <m/>
    <m/>
    <m/>
    <m/>
    <m/>
    <m/>
    <m/>
    <m/>
    <m/>
    <m/>
    <m/>
    <m/>
    <m/>
    <m/>
    <m/>
    <m/>
    <m/>
    <m/>
    <m/>
    <m/>
    <s v="CAD"/>
    <m/>
    <s v="No"/>
    <s v="Sergio Jonusas"/>
    <s v="Sergio Jonusas"/>
    <d v="2026-01-19T12:08:25"/>
    <s v="Promoter"/>
    <s v="Closed"/>
    <m/>
    <m/>
    <s v="Yes"/>
    <m/>
    <m/>
    <m/>
    <m/>
    <m/>
    <m/>
    <m/>
    <m/>
    <m/>
    <m/>
    <m/>
    <m/>
    <m/>
    <m/>
    <m/>
    <m/>
    <s v="Very good pricing"/>
    <m/>
    <m/>
    <m/>
    <m/>
    <s v="Took a bit long to receive funds"/>
    <m/>
    <m/>
    <m/>
    <m/>
    <m/>
    <m/>
    <m/>
    <m/>
    <m/>
    <m/>
    <m/>
    <m/>
    <m/>
    <m/>
    <m/>
    <m/>
    <m/>
    <m/>
    <m/>
    <m/>
    <m/>
    <m/>
    <m/>
    <m/>
    <m/>
    <m/>
    <m/>
    <m/>
    <m/>
    <m/>
    <m/>
    <m/>
    <m/>
    <m/>
    <m/>
    <m/>
    <m/>
    <m/>
    <m/>
    <m/>
    <m/>
    <m/>
    <m/>
    <m/>
    <m/>
    <m/>
    <m/>
    <m/>
    <m/>
    <m/>
    <m/>
    <m/>
    <m/>
    <m/>
    <m/>
    <m/>
    <m/>
    <m/>
    <m/>
    <m/>
    <m/>
    <m/>
    <m/>
    <m/>
    <m/>
    <m/>
    <m/>
    <m/>
    <m/>
    <m/>
    <m/>
    <m/>
    <m/>
    <m/>
    <m/>
    <m/>
    <m/>
    <m/>
    <m/>
    <m/>
    <m/>
    <m/>
    <s v="Very good pricing"/>
    <s v="Took a bit long to receive fund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4"/>
    <n v="5"/>
    <n v="5"/>
    <n v="4"/>
    <m/>
    <m/>
    <m/>
    <m/>
    <m/>
    <m/>
    <m/>
    <m/>
    <m/>
    <m/>
    <m/>
    <m/>
    <m/>
    <m/>
    <m/>
    <m/>
    <m/>
    <m/>
    <m/>
    <m/>
    <m/>
    <m/>
    <m/>
    <m/>
    <m/>
    <m/>
    <m/>
    <m/>
    <m/>
    <m/>
    <m/>
    <m/>
    <m/>
    <m/>
    <m/>
    <m/>
    <m/>
    <m/>
    <m/>
    <m/>
    <m/>
    <m/>
    <m/>
    <m/>
    <m/>
    <m/>
    <m/>
    <m/>
    <m/>
    <m/>
    <m/>
    <m/>
    <m/>
    <m/>
    <m/>
    <m/>
    <m/>
    <m/>
    <m/>
    <m/>
    <m/>
    <m/>
    <m/>
    <m/>
    <m/>
    <m/>
    <m/>
    <m/>
    <m/>
    <m/>
    <m/>
    <m/>
    <m/>
    <m/>
    <m/>
    <m/>
    <m/>
    <m/>
    <m/>
    <m/>
    <m/>
    <m/>
    <m/>
    <m/>
    <m/>
    <m/>
    <m/>
    <m/>
    <m/>
    <m/>
    <m/>
    <m/>
    <m/>
    <m/>
    <m/>
    <m/>
    <m/>
    <m/>
    <m/>
    <m/>
    <m/>
    <s v="Pricing &gt; Value for Money &gt;, Used &gt; Pricing &gt;"/>
    <s v="Trade In &gt; Quote Price &gt;, Trade In &gt; Timeliness of Payment &gt;"/>
    <m/>
    <m/>
    <s v="Pricing &gt; Value for Money &gt; (Positive), Used &gt; Pricing &gt; (Positive)"/>
    <s v="Trade In &gt; Quote Price &gt; (Positive), Trade In &gt; Timeliness of Payment &gt; (Negative)"/>
    <s v="Yes"/>
    <s v="No"/>
    <m/>
    <x v="10"/>
    <x v="11"/>
    <x v="0"/>
    <m/>
    <x v="0"/>
    <x v="0"/>
  </r>
  <r>
    <s v="Thomas Hanlon - Used Trade-In Product"/>
    <n v="10"/>
    <n v="5"/>
    <d v="2026-01-19T11:21:14"/>
    <n v="5146807"/>
    <s v="Used Trade-In Product"/>
    <m/>
    <s v="Thomas Hanlon"/>
    <m/>
    <s v="tom72645@me.com"/>
    <m/>
    <m/>
    <m/>
    <s v="13 years 4 months"/>
    <s v="Yes"/>
    <m/>
    <m/>
    <s v="tom72645@me.com"/>
    <s v="160"/>
    <m/>
    <m/>
    <m/>
    <m/>
    <m/>
    <m/>
    <m/>
    <m/>
    <d v="2026-01-19T13:14:28"/>
    <d v="2026-01-19T12:54:43"/>
    <m/>
    <s v="1132768"/>
    <m/>
    <m/>
    <m/>
    <m/>
    <m/>
    <m/>
    <m/>
    <m/>
    <m/>
    <m/>
    <m/>
    <m/>
    <m/>
    <m/>
    <m/>
    <m/>
    <m/>
    <m/>
    <m/>
    <m/>
    <m/>
    <m/>
    <s v="https://bnh.lightning.force.com/0011a00000G5USYAA3"/>
    <m/>
    <m/>
    <m/>
    <m/>
    <m/>
    <m/>
    <m/>
    <m/>
    <m/>
    <m/>
    <m/>
    <m/>
    <m/>
    <m/>
    <m/>
    <m/>
    <m/>
    <m/>
    <m/>
    <m/>
    <m/>
    <m/>
    <m/>
    <m/>
    <m/>
    <m/>
    <m/>
    <m/>
    <m/>
    <m/>
    <m/>
    <m/>
    <m/>
    <m/>
    <m/>
    <m/>
    <m/>
    <m/>
    <s v="CAD"/>
    <m/>
    <s v="No"/>
    <s v="Sergio Jonusas"/>
    <s v="Sergio Jonusas"/>
    <d v="2026-01-19T11:19:15"/>
    <s v="Promoter"/>
    <s v="Closed"/>
    <m/>
    <m/>
    <s v="Yes"/>
    <m/>
    <m/>
    <m/>
    <m/>
    <m/>
    <m/>
    <m/>
    <m/>
    <m/>
    <m/>
    <m/>
    <m/>
    <m/>
    <m/>
    <m/>
    <m/>
    <s v="I received more for my gear than the original quote because of some small items I throw in the box. I did not expect to get more than the original quote."/>
    <m/>
    <m/>
    <m/>
    <m/>
    <s v="Nothing"/>
    <m/>
    <m/>
    <m/>
    <m/>
    <m/>
    <m/>
    <m/>
    <m/>
    <m/>
    <m/>
    <m/>
    <m/>
    <m/>
    <m/>
    <m/>
    <m/>
    <m/>
    <m/>
    <m/>
    <m/>
    <m/>
    <m/>
    <m/>
    <m/>
    <m/>
    <m/>
    <m/>
    <m/>
    <m/>
    <m/>
    <m/>
    <m/>
    <m/>
    <m/>
    <m/>
    <m/>
    <m/>
    <m/>
    <m/>
    <m/>
    <m/>
    <m/>
    <m/>
    <m/>
    <m/>
    <m/>
    <m/>
    <m/>
    <m/>
    <m/>
    <m/>
    <m/>
    <m/>
    <m/>
    <m/>
    <m/>
    <m/>
    <m/>
    <m/>
    <m/>
    <m/>
    <m/>
    <m/>
    <m/>
    <m/>
    <m/>
    <m/>
    <m/>
    <m/>
    <m/>
    <m/>
    <m/>
    <m/>
    <m/>
    <m/>
    <m/>
    <m/>
    <m/>
    <m/>
    <m/>
    <m/>
    <m/>
    <s v="I received more for my gear than the original quote because of some small items I throw in the box. I did not expect to get more than the original quot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Overall Process &gt;"/>
    <s v="Trade In &gt; Overall Process &gt;, Trade In &gt; Quote Price &gt;"/>
    <m/>
    <m/>
    <s v="Pricing &gt; Value for Money &gt; (No opinion), Trade In &gt; Overall Process &gt; (No opinion)"/>
    <s v="Trade In &gt; Overall Process &gt; (Positive), Trade In &gt; Quote Price &gt; (Positive)"/>
    <s v="Yes"/>
    <s v="Yes"/>
    <m/>
    <x v="38"/>
    <x v="0"/>
    <x v="0"/>
    <m/>
    <x v="0"/>
    <x v="0"/>
  </r>
  <r>
    <s v="Diana Bowen - Used Trade-In Product"/>
    <n v="10"/>
    <n v="5"/>
    <d v="2026-01-17T15:30:32"/>
    <n v="5143868"/>
    <s v="Used Trade-In Product"/>
    <m/>
    <s v="Diana Bowen"/>
    <m/>
    <s v="dianaobowen@gmail.com"/>
    <m/>
    <m/>
    <m/>
    <s v="15 years 8 months"/>
    <s v="Yes"/>
    <m/>
    <m/>
    <s v="dianaobowen@gmail.com"/>
    <s v="188"/>
    <m/>
    <m/>
    <m/>
    <m/>
    <m/>
    <m/>
    <m/>
    <m/>
    <d v="2026-01-19T09:24:26"/>
    <d v="2026-01-14T19:26:11"/>
    <m/>
    <s v="1132724"/>
    <m/>
    <m/>
    <m/>
    <m/>
    <m/>
    <m/>
    <m/>
    <m/>
    <m/>
    <m/>
    <m/>
    <m/>
    <m/>
    <m/>
    <m/>
    <m/>
    <m/>
    <m/>
    <m/>
    <m/>
    <m/>
    <m/>
    <s v="https://bnh.lightning.force.com/0012L00001JTYIHQA5"/>
    <m/>
    <m/>
    <m/>
    <m/>
    <m/>
    <m/>
    <m/>
    <m/>
    <m/>
    <m/>
    <m/>
    <m/>
    <m/>
    <m/>
    <m/>
    <m/>
    <m/>
    <m/>
    <m/>
    <m/>
    <m/>
    <m/>
    <m/>
    <m/>
    <m/>
    <m/>
    <m/>
    <m/>
    <m/>
    <m/>
    <m/>
    <m/>
    <m/>
    <m/>
    <m/>
    <m/>
    <m/>
    <m/>
    <s v="CAD"/>
    <m/>
    <s v="No"/>
    <s v="Andrea Garcia"/>
    <s v="Andrea Garcia"/>
    <d v="2026-01-17T15:25:31"/>
    <s v="Promoter"/>
    <s v="Closed"/>
    <m/>
    <m/>
    <s v="Yes"/>
    <m/>
    <m/>
    <m/>
    <m/>
    <m/>
    <m/>
    <m/>
    <m/>
    <m/>
    <m/>
    <m/>
    <m/>
    <m/>
    <m/>
    <m/>
    <m/>
    <s v="it's very nice that you provided a prepaid shipping label. also helpful that you recycled the equipment that I'd shipped you that ended up being too damaged to buy."/>
    <m/>
    <m/>
    <m/>
    <m/>
    <s v="packing my large order into one box was difficult"/>
    <m/>
    <m/>
    <m/>
    <m/>
    <m/>
    <m/>
    <m/>
    <m/>
    <m/>
    <m/>
    <m/>
    <m/>
    <m/>
    <m/>
    <m/>
    <m/>
    <m/>
    <m/>
    <m/>
    <m/>
    <m/>
    <m/>
    <m/>
    <m/>
    <m/>
    <m/>
    <m/>
    <m/>
    <m/>
    <m/>
    <m/>
    <m/>
    <m/>
    <m/>
    <m/>
    <m/>
    <m/>
    <m/>
    <m/>
    <m/>
    <m/>
    <m/>
    <m/>
    <m/>
    <m/>
    <m/>
    <m/>
    <m/>
    <m/>
    <m/>
    <m/>
    <m/>
    <m/>
    <m/>
    <m/>
    <m/>
    <m/>
    <m/>
    <m/>
    <m/>
    <m/>
    <m/>
    <m/>
    <m/>
    <m/>
    <m/>
    <m/>
    <m/>
    <m/>
    <m/>
    <m/>
    <m/>
    <m/>
    <m/>
    <m/>
    <m/>
    <m/>
    <m/>
    <m/>
    <m/>
    <m/>
    <m/>
    <s v="it's very nice that you provided a prepaid shipping label. also helpful that you recycled the equipment that I'd shipped you that ended up being too damaged to buy."/>
    <s v="packing my large order into one box was difficul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4"/>
    <n v="4"/>
    <n v="4"/>
    <n v="5"/>
    <m/>
    <m/>
    <m/>
    <m/>
    <m/>
    <m/>
    <m/>
    <m/>
    <m/>
    <m/>
    <m/>
    <m/>
    <m/>
    <m/>
    <m/>
    <m/>
    <m/>
    <m/>
    <m/>
    <m/>
    <m/>
    <m/>
    <m/>
    <m/>
    <m/>
    <m/>
    <m/>
    <m/>
    <m/>
    <m/>
    <m/>
    <m/>
    <m/>
    <m/>
    <m/>
    <m/>
    <m/>
    <m/>
    <m/>
    <m/>
    <m/>
    <m/>
    <m/>
    <m/>
    <m/>
    <m/>
    <m/>
    <m/>
    <m/>
    <m/>
    <m/>
    <m/>
    <m/>
    <m/>
    <m/>
    <m/>
    <m/>
    <m/>
    <m/>
    <m/>
    <m/>
    <m/>
    <m/>
    <m/>
    <m/>
    <m/>
    <m/>
    <m/>
    <m/>
    <m/>
    <m/>
    <m/>
    <m/>
    <m/>
    <m/>
    <m/>
    <m/>
    <m/>
    <m/>
    <m/>
    <m/>
    <m/>
    <m/>
    <m/>
    <m/>
    <m/>
    <m/>
    <m/>
    <m/>
    <m/>
    <m/>
    <m/>
    <m/>
    <m/>
    <m/>
    <m/>
    <m/>
    <m/>
    <m/>
    <m/>
    <m/>
    <m/>
    <s v="People &gt; Helpful / Efficient &gt;, Trade In &gt; Overall Process &gt;"/>
    <m/>
    <m/>
    <m/>
    <s v="People &gt; Helpful / Efficient &gt; (Positive), Trade In &gt; Overall Process &gt; (Negative), Trade In &gt; Overall Process &gt; (Positive)"/>
    <s v="Yes"/>
    <s v="No"/>
    <m/>
    <x v="44"/>
    <x v="56"/>
    <x v="0"/>
    <m/>
    <x v="0"/>
    <x v="0"/>
  </r>
  <r>
    <s v="Clara Gimenez - Used Trade-In Product"/>
    <n v="10"/>
    <n v="5"/>
    <d v="2026-01-17T11:26:26"/>
    <n v="5143767"/>
    <s v="Used Trade-In Product"/>
    <m/>
    <s v="Clara Gimenez"/>
    <m/>
    <s v="photovermont@gmail.com"/>
    <m/>
    <m/>
    <m/>
    <s v="12 years 0 months"/>
    <s v="No"/>
    <m/>
    <m/>
    <s v="photovermont@gmail.com"/>
    <s v="144"/>
    <m/>
    <m/>
    <m/>
    <m/>
    <m/>
    <m/>
    <m/>
    <m/>
    <d v="2026-01-19T09:26:11"/>
    <d v="2026-01-16T12:57:55"/>
    <m/>
    <s v="1133616"/>
    <m/>
    <m/>
    <m/>
    <m/>
    <m/>
    <m/>
    <m/>
    <m/>
    <m/>
    <m/>
    <m/>
    <m/>
    <m/>
    <m/>
    <m/>
    <m/>
    <m/>
    <m/>
    <m/>
    <m/>
    <m/>
    <m/>
    <s v="https://bnh.lightning.force.com/001Hs00005n2knKIAQ"/>
    <m/>
    <m/>
    <m/>
    <m/>
    <m/>
    <m/>
    <m/>
    <m/>
    <m/>
    <m/>
    <m/>
    <m/>
    <m/>
    <m/>
    <m/>
    <m/>
    <m/>
    <m/>
    <m/>
    <m/>
    <m/>
    <m/>
    <m/>
    <m/>
    <m/>
    <m/>
    <m/>
    <m/>
    <m/>
    <m/>
    <m/>
    <m/>
    <m/>
    <m/>
    <m/>
    <m/>
    <m/>
    <m/>
    <s v="CAD"/>
    <m/>
    <s v="No"/>
    <s v="Andrea Garcia"/>
    <s v="Andrea Garcia"/>
    <d v="2026-01-17T11:24:48"/>
    <s v="Promoter"/>
    <s v="Closed"/>
    <m/>
    <m/>
    <s v="Yes"/>
    <m/>
    <m/>
    <m/>
    <m/>
    <m/>
    <m/>
    <m/>
    <m/>
    <m/>
    <m/>
    <m/>
    <m/>
    <m/>
    <m/>
    <m/>
    <m/>
    <s v="Easy, straightforward quote and transaction."/>
    <m/>
    <m/>
    <m/>
    <m/>
    <s v="It would be nice if there was some explicit incentive or bonus if one chose the option of receiving a gift card or store credit instead of cash."/>
    <m/>
    <m/>
    <m/>
    <m/>
    <m/>
    <m/>
    <m/>
    <m/>
    <m/>
    <m/>
    <m/>
    <m/>
    <m/>
    <m/>
    <m/>
    <m/>
    <m/>
    <m/>
    <m/>
    <m/>
    <m/>
    <m/>
    <m/>
    <m/>
    <m/>
    <m/>
    <m/>
    <m/>
    <m/>
    <m/>
    <m/>
    <m/>
    <m/>
    <m/>
    <m/>
    <m/>
    <m/>
    <m/>
    <m/>
    <m/>
    <m/>
    <m/>
    <m/>
    <m/>
    <m/>
    <m/>
    <m/>
    <m/>
    <m/>
    <m/>
    <m/>
    <m/>
    <m/>
    <m/>
    <m/>
    <m/>
    <m/>
    <m/>
    <m/>
    <m/>
    <m/>
    <m/>
    <m/>
    <m/>
    <m/>
    <m/>
    <m/>
    <m/>
    <m/>
    <m/>
    <m/>
    <m/>
    <m/>
    <m/>
    <m/>
    <m/>
    <m/>
    <m/>
    <m/>
    <m/>
    <m/>
    <m/>
    <s v="Easy, straightforward quote and transaction."/>
    <s v="It would be nice if there was some explicit incentive or bonus if one chose the option of receiving a gift card or store credit instead of cas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Payment &gt; General Mentions &gt;, Trade In &gt; Overall Process &gt;"/>
    <m/>
    <m/>
    <s v="Trade In &gt; Overall Process &gt; (Positive)"/>
    <s v="Payment &gt; General Mentions &gt; (Negative), Trade In &gt; Overall Process &gt; (Negative), Trade In &gt; Overall Process &gt; (Positive)"/>
    <s v="Yes"/>
    <s v="No"/>
    <m/>
    <x v="0"/>
    <x v="37"/>
    <x v="0"/>
    <m/>
    <x v="0"/>
    <x v="0"/>
  </r>
  <r>
    <s v="Mark Lytle - Used Trade-In Product"/>
    <n v="10"/>
    <n v="5"/>
    <d v="2026-01-17T08:40:31"/>
    <n v="5143694"/>
    <s v="Used Trade-In Product"/>
    <m/>
    <s v="Mark Lytle"/>
    <m/>
    <s v="mark_pghpa@yahoo.com"/>
    <m/>
    <m/>
    <m/>
    <m/>
    <s v="No"/>
    <m/>
    <m/>
    <s v="mark_pghpa@yahoo.com"/>
    <m/>
    <m/>
    <m/>
    <m/>
    <m/>
    <m/>
    <m/>
    <m/>
    <m/>
    <d v="2026-01-19T09:19:07"/>
    <d v="2026-01-12T18:21:21"/>
    <m/>
    <s v="1132875"/>
    <m/>
    <m/>
    <m/>
    <m/>
    <m/>
    <m/>
    <m/>
    <m/>
    <m/>
    <m/>
    <m/>
    <m/>
    <m/>
    <m/>
    <m/>
    <m/>
    <m/>
    <m/>
    <m/>
    <m/>
    <m/>
    <m/>
    <s v="https://bnh.lightning.force.com/001WP00000o4ZrNYAU"/>
    <m/>
    <m/>
    <m/>
    <m/>
    <m/>
    <m/>
    <m/>
    <m/>
    <m/>
    <m/>
    <m/>
    <m/>
    <m/>
    <m/>
    <m/>
    <m/>
    <m/>
    <m/>
    <m/>
    <m/>
    <m/>
    <m/>
    <m/>
    <m/>
    <m/>
    <m/>
    <m/>
    <m/>
    <m/>
    <m/>
    <m/>
    <m/>
    <m/>
    <m/>
    <m/>
    <m/>
    <m/>
    <m/>
    <s v="CAD"/>
    <m/>
    <s v="No"/>
    <s v="Nick Badame"/>
    <s v="Nick Badame"/>
    <d v="2026-01-17T08:40:23"/>
    <s v="Promoter"/>
    <s v="Closed"/>
    <m/>
    <m/>
    <s v="Yes"/>
    <m/>
    <m/>
    <m/>
    <m/>
    <m/>
    <m/>
    <m/>
    <m/>
    <m/>
    <m/>
    <m/>
    <m/>
    <m/>
    <m/>
    <m/>
    <m/>
    <s v="responsive staff"/>
    <m/>
    <m/>
    <m/>
    <m/>
    <s v="nothing"/>
    <m/>
    <m/>
    <m/>
    <m/>
    <m/>
    <m/>
    <m/>
    <m/>
    <m/>
    <m/>
    <m/>
    <m/>
    <m/>
    <m/>
    <m/>
    <m/>
    <m/>
    <m/>
    <m/>
    <m/>
    <m/>
    <m/>
    <m/>
    <m/>
    <m/>
    <m/>
    <m/>
    <m/>
    <m/>
    <m/>
    <m/>
    <m/>
    <m/>
    <m/>
    <m/>
    <m/>
    <m/>
    <m/>
    <m/>
    <m/>
    <m/>
    <m/>
    <m/>
    <m/>
    <m/>
    <m/>
    <m/>
    <m/>
    <m/>
    <m/>
    <m/>
    <m/>
    <m/>
    <m/>
    <m/>
    <m/>
    <m/>
    <m/>
    <m/>
    <m/>
    <m/>
    <m/>
    <m/>
    <m/>
    <m/>
    <m/>
    <m/>
    <m/>
    <m/>
    <m/>
    <m/>
    <m/>
    <m/>
    <m/>
    <m/>
    <m/>
    <m/>
    <m/>
    <m/>
    <m/>
    <m/>
    <m/>
    <s v="responsive staff"/>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Communication Listening &gt;, People &gt; Courtesy / Professional &gt;, People &gt; Helpful / Efficient &gt;, People &gt; Overall Satisfaction &gt;"/>
    <s v="People &gt; Communication Skills &gt;"/>
    <m/>
    <s v="POSITIVE"/>
    <s v="People &gt; Communication Listening &gt; (Positive), People &gt; Courtesy / Professional &gt; (Positive), People &gt; Helpful / Efficient &gt; (Positive), People &gt; Overall Satisfaction &gt; (Positive)"/>
    <s v="People &gt; Communication Skills &gt; (Positive)"/>
    <s v="Yes"/>
    <s v="No"/>
    <m/>
    <x v="31"/>
    <x v="0"/>
    <x v="0"/>
    <m/>
    <x v="0"/>
    <x v="0"/>
  </r>
  <r>
    <s v="Dave Moss - Used Trade-In Product"/>
    <n v="10"/>
    <n v="5"/>
    <d v="2026-01-17T05:44:25"/>
    <n v="5143640"/>
    <s v="Used Trade-In Product"/>
    <m/>
    <s v="Dave Moss"/>
    <m/>
    <s v="themossmann@cox.net"/>
    <m/>
    <m/>
    <m/>
    <s v="16 years 0 months"/>
    <s v="Yes"/>
    <m/>
    <m/>
    <s v="themossmann@cox.net"/>
    <s v="192"/>
    <m/>
    <m/>
    <m/>
    <m/>
    <m/>
    <m/>
    <m/>
    <m/>
    <d v="2026-01-19T11:30:40"/>
    <d v="2026-01-16T12:56:30"/>
    <m/>
    <s v="1132458"/>
    <m/>
    <m/>
    <m/>
    <m/>
    <m/>
    <m/>
    <m/>
    <m/>
    <m/>
    <m/>
    <m/>
    <m/>
    <m/>
    <m/>
    <m/>
    <m/>
    <m/>
    <m/>
    <m/>
    <m/>
    <m/>
    <m/>
    <s v="https://bnh.lightning.force.com/0012L00001EH4wxQAD"/>
    <m/>
    <m/>
    <m/>
    <m/>
    <m/>
    <m/>
    <m/>
    <m/>
    <m/>
    <m/>
    <m/>
    <m/>
    <m/>
    <m/>
    <m/>
    <m/>
    <m/>
    <m/>
    <m/>
    <m/>
    <m/>
    <m/>
    <m/>
    <m/>
    <m/>
    <m/>
    <m/>
    <m/>
    <m/>
    <m/>
    <m/>
    <m/>
    <m/>
    <m/>
    <m/>
    <m/>
    <m/>
    <m/>
    <s v="CAD"/>
    <m/>
    <s v="No"/>
    <s v="Sergio Jonusas"/>
    <s v="Sergio Jonusas"/>
    <d v="2026-01-17T05:41:39"/>
    <s v="Promoter"/>
    <s v="Closed"/>
    <m/>
    <m/>
    <s v="Yes"/>
    <m/>
    <m/>
    <m/>
    <m/>
    <m/>
    <m/>
    <m/>
    <m/>
    <m/>
    <m/>
    <m/>
    <m/>
    <m/>
    <m/>
    <m/>
    <m/>
    <s v="Easy peasy. What’s not to like"/>
    <m/>
    <m/>
    <m/>
    <m/>
    <s v="Zero"/>
    <m/>
    <m/>
    <m/>
    <m/>
    <m/>
    <m/>
    <m/>
    <m/>
    <m/>
    <m/>
    <m/>
    <m/>
    <m/>
    <m/>
    <m/>
    <m/>
    <m/>
    <m/>
    <m/>
    <m/>
    <m/>
    <m/>
    <m/>
    <m/>
    <m/>
    <m/>
    <m/>
    <m/>
    <m/>
    <m/>
    <m/>
    <m/>
    <m/>
    <m/>
    <m/>
    <m/>
    <m/>
    <m/>
    <m/>
    <m/>
    <m/>
    <m/>
    <m/>
    <m/>
    <m/>
    <m/>
    <m/>
    <m/>
    <m/>
    <m/>
    <m/>
    <m/>
    <m/>
    <m/>
    <m/>
    <m/>
    <m/>
    <m/>
    <m/>
    <m/>
    <m/>
    <m/>
    <m/>
    <m/>
    <m/>
    <m/>
    <m/>
    <m/>
    <m/>
    <m/>
    <m/>
    <m/>
    <m/>
    <m/>
    <m/>
    <m/>
    <m/>
    <m/>
    <m/>
    <m/>
    <m/>
    <m/>
    <s v="Easy peasy. What’s not to like"/>
    <s v="Zero"/>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0"/>
    <x v="0"/>
    <x v="0"/>
    <m/>
    <x v="0"/>
    <x v="0"/>
  </r>
  <r>
    <s v="James Thomas - Used Trade-In Product"/>
    <n v="8"/>
    <n v="5"/>
    <d v="2026-01-16T13:18:01"/>
    <n v="5142795"/>
    <s v="Used Trade-In Product"/>
    <m/>
    <s v="James Thomas"/>
    <m/>
    <s v="j.thomas03@gmail.com"/>
    <m/>
    <m/>
    <m/>
    <s v="20 years 10 months"/>
    <s v="No"/>
    <m/>
    <m/>
    <s v="j.thomas03@gmail.com"/>
    <s v="250"/>
    <m/>
    <m/>
    <m/>
    <m/>
    <m/>
    <m/>
    <m/>
    <m/>
    <d v="2026-01-19T09:04:57"/>
    <d v="2026-01-16T12:54:04"/>
    <m/>
    <s v="1132435"/>
    <m/>
    <m/>
    <m/>
    <m/>
    <m/>
    <m/>
    <m/>
    <m/>
    <m/>
    <m/>
    <m/>
    <m/>
    <m/>
    <m/>
    <m/>
    <m/>
    <m/>
    <m/>
    <m/>
    <m/>
    <m/>
    <m/>
    <s v="https://bnh.lightning.force.com/0011a00000G3z4UAAR"/>
    <m/>
    <m/>
    <m/>
    <m/>
    <m/>
    <m/>
    <m/>
    <m/>
    <m/>
    <m/>
    <m/>
    <m/>
    <m/>
    <m/>
    <m/>
    <m/>
    <m/>
    <m/>
    <m/>
    <m/>
    <m/>
    <m/>
    <m/>
    <m/>
    <m/>
    <m/>
    <m/>
    <m/>
    <m/>
    <m/>
    <m/>
    <m/>
    <m/>
    <m/>
    <m/>
    <m/>
    <m/>
    <m/>
    <s v="CAD"/>
    <m/>
    <s v="No"/>
    <s v="Zane Bohnert"/>
    <s v="Zane Bohnert"/>
    <d v="2026-01-16T13:17:34"/>
    <s v="Passive"/>
    <s v="Closed"/>
    <m/>
    <m/>
    <s v="Yes"/>
    <m/>
    <m/>
    <m/>
    <m/>
    <m/>
    <m/>
    <m/>
    <m/>
    <m/>
    <m/>
    <m/>
    <m/>
    <m/>
    <m/>
    <m/>
    <m/>
    <s v="Price offered was better than MPB, and you also offered shipping to you."/>
    <m/>
    <m/>
    <m/>
    <m/>
    <m/>
    <m/>
    <m/>
    <m/>
    <m/>
    <m/>
    <m/>
    <m/>
    <m/>
    <m/>
    <m/>
    <m/>
    <m/>
    <m/>
    <m/>
    <m/>
    <m/>
    <m/>
    <m/>
    <m/>
    <m/>
    <m/>
    <m/>
    <m/>
    <m/>
    <m/>
    <m/>
    <m/>
    <m/>
    <m/>
    <m/>
    <m/>
    <m/>
    <m/>
    <m/>
    <m/>
    <m/>
    <m/>
    <m/>
    <m/>
    <m/>
    <m/>
    <m/>
    <m/>
    <m/>
    <m/>
    <m/>
    <m/>
    <m/>
    <m/>
    <m/>
    <m/>
    <m/>
    <m/>
    <m/>
    <m/>
    <m/>
    <m/>
    <m/>
    <m/>
    <m/>
    <m/>
    <m/>
    <m/>
    <m/>
    <m/>
    <m/>
    <m/>
    <m/>
    <m/>
    <m/>
    <m/>
    <m/>
    <m/>
    <m/>
    <m/>
    <m/>
    <m/>
    <m/>
    <m/>
    <m/>
    <m/>
    <m/>
    <s v="Price offered was better than MPB, and you also offered shipping to you."/>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4"/>
    <n v="5"/>
    <n v="4"/>
    <m/>
    <m/>
    <m/>
    <m/>
    <m/>
    <m/>
    <m/>
    <m/>
    <m/>
    <m/>
    <m/>
    <m/>
    <m/>
    <m/>
    <m/>
    <m/>
    <m/>
    <m/>
    <m/>
    <m/>
    <m/>
    <m/>
    <m/>
    <m/>
    <m/>
    <m/>
    <m/>
    <m/>
    <m/>
    <m/>
    <m/>
    <m/>
    <m/>
    <m/>
    <m/>
    <m/>
    <m/>
    <m/>
    <m/>
    <m/>
    <m/>
    <m/>
    <m/>
    <m/>
    <m/>
    <m/>
    <m/>
    <m/>
    <m/>
    <m/>
    <m/>
    <m/>
    <m/>
    <m/>
    <m/>
    <m/>
    <m/>
    <m/>
    <m/>
    <m/>
    <m/>
    <m/>
    <m/>
    <m/>
    <m/>
    <m/>
    <m/>
    <m/>
    <m/>
    <m/>
    <m/>
    <m/>
    <m/>
    <m/>
    <m/>
    <m/>
    <m/>
    <m/>
    <m/>
    <m/>
    <m/>
    <m/>
    <m/>
    <m/>
    <m/>
    <m/>
    <m/>
    <m/>
    <m/>
    <m/>
    <m/>
    <m/>
    <m/>
    <m/>
    <m/>
    <m/>
    <m/>
    <m/>
    <m/>
    <m/>
    <m/>
    <s v="Pricing &gt; Value for Money &gt;, Trade In &gt; Quote Price &gt;, Used &gt; Pricing &gt;"/>
    <s v="Trade In &gt; Overall Process &gt;, Trade In &gt; Quote Price &gt;"/>
    <m/>
    <m/>
    <s v="Pricing &gt; Value for Money &gt; (Positive), Trade In &gt; Quote Price &gt; (Positive), Used &gt; Pricing &gt; (Positive)"/>
    <s v="Trade In &gt; Overall Process &gt; (Positive), Trade In &gt; Quote Price &gt; (Positive)"/>
    <s v="Yes"/>
    <s v="No"/>
    <m/>
    <x v="42"/>
    <x v="26"/>
    <x v="0"/>
    <m/>
    <x v="0"/>
    <x v="0"/>
  </r>
  <r>
    <s v="Luis Cabrera - Used Trade-In Product"/>
    <n v="10"/>
    <n v="5"/>
    <d v="2026-01-16T13:10:31"/>
    <n v="5142759"/>
    <s v="Used Trade-In Product"/>
    <m/>
    <s v="Luis Cabrera"/>
    <m/>
    <s v="diamondmultimediainc@gmail.com"/>
    <m/>
    <m/>
    <m/>
    <s v="5 years 0 months"/>
    <s v="Yes"/>
    <m/>
    <m/>
    <s v="diamondmultimediainc@gmail.com"/>
    <s v="60"/>
    <m/>
    <m/>
    <m/>
    <m/>
    <m/>
    <m/>
    <m/>
    <m/>
    <d v="2026-01-19T09:32:50"/>
    <d v="2026-01-16T12:56:23"/>
    <m/>
    <s v="1133788"/>
    <m/>
    <m/>
    <m/>
    <m/>
    <m/>
    <m/>
    <m/>
    <m/>
    <m/>
    <m/>
    <m/>
    <m/>
    <m/>
    <m/>
    <m/>
    <m/>
    <m/>
    <m/>
    <m/>
    <m/>
    <m/>
    <m/>
    <s v="https://bnh.lightning.force.com/0012L00001BNqQ4QAL"/>
    <m/>
    <m/>
    <m/>
    <m/>
    <m/>
    <m/>
    <m/>
    <m/>
    <m/>
    <m/>
    <m/>
    <m/>
    <m/>
    <m/>
    <m/>
    <m/>
    <m/>
    <m/>
    <m/>
    <m/>
    <m/>
    <m/>
    <m/>
    <m/>
    <m/>
    <m/>
    <m/>
    <m/>
    <m/>
    <m/>
    <m/>
    <m/>
    <m/>
    <m/>
    <m/>
    <m/>
    <m/>
    <m/>
    <s v="CAD"/>
    <m/>
    <s v="No"/>
    <s v="Aine Hoye"/>
    <s v="Aine Hoye"/>
    <d v="2026-01-16T13:03:15"/>
    <s v="Promoter"/>
    <s v="Closed"/>
    <m/>
    <m/>
    <s v="Yes"/>
    <m/>
    <m/>
    <m/>
    <m/>
    <m/>
    <m/>
    <m/>
    <m/>
    <m/>
    <m/>
    <m/>
    <m/>
    <m/>
    <m/>
    <m/>
    <m/>
    <s v="Tremendous service I have been given, I have always been very satisfied."/>
    <m/>
    <m/>
    <m/>
    <m/>
    <m/>
    <m/>
    <m/>
    <m/>
    <m/>
    <m/>
    <m/>
    <m/>
    <m/>
    <m/>
    <m/>
    <m/>
    <m/>
    <m/>
    <m/>
    <m/>
    <m/>
    <m/>
    <m/>
    <m/>
    <m/>
    <m/>
    <m/>
    <m/>
    <m/>
    <m/>
    <m/>
    <m/>
    <m/>
    <m/>
    <m/>
    <m/>
    <m/>
    <m/>
    <m/>
    <m/>
    <m/>
    <m/>
    <m/>
    <m/>
    <m/>
    <m/>
    <m/>
    <m/>
    <m/>
    <m/>
    <m/>
    <m/>
    <m/>
    <m/>
    <m/>
    <m/>
    <m/>
    <m/>
    <m/>
    <m/>
    <m/>
    <m/>
    <m/>
    <m/>
    <m/>
    <m/>
    <m/>
    <m/>
    <m/>
    <m/>
    <m/>
    <m/>
    <m/>
    <m/>
    <m/>
    <m/>
    <m/>
    <m/>
    <m/>
    <m/>
    <m/>
    <m/>
    <m/>
    <m/>
    <m/>
    <m/>
    <m/>
    <s v="Tremendous service I have been given, I have always been very satisfi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People &gt; Overall Satisfaction &gt;"/>
    <m/>
    <m/>
    <m/>
    <s v="B&amp;H &gt; Satisfaction &gt; (Positive), People &gt; Overall Satisfaction &gt; (Positive)"/>
    <s v="Yes"/>
    <s v="No"/>
    <m/>
    <x v="7"/>
    <x v="0"/>
    <x v="0"/>
    <m/>
    <x v="0"/>
    <x v="0"/>
  </r>
  <r>
    <s v="Larry Spencer - Used Trade-In Product"/>
    <n v="8"/>
    <n v="5"/>
    <d v="2026-01-16T13:03:57"/>
    <n v="5142758"/>
    <s v="Used Trade-In Product"/>
    <m/>
    <s v="Larry Spencer"/>
    <m/>
    <s v="toskirk@yahoo.com"/>
    <m/>
    <m/>
    <m/>
    <s v="8 years 5 months"/>
    <s v="No"/>
    <m/>
    <m/>
    <s v="toskirk@yahoo.com"/>
    <s v="101"/>
    <m/>
    <m/>
    <m/>
    <m/>
    <m/>
    <m/>
    <m/>
    <m/>
    <d v="2026-01-19T09:31:23"/>
    <d v="2026-01-16T12:54:49"/>
    <m/>
    <s v="1131864"/>
    <m/>
    <m/>
    <m/>
    <m/>
    <m/>
    <m/>
    <m/>
    <m/>
    <m/>
    <m/>
    <m/>
    <m/>
    <m/>
    <m/>
    <m/>
    <m/>
    <m/>
    <m/>
    <m/>
    <m/>
    <m/>
    <m/>
    <s v="https://bnh.lightning.force.com/0011a00000rwqHbAAI"/>
    <m/>
    <m/>
    <m/>
    <m/>
    <m/>
    <m/>
    <m/>
    <m/>
    <m/>
    <m/>
    <m/>
    <m/>
    <m/>
    <m/>
    <m/>
    <m/>
    <m/>
    <m/>
    <m/>
    <m/>
    <m/>
    <m/>
    <m/>
    <m/>
    <m/>
    <m/>
    <m/>
    <m/>
    <m/>
    <m/>
    <m/>
    <m/>
    <m/>
    <m/>
    <m/>
    <m/>
    <m/>
    <m/>
    <s v="CAD"/>
    <m/>
    <s v="No"/>
    <s v="Aine Hoye"/>
    <s v="Aine Hoye"/>
    <d v="2026-01-16T13:03:15"/>
    <s v="Passive"/>
    <s v="Closed"/>
    <m/>
    <m/>
    <s v="Yes"/>
    <m/>
    <m/>
    <m/>
    <m/>
    <m/>
    <m/>
    <m/>
    <m/>
    <m/>
    <m/>
    <m/>
    <m/>
    <m/>
    <m/>
    <m/>
    <m/>
    <s v="Easy and convenient"/>
    <m/>
    <m/>
    <m/>
    <m/>
    <s v="None"/>
    <m/>
    <m/>
    <m/>
    <m/>
    <m/>
    <m/>
    <m/>
    <m/>
    <m/>
    <m/>
    <m/>
    <m/>
    <m/>
    <m/>
    <m/>
    <m/>
    <m/>
    <m/>
    <m/>
    <m/>
    <m/>
    <m/>
    <m/>
    <m/>
    <m/>
    <m/>
    <m/>
    <m/>
    <m/>
    <m/>
    <m/>
    <m/>
    <m/>
    <m/>
    <m/>
    <m/>
    <m/>
    <m/>
    <m/>
    <m/>
    <m/>
    <m/>
    <m/>
    <m/>
    <m/>
    <m/>
    <m/>
    <m/>
    <m/>
    <m/>
    <m/>
    <m/>
    <m/>
    <m/>
    <m/>
    <m/>
    <m/>
    <m/>
    <m/>
    <m/>
    <m/>
    <m/>
    <m/>
    <m/>
    <m/>
    <m/>
    <m/>
    <m/>
    <m/>
    <m/>
    <m/>
    <m/>
    <m/>
    <m/>
    <m/>
    <m/>
    <m/>
    <m/>
    <m/>
    <m/>
    <m/>
    <m/>
    <s v="Easy and convenient"/>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Kaliyah Mosley - Used Trade-In Product"/>
    <n v="10"/>
    <n v="5"/>
    <d v="2026-01-16T12:30:54"/>
    <n v="5142665"/>
    <s v="Used Trade-In Product"/>
    <m/>
    <s v="Kaliyah Mosley"/>
    <m/>
    <s v="kalnmosley@gmail.com"/>
    <m/>
    <m/>
    <m/>
    <m/>
    <s v="No"/>
    <m/>
    <m/>
    <s v="kalnmosley@gmail.com"/>
    <m/>
    <m/>
    <m/>
    <m/>
    <m/>
    <m/>
    <m/>
    <m/>
    <m/>
    <d v="2026-01-19T09:25:58"/>
    <d v="2026-01-13T12:54:36"/>
    <m/>
    <s v="1130717"/>
    <m/>
    <m/>
    <m/>
    <m/>
    <m/>
    <m/>
    <m/>
    <m/>
    <m/>
    <m/>
    <m/>
    <m/>
    <m/>
    <m/>
    <m/>
    <m/>
    <m/>
    <m/>
    <m/>
    <m/>
    <m/>
    <m/>
    <s v="https://bnh.lightning.force.com/001WP00000mupM9YAI"/>
    <m/>
    <m/>
    <m/>
    <m/>
    <m/>
    <m/>
    <m/>
    <m/>
    <m/>
    <m/>
    <m/>
    <m/>
    <m/>
    <m/>
    <m/>
    <m/>
    <m/>
    <m/>
    <m/>
    <m/>
    <m/>
    <m/>
    <m/>
    <m/>
    <m/>
    <m/>
    <m/>
    <m/>
    <m/>
    <m/>
    <m/>
    <m/>
    <m/>
    <m/>
    <m/>
    <m/>
    <m/>
    <m/>
    <s v="CAD"/>
    <m/>
    <s v="No"/>
    <s v="Aine Hoye"/>
    <s v="Aine Hoye"/>
    <d v="2026-01-16T12:29:27"/>
    <s v="Promoter"/>
    <s v="Closed"/>
    <m/>
    <m/>
    <s v="Yes"/>
    <m/>
    <m/>
    <m/>
    <m/>
    <m/>
    <m/>
    <m/>
    <m/>
    <m/>
    <m/>
    <m/>
    <m/>
    <m/>
    <m/>
    <m/>
    <m/>
    <s v="What I liked most was the ease of the process. I like that B&amp;H communicated well with me, letting me know that they received my package, when review was expected and the payout amount. I received my check fast and easily."/>
    <m/>
    <m/>
    <m/>
    <m/>
    <s v="If I had to nitpick anything, maybe having to go to the Fedex store in person. Also, the fact that I had to wait a little for someone to look at my stuff. It wasn’t a big problem for me though."/>
    <m/>
    <m/>
    <m/>
    <m/>
    <m/>
    <m/>
    <m/>
    <m/>
    <m/>
    <m/>
    <m/>
    <m/>
    <m/>
    <m/>
    <m/>
    <m/>
    <m/>
    <m/>
    <m/>
    <m/>
    <m/>
    <m/>
    <m/>
    <m/>
    <m/>
    <m/>
    <m/>
    <m/>
    <m/>
    <m/>
    <m/>
    <m/>
    <m/>
    <m/>
    <m/>
    <m/>
    <m/>
    <m/>
    <m/>
    <m/>
    <m/>
    <m/>
    <m/>
    <m/>
    <m/>
    <m/>
    <m/>
    <m/>
    <m/>
    <m/>
    <m/>
    <m/>
    <m/>
    <m/>
    <m/>
    <m/>
    <m/>
    <m/>
    <m/>
    <m/>
    <m/>
    <m/>
    <m/>
    <m/>
    <m/>
    <m/>
    <m/>
    <m/>
    <m/>
    <m/>
    <m/>
    <m/>
    <m/>
    <m/>
    <m/>
    <m/>
    <m/>
    <m/>
    <m/>
    <m/>
    <m/>
    <m/>
    <s v="What I liked most was the ease of the process. I like that B&amp;H communicated well with me, letting me know that they received my package, when review was expected and the payout amount. I received my check fast and easily."/>
    <s v="If I had to nitpick anything, maybe having to go to the Fedex store in person. Also, the fact that I had to wait a little for someone to look at my stuff. It wasn’t a big problem for me thoug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People &gt; Follow Up &gt;, Trade In &gt; Overall Process &gt;, Trade In &gt; Timeliness of Payment &gt;, Trade In &gt; Timeliness of Quote &gt;, Traffic &gt; Carrier Selection / Options &gt;"/>
    <m/>
    <m/>
    <s v="Trade In &gt; Overall Process &gt; (Positive)"/>
    <s v="People &gt; Follow Up &gt; (Positive), Trade In &gt; Overall Process &gt; (Positive), Trade In &gt; Timeliness of Payment &gt; (Positive), Trade In &gt; Timeliness of Quote &gt; (Negative), Traffic &gt; Carrier Selection / Options &gt; (Negative)"/>
    <s v="Yes"/>
    <s v="Yes"/>
    <m/>
    <x v="5"/>
    <x v="21"/>
    <x v="22"/>
    <s v="Liked receiving status updates"/>
    <x v="4"/>
    <x v="0"/>
  </r>
  <r>
    <s v="Greg Mason - Used Trade-In Product"/>
    <n v="8"/>
    <n v="4"/>
    <d v="2026-01-16T10:44:11"/>
    <n v="5142176"/>
    <s v="Used Trade-In Product"/>
    <m/>
    <s v="Greg Mason"/>
    <m/>
    <s v="greg.mason@ktvz.com"/>
    <m/>
    <m/>
    <m/>
    <s v="16 years 5 months"/>
    <s v="No"/>
    <m/>
    <m/>
    <s v="greg.mason@ktvz.com"/>
    <s v="197"/>
    <m/>
    <m/>
    <m/>
    <m/>
    <m/>
    <m/>
    <m/>
    <m/>
    <d v="2026-01-19T08:30:22"/>
    <d v="2026-01-16T12:54:44"/>
    <m/>
    <s v="1131274"/>
    <m/>
    <m/>
    <m/>
    <m/>
    <m/>
    <m/>
    <m/>
    <m/>
    <m/>
    <m/>
    <m/>
    <m/>
    <m/>
    <m/>
    <m/>
    <m/>
    <m/>
    <m/>
    <m/>
    <m/>
    <m/>
    <m/>
    <s v="https://bnh.lightning.force.com/0018X00003N7vmnQAB"/>
    <m/>
    <m/>
    <m/>
    <m/>
    <m/>
    <m/>
    <m/>
    <m/>
    <m/>
    <m/>
    <m/>
    <m/>
    <m/>
    <m/>
    <m/>
    <m/>
    <m/>
    <m/>
    <m/>
    <m/>
    <m/>
    <m/>
    <m/>
    <m/>
    <m/>
    <m/>
    <m/>
    <m/>
    <m/>
    <m/>
    <m/>
    <m/>
    <m/>
    <m/>
    <m/>
    <m/>
    <m/>
    <m/>
    <s v="CAD"/>
    <m/>
    <s v="No"/>
    <s v="Aine Hoye"/>
    <s v="Aine Hoye"/>
    <d v="2026-01-16T10:17:15"/>
    <s v="Passive"/>
    <s v="Closed"/>
    <m/>
    <m/>
    <s v="Yes"/>
    <m/>
    <m/>
    <m/>
    <m/>
    <m/>
    <m/>
    <m/>
    <m/>
    <m/>
    <m/>
    <m/>
    <m/>
    <m/>
    <m/>
    <m/>
    <m/>
    <s v="Ease of use"/>
    <m/>
    <m/>
    <m/>
    <m/>
    <s v="n/a"/>
    <m/>
    <m/>
    <m/>
    <m/>
    <m/>
    <m/>
    <m/>
    <m/>
    <m/>
    <m/>
    <m/>
    <m/>
    <m/>
    <m/>
    <m/>
    <m/>
    <m/>
    <m/>
    <m/>
    <m/>
    <m/>
    <m/>
    <m/>
    <m/>
    <m/>
    <m/>
    <m/>
    <m/>
    <m/>
    <m/>
    <m/>
    <m/>
    <m/>
    <m/>
    <m/>
    <m/>
    <m/>
    <m/>
    <m/>
    <m/>
    <m/>
    <m/>
    <m/>
    <m/>
    <m/>
    <m/>
    <m/>
    <m/>
    <m/>
    <m/>
    <m/>
    <m/>
    <m/>
    <m/>
    <m/>
    <m/>
    <m/>
    <m/>
    <m/>
    <m/>
    <m/>
    <m/>
    <m/>
    <m/>
    <m/>
    <m/>
    <m/>
    <m/>
    <m/>
    <m/>
    <m/>
    <m/>
    <m/>
    <m/>
    <m/>
    <m/>
    <m/>
    <m/>
    <m/>
    <m/>
    <m/>
    <m/>
    <s v="Ease of use"/>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3"/>
    <n v="4"/>
    <m/>
    <m/>
    <m/>
    <m/>
    <m/>
    <m/>
    <n v="4"/>
    <n v="4"/>
    <n v="4"/>
    <n v="4"/>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5"/>
    <x v="0"/>
    <x v="0"/>
    <m/>
    <x v="0"/>
    <x v="0"/>
  </r>
  <r>
    <s v="Reanray Salcedo - Used Trade-In Product"/>
    <n v="6"/>
    <n v="4"/>
    <d v="2026-01-16T10:39:59"/>
    <n v="5142312"/>
    <s v="Used Trade-In Product"/>
    <m/>
    <s v="Reanray Salcedo"/>
    <m/>
    <s v="reanraysalcedo@yahoo.com"/>
    <m/>
    <m/>
    <m/>
    <m/>
    <s v="No"/>
    <m/>
    <m/>
    <s v="reanraysalcedo@yahoo.com"/>
    <m/>
    <m/>
    <m/>
    <m/>
    <m/>
    <m/>
    <m/>
    <m/>
    <m/>
    <d v="2026-01-26T11:37:22"/>
    <d v="2026-01-16T12:56:18"/>
    <m/>
    <s v="1132575"/>
    <m/>
    <m/>
    <m/>
    <m/>
    <m/>
    <m/>
    <m/>
    <m/>
    <m/>
    <m/>
    <m/>
    <m/>
    <m/>
    <m/>
    <m/>
    <m/>
    <m/>
    <m/>
    <m/>
    <m/>
    <m/>
    <m/>
    <s v="https://bnh.lightning.force.com/001WP00000nwl42YAA"/>
    <m/>
    <m/>
    <m/>
    <m/>
    <m/>
    <m/>
    <m/>
    <m/>
    <m/>
    <m/>
    <m/>
    <m/>
    <m/>
    <m/>
    <m/>
    <m/>
    <m/>
    <m/>
    <m/>
    <m/>
    <m/>
    <m/>
    <m/>
    <m/>
    <m/>
    <m/>
    <m/>
    <m/>
    <m/>
    <m/>
    <m/>
    <m/>
    <m/>
    <m/>
    <m/>
    <m/>
    <m/>
    <m/>
    <s v="CAD"/>
    <m/>
    <s v="No"/>
    <s v="Aine Hoye,Avraham Schwartz,Reina Caba,Avraham Schwartz,Reina Caba"/>
    <s v="Reina Caba"/>
    <d v="2026-01-16T10:36:02"/>
    <s v="Detractor "/>
    <s v="Closed"/>
    <d v="2026-01-26T11:37:17"/>
    <s v="Reina Caba (reinac@bhphoto.com)"/>
    <s v="Yes"/>
    <m/>
    <m/>
    <m/>
    <m/>
    <m/>
    <m/>
    <m/>
    <m/>
    <m/>
    <m/>
    <m/>
    <m/>
    <m/>
    <m/>
    <m/>
    <m/>
    <s v="Straightforward and streamlined selling process. Ease of use."/>
    <m/>
    <m/>
    <m/>
    <m/>
    <s v="Speed in receiving physical check."/>
    <m/>
    <m/>
    <m/>
    <m/>
    <m/>
    <m/>
    <m/>
    <m/>
    <m/>
    <m/>
    <m/>
    <m/>
    <m/>
    <m/>
    <m/>
    <m/>
    <m/>
    <m/>
    <m/>
    <m/>
    <m/>
    <m/>
    <m/>
    <m/>
    <m/>
    <m/>
    <m/>
    <m/>
    <m/>
    <m/>
    <m/>
    <m/>
    <m/>
    <m/>
    <m/>
    <m/>
    <m/>
    <m/>
    <m/>
    <m/>
    <m/>
    <m/>
    <m/>
    <m/>
    <m/>
    <m/>
    <m/>
    <m/>
    <m/>
    <m/>
    <m/>
    <m/>
    <m/>
    <m/>
    <m/>
    <m/>
    <m/>
    <m/>
    <m/>
    <m/>
    <m/>
    <m/>
    <m/>
    <m/>
    <m/>
    <m/>
    <m/>
    <m/>
    <m/>
    <m/>
    <m/>
    <m/>
    <m/>
    <m/>
    <m/>
    <m/>
    <m/>
    <m/>
    <m/>
    <m/>
    <m/>
    <m/>
    <s v="Straightforward and streamlined selling process. Ease of use."/>
    <s v="Speed in receiving physical che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3"/>
    <n v="5"/>
    <m/>
    <m/>
    <m/>
    <m/>
    <m/>
    <m/>
    <n v="4"/>
    <n v="3"/>
    <n v="4"/>
    <n v="3"/>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Positive)"/>
    <s v="Trade In &gt; Overall Process &gt; (Positive), Trade In &gt; Timeliness of Payment &gt; (Negative)"/>
    <s v="Yes"/>
    <s v="Yes"/>
    <m/>
    <x v="5"/>
    <x v="11"/>
    <x v="0"/>
    <m/>
    <x v="0"/>
    <x v="0"/>
  </r>
  <r>
    <s v="Alfred Gonzales - Used Trade-In Product"/>
    <n v="10"/>
    <n v="5"/>
    <d v="2026-01-16T10:12:03"/>
    <n v="5142140"/>
    <s v="Used Trade-In Product"/>
    <m/>
    <s v="Alfred Gonzales"/>
    <m/>
    <s v="alfiegonzo@gmail.com"/>
    <m/>
    <m/>
    <m/>
    <s v="8 months"/>
    <s v="No"/>
    <m/>
    <m/>
    <s v="alfiegonzo@gmail.com"/>
    <s v="8"/>
    <m/>
    <m/>
    <m/>
    <m/>
    <m/>
    <m/>
    <m/>
    <m/>
    <d v="2026-01-19T08:16:42"/>
    <d v="2026-01-16T12:54:39"/>
    <m/>
    <s v="1133187"/>
    <m/>
    <m/>
    <m/>
    <m/>
    <m/>
    <m/>
    <m/>
    <m/>
    <m/>
    <m/>
    <m/>
    <m/>
    <m/>
    <m/>
    <m/>
    <m/>
    <m/>
    <m/>
    <m/>
    <m/>
    <m/>
    <m/>
    <s v="https://bnh.lightning.force.com/001Hs00004xYxz6IAC"/>
    <m/>
    <m/>
    <m/>
    <m/>
    <m/>
    <m/>
    <m/>
    <m/>
    <m/>
    <m/>
    <m/>
    <m/>
    <m/>
    <m/>
    <m/>
    <m/>
    <m/>
    <m/>
    <m/>
    <m/>
    <m/>
    <m/>
    <m/>
    <m/>
    <m/>
    <m/>
    <m/>
    <m/>
    <m/>
    <m/>
    <m/>
    <m/>
    <m/>
    <m/>
    <m/>
    <m/>
    <m/>
    <m/>
    <s v="CAD"/>
    <m/>
    <s v="No"/>
    <s v="Aine Hoye"/>
    <s v="Aine Hoye"/>
    <d v="2026-01-16T10:11:28"/>
    <s v="Promoter"/>
    <s v="Closed"/>
    <m/>
    <m/>
    <s v="Yes"/>
    <m/>
    <m/>
    <m/>
    <m/>
    <m/>
    <m/>
    <m/>
    <m/>
    <m/>
    <m/>
    <m/>
    <m/>
    <m/>
    <m/>
    <m/>
    <m/>
    <s v="Fast response to inquiries."/>
    <m/>
    <m/>
    <m/>
    <m/>
    <s v="Not having a tracking # for getting my check mailed to me."/>
    <m/>
    <m/>
    <m/>
    <m/>
    <m/>
    <m/>
    <m/>
    <m/>
    <m/>
    <m/>
    <m/>
    <m/>
    <m/>
    <m/>
    <m/>
    <m/>
    <m/>
    <m/>
    <m/>
    <m/>
    <m/>
    <m/>
    <m/>
    <m/>
    <m/>
    <m/>
    <m/>
    <m/>
    <m/>
    <m/>
    <m/>
    <m/>
    <m/>
    <m/>
    <m/>
    <m/>
    <m/>
    <m/>
    <m/>
    <m/>
    <m/>
    <m/>
    <m/>
    <m/>
    <m/>
    <m/>
    <m/>
    <m/>
    <m/>
    <m/>
    <m/>
    <m/>
    <m/>
    <m/>
    <m/>
    <m/>
    <m/>
    <m/>
    <m/>
    <m/>
    <m/>
    <m/>
    <m/>
    <m/>
    <m/>
    <m/>
    <m/>
    <m/>
    <m/>
    <m/>
    <m/>
    <m/>
    <m/>
    <m/>
    <m/>
    <m/>
    <m/>
    <m/>
    <m/>
    <m/>
    <m/>
    <m/>
    <s v="Fast response to inquiries."/>
    <s v="Not having a tracking # for getting my check mailed to 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Website &gt; Order Tracking &gt;"/>
    <s v="People &gt; Wait Time &gt;, Trade In &gt; Overall Process &gt;, Website &gt; Order Tracking &gt;"/>
    <m/>
    <m/>
    <s v="Website &gt; Order Tracking &gt; (No opinion)"/>
    <s v="People &gt; Wait Time &gt; (Positive), Trade In &gt; Overall Process &gt; (Negative), Website &gt; Order Tracking &gt; (Negative)"/>
    <s v="Yes"/>
    <s v="Yes"/>
    <m/>
    <x v="31"/>
    <x v="51"/>
    <x v="0"/>
    <m/>
    <x v="0"/>
    <x v="0"/>
  </r>
  <r>
    <s v="Lane Malingen - Used Trade-In Product"/>
    <n v="10"/>
    <n v="5"/>
    <d v="2026-01-15T21:51:05"/>
    <n v="5141405"/>
    <s v="Used Trade-In Product"/>
    <m/>
    <s v="Lane Malingen"/>
    <m/>
    <s v="ltmalingen@gmail.com"/>
    <m/>
    <m/>
    <m/>
    <m/>
    <s v="No"/>
    <m/>
    <m/>
    <s v="ltmalingen@gmail.com"/>
    <m/>
    <m/>
    <m/>
    <m/>
    <m/>
    <m/>
    <m/>
    <m/>
    <m/>
    <d v="2026-01-16T08:59:48"/>
    <d v="2026-01-08T12:43:20"/>
    <m/>
    <s v="1128656"/>
    <m/>
    <m/>
    <m/>
    <m/>
    <m/>
    <m/>
    <m/>
    <m/>
    <m/>
    <m/>
    <m/>
    <m/>
    <m/>
    <m/>
    <m/>
    <m/>
    <m/>
    <m/>
    <m/>
    <m/>
    <m/>
    <m/>
    <s v="https://bnh.lightning.force.com/001WP00000lfC7WYAU"/>
    <m/>
    <m/>
    <m/>
    <m/>
    <m/>
    <m/>
    <m/>
    <m/>
    <m/>
    <m/>
    <m/>
    <m/>
    <m/>
    <m/>
    <m/>
    <m/>
    <m/>
    <m/>
    <m/>
    <m/>
    <m/>
    <m/>
    <m/>
    <m/>
    <m/>
    <m/>
    <m/>
    <m/>
    <m/>
    <m/>
    <m/>
    <m/>
    <m/>
    <m/>
    <m/>
    <m/>
    <m/>
    <m/>
    <s v="CAD"/>
    <m/>
    <s v="No"/>
    <s v="Emily Schreier"/>
    <s v="Emily Schreier"/>
    <d v="2026-01-15T21:44:27"/>
    <s v="Promoter"/>
    <s v="Closed"/>
    <m/>
    <m/>
    <s v="Yes"/>
    <m/>
    <m/>
    <m/>
    <m/>
    <m/>
    <m/>
    <m/>
    <m/>
    <m/>
    <m/>
    <m/>
    <m/>
    <m/>
    <m/>
    <m/>
    <m/>
    <s v="I really found the entire process easy and smooth.  I liked how I could get an estimate online before hand and that I could decide if that is something I wanted to do or not at that point."/>
    <m/>
    <m/>
    <m/>
    <m/>
    <s v="Nothing stood out as painful or disliked. So... good job."/>
    <m/>
    <m/>
    <m/>
    <m/>
    <m/>
    <m/>
    <m/>
    <m/>
    <m/>
    <m/>
    <m/>
    <m/>
    <m/>
    <m/>
    <m/>
    <m/>
    <m/>
    <m/>
    <m/>
    <m/>
    <m/>
    <m/>
    <m/>
    <m/>
    <m/>
    <m/>
    <m/>
    <m/>
    <m/>
    <m/>
    <m/>
    <m/>
    <m/>
    <m/>
    <m/>
    <m/>
    <m/>
    <m/>
    <m/>
    <m/>
    <m/>
    <m/>
    <m/>
    <m/>
    <m/>
    <m/>
    <m/>
    <m/>
    <m/>
    <m/>
    <m/>
    <m/>
    <m/>
    <m/>
    <m/>
    <m/>
    <m/>
    <m/>
    <m/>
    <m/>
    <m/>
    <m/>
    <m/>
    <m/>
    <m/>
    <m/>
    <m/>
    <m/>
    <m/>
    <m/>
    <m/>
    <m/>
    <m/>
    <m/>
    <m/>
    <m/>
    <m/>
    <m/>
    <m/>
    <m/>
    <m/>
    <m/>
    <s v="I really found the entire process easy and smooth.  I liked how I could get an estimate online before hand and that I could decide if that is something I wanted to do or not at that point."/>
    <s v="Nothing stood out as painful or disliked. So... good jo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Website &gt; Overall Satisfaction &gt;"/>
    <m/>
    <m/>
    <s v="Trade In &gt; Overall Process &gt; (Positive)"/>
    <s v="Trade In &gt; Overall Process &gt; (Positive), Website &gt; Overall Satisfaction &gt; (Positive)"/>
    <s v="Yes"/>
    <s v="Yes"/>
    <m/>
    <x v="0"/>
    <x v="57"/>
    <x v="0"/>
    <m/>
    <x v="0"/>
    <x v="0"/>
  </r>
  <r>
    <s v="Robert Consentino - Used Trade-In Product"/>
    <n v="10"/>
    <n v="5"/>
    <d v="2026-01-15T20:20:08"/>
    <n v="5141261"/>
    <s v="Used Trade-In Product"/>
    <m/>
    <s v="Robert Consentino"/>
    <m/>
    <s v="bconsentino@comcast.net"/>
    <m/>
    <m/>
    <m/>
    <s v="19 years 6 months"/>
    <s v="No"/>
    <m/>
    <m/>
    <s v="bconsentino@comcast.net"/>
    <s v="234"/>
    <m/>
    <m/>
    <m/>
    <m/>
    <m/>
    <m/>
    <m/>
    <m/>
    <d v="2026-01-16T09:27:16"/>
    <d v="2026-01-15T18:21:31"/>
    <m/>
    <s v="1134952"/>
    <m/>
    <m/>
    <m/>
    <m/>
    <m/>
    <m/>
    <m/>
    <m/>
    <m/>
    <m/>
    <m/>
    <m/>
    <m/>
    <m/>
    <m/>
    <m/>
    <m/>
    <m/>
    <m/>
    <m/>
    <m/>
    <m/>
    <s v="https://bnh.lightning.force.com/0012L000018Wl53QAC"/>
    <m/>
    <m/>
    <m/>
    <m/>
    <m/>
    <m/>
    <m/>
    <m/>
    <m/>
    <m/>
    <m/>
    <m/>
    <m/>
    <m/>
    <m/>
    <m/>
    <m/>
    <m/>
    <m/>
    <m/>
    <m/>
    <m/>
    <m/>
    <m/>
    <m/>
    <m/>
    <m/>
    <m/>
    <m/>
    <m/>
    <m/>
    <m/>
    <m/>
    <m/>
    <m/>
    <m/>
    <m/>
    <m/>
    <s v="CAD"/>
    <m/>
    <s v="No"/>
    <s v="Sergio Jonusas"/>
    <s v="Sergio Jonusas"/>
    <d v="2026-01-15T20:16:51"/>
    <s v="Promoter"/>
    <s v="Closed"/>
    <m/>
    <m/>
    <s v="Yes"/>
    <m/>
    <m/>
    <m/>
    <m/>
    <m/>
    <m/>
    <m/>
    <m/>
    <m/>
    <m/>
    <m/>
    <m/>
    <m/>
    <m/>
    <m/>
    <m/>
    <s v="Customer service, ease of quote process, prepaid shipping label, communication throughout the process."/>
    <m/>
    <m/>
    <m/>
    <m/>
    <s v="Nothing comes to mind.  B&amp;H is just incredibly customer focused… they get it.  This is why I have been a customer for over 25 years."/>
    <m/>
    <m/>
    <m/>
    <m/>
    <m/>
    <m/>
    <m/>
    <m/>
    <m/>
    <m/>
    <m/>
    <m/>
    <m/>
    <m/>
    <m/>
    <m/>
    <m/>
    <m/>
    <m/>
    <m/>
    <m/>
    <m/>
    <m/>
    <m/>
    <m/>
    <m/>
    <m/>
    <m/>
    <m/>
    <m/>
    <m/>
    <m/>
    <m/>
    <m/>
    <m/>
    <m/>
    <m/>
    <m/>
    <m/>
    <m/>
    <m/>
    <m/>
    <m/>
    <m/>
    <m/>
    <m/>
    <m/>
    <m/>
    <m/>
    <m/>
    <m/>
    <m/>
    <m/>
    <m/>
    <m/>
    <m/>
    <m/>
    <m/>
    <m/>
    <m/>
    <m/>
    <m/>
    <m/>
    <m/>
    <m/>
    <m/>
    <m/>
    <m/>
    <m/>
    <m/>
    <m/>
    <m/>
    <m/>
    <m/>
    <m/>
    <m/>
    <m/>
    <m/>
    <m/>
    <m/>
    <m/>
    <m/>
    <s v="Customer service, ease of quote process, prepaid shipping label, communication throughout the process."/>
    <s v="Nothing comes to mind.  B&amp;H is just incredibly customer focused… they get it.  This is why I have been a customer for over 25 yea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Loyalty &gt;, Trade In &gt; Overall Process &gt;"/>
    <s v="B&amp;H &gt; Loyalty &gt;, B&amp;H &gt; Satisfaction &gt;, People &gt; Courtesy / Professional &gt;, Trade In &gt; Overall Process &gt;"/>
    <m/>
    <m/>
    <s v="B&amp;H &gt; Loyalty &gt; (No opinion), Trade In &gt; Overall Process &gt; (Positive)"/>
    <s v="B&amp;H &gt; Loyalty &gt; (No opinion), B&amp;H &gt; Satisfaction &gt; (Positive), People &gt; Courtesy / Professional &gt; (Positive), Trade In &gt; Overall Process &gt; (Positive)"/>
    <s v="Yes"/>
    <s v="No"/>
    <m/>
    <x v="13"/>
    <x v="2"/>
    <x v="15"/>
    <m/>
    <x v="0"/>
    <x v="0"/>
  </r>
  <r>
    <s v="Michael Mcgovern - Used Trade-In Product"/>
    <n v="10"/>
    <n v="5"/>
    <d v="2026-01-15T15:27:59"/>
    <n v="5140566"/>
    <s v="Used Trade-In Product"/>
    <m/>
    <s v="Michael Mcgovern"/>
    <m/>
    <s v="mikemcgovern@comcast.net"/>
    <m/>
    <m/>
    <m/>
    <s v="11 years 5 months"/>
    <s v="Yes"/>
    <m/>
    <m/>
    <s v="mikemcgovern@comcast.net"/>
    <s v="137"/>
    <m/>
    <m/>
    <m/>
    <m/>
    <m/>
    <m/>
    <m/>
    <m/>
    <d v="2026-01-16T08:46:50"/>
    <d v="2026-01-15T12:52:33"/>
    <m/>
    <s v="1131111"/>
    <m/>
    <m/>
    <m/>
    <m/>
    <m/>
    <m/>
    <m/>
    <m/>
    <m/>
    <m/>
    <m/>
    <m/>
    <m/>
    <m/>
    <m/>
    <m/>
    <m/>
    <m/>
    <m/>
    <m/>
    <m/>
    <m/>
    <s v="https://bnh.lightning.force.com/0018X000030ASONQA4"/>
    <m/>
    <m/>
    <m/>
    <m/>
    <m/>
    <m/>
    <m/>
    <m/>
    <m/>
    <m/>
    <m/>
    <m/>
    <m/>
    <m/>
    <m/>
    <m/>
    <m/>
    <m/>
    <m/>
    <m/>
    <m/>
    <m/>
    <m/>
    <m/>
    <m/>
    <m/>
    <m/>
    <m/>
    <m/>
    <m/>
    <m/>
    <m/>
    <m/>
    <m/>
    <m/>
    <m/>
    <m/>
    <m/>
    <s v="CAD"/>
    <m/>
    <s v="No"/>
    <s v="Zane Bohnert"/>
    <s v="Zane Bohnert"/>
    <d v="2026-01-15T15:22:09"/>
    <s v="Promoter"/>
    <s v="Closed"/>
    <m/>
    <m/>
    <s v="Yes"/>
    <m/>
    <m/>
    <m/>
    <m/>
    <m/>
    <m/>
    <m/>
    <m/>
    <m/>
    <m/>
    <m/>
    <m/>
    <m/>
    <m/>
    <m/>
    <m/>
    <s v="I have totally shifted all my camera/photography purchases over to B&amp;H and also obtained a _x000a_Payboo card.  I sell my old gear to you when I buy new gear.  Prices are fair and allow me to save on new purchases.  Love it.  B&amp;H makes the whole process so smooth.  I have purchased considerable gear at great expense from B&amp;H over the years.  Never had an issue and for me this has built up a level of great trust in B&amp;H - so important when spending this kid of money.  The only issue this time around was, I asked for store credit and you sent me a check.  No problem.  I was going to buy a second Sony A1ii buy but I may wait for them to release a Sony A7R6.  Keep up the great work over there on the east coast!  :-)"/>
    <m/>
    <m/>
    <m/>
    <m/>
    <m/>
    <m/>
    <m/>
    <m/>
    <m/>
    <m/>
    <m/>
    <m/>
    <m/>
    <m/>
    <m/>
    <m/>
    <m/>
    <m/>
    <m/>
    <m/>
    <m/>
    <m/>
    <m/>
    <m/>
    <m/>
    <m/>
    <m/>
    <m/>
    <m/>
    <m/>
    <m/>
    <m/>
    <m/>
    <m/>
    <m/>
    <m/>
    <m/>
    <m/>
    <m/>
    <m/>
    <m/>
    <m/>
    <m/>
    <m/>
    <m/>
    <m/>
    <m/>
    <m/>
    <m/>
    <m/>
    <m/>
    <m/>
    <m/>
    <m/>
    <m/>
    <m/>
    <m/>
    <m/>
    <m/>
    <m/>
    <m/>
    <m/>
    <m/>
    <m/>
    <m/>
    <m/>
    <m/>
    <m/>
    <m/>
    <m/>
    <m/>
    <m/>
    <m/>
    <m/>
    <m/>
    <m/>
    <m/>
    <m/>
    <m/>
    <m/>
    <m/>
    <m/>
    <m/>
    <m/>
    <m/>
    <m/>
    <m/>
    <s v="I have totally shifted all my camera/photography purchases over to B&amp;H and also obtained a _x000a_Payboo card.  I sell my old gear to you when I buy new gear.  Prices are fair and allow me to save on new purchases.  Love it.  B&amp;H makes the whole process so smooth.  I have purchased considerable gear at great expense from B&amp;H over the years.  Never had an issue and for me this has built up a level of great trust in B&amp;H - so important when spending this kid of money.  The only issue this time around was, I asked for store credit and you sent me a check.  No problem.  I was going to buy a second Sony A1ii buy but I may wait for them to release a Sony A7R6.  Keep up the great work over there on the east coast!  :-)"/>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Pricing &gt; Value for Money &gt;, Trade In &gt; Overall Process &gt;, Trade In &gt; Quote Price &gt;, Used &gt; Pricing &gt;"/>
    <s v="B&amp;H &gt; Loyalty &gt;, B&amp;H &gt; Reliable / Trustworthy &gt;, B&amp;H &gt; Satisfaction &gt;, B&amp;H Payboo &gt; Benefit Satisfaction &gt;, Trade In &gt; Overall Process &gt;, Trade In &gt; Quote Price &gt;"/>
    <m/>
    <m/>
    <s v="B&amp;H &gt; Reliable / Trustworthy &gt; (Positive), Pricing &gt; Value for Money &gt; (Positive), Trade In &gt; Overall Process &gt; (Positive), Trade In &gt; Quote Price &gt; (Positive), Used &gt; Pricing &gt; (Positive)"/>
    <s v="B&amp;H &gt; Loyalty &gt; (Positive), B&amp;H &gt; Reliable / Trustworthy &gt; (Positive), B&amp;H &gt; Satisfaction &gt; (Positive), B&amp;H Payboo &gt; Benefit Satisfaction &gt; (Positive), Trade In &gt; Overall Process &gt; (Negative), Trade In &gt; Overall Process &gt; (Positive), Trade In &gt; Quote Price &gt; (Positive)"/>
    <s v="Yes"/>
    <s v="Yes"/>
    <m/>
    <x v="28"/>
    <x v="58"/>
    <x v="0"/>
    <m/>
    <x v="0"/>
    <x v="0"/>
  </r>
  <r>
    <s v="Gopal Kolluru - Used Trade-In Product"/>
    <n v="10"/>
    <n v="5"/>
    <d v="2026-01-15T14:29:52"/>
    <n v="5140439"/>
    <s v="Used Trade-In Product"/>
    <m/>
    <s v="Gopal Kolluru"/>
    <m/>
    <s v="gkolluru@gmail.com"/>
    <m/>
    <m/>
    <m/>
    <s v="13 years 7 months"/>
    <s v="No"/>
    <m/>
    <m/>
    <s v="gkolluru@gmail.com"/>
    <s v="163"/>
    <m/>
    <m/>
    <m/>
    <m/>
    <m/>
    <m/>
    <m/>
    <m/>
    <d v="2026-01-16T10:48:15"/>
    <d v="2026-01-15T17:23:14"/>
    <m/>
    <s v="1134682"/>
    <m/>
    <m/>
    <m/>
    <m/>
    <m/>
    <m/>
    <m/>
    <m/>
    <m/>
    <m/>
    <m/>
    <m/>
    <m/>
    <m/>
    <m/>
    <m/>
    <m/>
    <m/>
    <m/>
    <m/>
    <m/>
    <m/>
    <s v="https://bnh.lightning.force.com/0012L00001BOmAZQA1"/>
    <m/>
    <m/>
    <m/>
    <m/>
    <m/>
    <m/>
    <m/>
    <m/>
    <m/>
    <m/>
    <m/>
    <m/>
    <m/>
    <m/>
    <m/>
    <m/>
    <m/>
    <m/>
    <m/>
    <m/>
    <m/>
    <m/>
    <m/>
    <m/>
    <m/>
    <m/>
    <m/>
    <m/>
    <m/>
    <m/>
    <m/>
    <m/>
    <m/>
    <m/>
    <m/>
    <m/>
    <m/>
    <m/>
    <s v="CAD"/>
    <m/>
    <s v="No"/>
    <s v="Aine Hoye"/>
    <s v="Aine Hoye"/>
    <d v="2026-01-15T14:29:50"/>
    <s v="Promoter"/>
    <s v="Closed"/>
    <m/>
    <m/>
    <s v="Yes"/>
    <m/>
    <m/>
    <m/>
    <m/>
    <m/>
    <m/>
    <m/>
    <m/>
    <m/>
    <m/>
    <m/>
    <m/>
    <m/>
    <m/>
    <m/>
    <m/>
    <s v="Awasom service 😍"/>
    <m/>
    <m/>
    <m/>
    <m/>
    <s v="Nothing"/>
    <m/>
    <m/>
    <m/>
    <m/>
    <m/>
    <m/>
    <m/>
    <m/>
    <m/>
    <m/>
    <m/>
    <m/>
    <m/>
    <m/>
    <m/>
    <m/>
    <m/>
    <m/>
    <m/>
    <m/>
    <m/>
    <m/>
    <m/>
    <m/>
    <m/>
    <m/>
    <m/>
    <m/>
    <m/>
    <m/>
    <m/>
    <m/>
    <m/>
    <m/>
    <m/>
    <m/>
    <m/>
    <m/>
    <m/>
    <m/>
    <m/>
    <m/>
    <m/>
    <m/>
    <m/>
    <m/>
    <m/>
    <m/>
    <m/>
    <m/>
    <m/>
    <m/>
    <m/>
    <m/>
    <m/>
    <m/>
    <m/>
    <m/>
    <m/>
    <m/>
    <m/>
    <m/>
    <m/>
    <m/>
    <m/>
    <m/>
    <m/>
    <m/>
    <m/>
    <m/>
    <m/>
    <m/>
    <m/>
    <m/>
    <m/>
    <m/>
    <m/>
    <m/>
    <m/>
    <m/>
    <m/>
    <m/>
    <s v="Awasom service 😍"/>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15"/>
    <x v="0"/>
    <x v="0"/>
    <m/>
    <x v="0"/>
    <x v="0"/>
  </r>
  <r>
    <s v="Muhammed Anwer - Used Trade-In Product"/>
    <n v="10"/>
    <n v="5"/>
    <d v="2026-01-15T13:37:23"/>
    <n v="5140325"/>
    <s v="Used Trade-In Product"/>
    <m/>
    <s v="Muhammed Anwer"/>
    <m/>
    <s v="anwermuhammed1@gmail.com"/>
    <m/>
    <m/>
    <m/>
    <s v="23 years 4 months"/>
    <s v="Yes"/>
    <m/>
    <m/>
    <s v="anwermuhammed1@gmail.com"/>
    <s v="280"/>
    <m/>
    <m/>
    <m/>
    <m/>
    <m/>
    <m/>
    <m/>
    <m/>
    <d v="2026-01-16T10:03:02"/>
    <d v="2026-01-15T14:23:00"/>
    <m/>
    <s v="1134722"/>
    <m/>
    <m/>
    <m/>
    <m/>
    <m/>
    <m/>
    <m/>
    <m/>
    <m/>
    <m/>
    <m/>
    <m/>
    <m/>
    <m/>
    <m/>
    <m/>
    <m/>
    <m/>
    <m/>
    <m/>
    <m/>
    <m/>
    <s v="https://bnh.lightning.force.com/0012L00001030QFQAY"/>
    <m/>
    <m/>
    <m/>
    <m/>
    <m/>
    <m/>
    <m/>
    <m/>
    <m/>
    <m/>
    <m/>
    <m/>
    <m/>
    <m/>
    <m/>
    <m/>
    <m/>
    <m/>
    <m/>
    <m/>
    <m/>
    <m/>
    <m/>
    <m/>
    <m/>
    <m/>
    <m/>
    <m/>
    <m/>
    <m/>
    <m/>
    <m/>
    <m/>
    <m/>
    <m/>
    <m/>
    <m/>
    <m/>
    <s v="CAD"/>
    <m/>
    <s v="No"/>
    <s v="Aine Hoye"/>
    <s v="Aine Hoye"/>
    <d v="2026-01-15T13:35:54"/>
    <s v="Promoter"/>
    <s v="Closed"/>
    <m/>
    <m/>
    <s v="Yes"/>
    <m/>
    <m/>
    <m/>
    <m/>
    <m/>
    <m/>
    <m/>
    <m/>
    <m/>
    <m/>
    <m/>
    <m/>
    <m/>
    <m/>
    <m/>
    <m/>
    <s v="Ease of navigating the web site and finding the item.  Decent price."/>
    <m/>
    <m/>
    <m/>
    <m/>
    <s v="Nothing."/>
    <m/>
    <m/>
    <m/>
    <m/>
    <m/>
    <m/>
    <m/>
    <m/>
    <m/>
    <m/>
    <m/>
    <m/>
    <m/>
    <m/>
    <m/>
    <m/>
    <m/>
    <m/>
    <m/>
    <m/>
    <m/>
    <m/>
    <m/>
    <m/>
    <m/>
    <m/>
    <m/>
    <m/>
    <m/>
    <m/>
    <m/>
    <m/>
    <m/>
    <m/>
    <m/>
    <m/>
    <m/>
    <m/>
    <m/>
    <m/>
    <m/>
    <m/>
    <m/>
    <m/>
    <m/>
    <m/>
    <m/>
    <m/>
    <m/>
    <m/>
    <m/>
    <m/>
    <m/>
    <m/>
    <m/>
    <m/>
    <m/>
    <m/>
    <m/>
    <m/>
    <m/>
    <m/>
    <m/>
    <m/>
    <m/>
    <m/>
    <m/>
    <m/>
    <m/>
    <m/>
    <m/>
    <m/>
    <m/>
    <m/>
    <m/>
    <m/>
    <m/>
    <m/>
    <m/>
    <m/>
    <m/>
    <m/>
    <s v="Ease of navigating the web site and finding the item.  Decent pric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Used &gt; Pricing &gt;, Website &gt; Navigation &gt;"/>
    <s v="Used &gt; Pricing &gt;, Website &gt; Navigation &gt;"/>
    <m/>
    <m/>
    <s v="Used &gt; Pricing &gt; (Positive), Website &gt; Navigation &gt; (Positive)"/>
    <s v="Used &gt; Pricing &gt; (Positive), Website &gt; Navigation &gt; (Positive)"/>
    <s v="No"/>
    <s v="No"/>
    <m/>
    <x v="26"/>
    <x v="0"/>
    <x v="0"/>
    <m/>
    <x v="0"/>
    <x v="0"/>
  </r>
  <r>
    <s v="Thomas Colucci - Used Trade-In Product"/>
    <n v="8"/>
    <n v="4"/>
    <d v="2026-01-15T12:57:21"/>
    <n v="5140217"/>
    <s v="Used Trade-In Product"/>
    <m/>
    <s v="Thomas Colucci"/>
    <m/>
    <s v="tcolucciwrk@gmail.com"/>
    <m/>
    <m/>
    <m/>
    <m/>
    <s v="No"/>
    <m/>
    <m/>
    <s v="tcolucciwrk@gmail.com"/>
    <m/>
    <m/>
    <m/>
    <m/>
    <m/>
    <m/>
    <m/>
    <m/>
    <m/>
    <d v="2026-01-23T12:06:02"/>
    <d v="2026-01-15T14:22:56"/>
    <m/>
    <s v="1133846"/>
    <m/>
    <m/>
    <m/>
    <m/>
    <m/>
    <m/>
    <m/>
    <m/>
    <m/>
    <m/>
    <m/>
    <m/>
    <m/>
    <m/>
    <m/>
    <m/>
    <m/>
    <m/>
    <m/>
    <m/>
    <m/>
    <m/>
    <s v="https://bnh.lightning.force.com/001WP00000oT8KPYA0"/>
    <m/>
    <m/>
    <m/>
    <m/>
    <m/>
    <m/>
    <m/>
    <m/>
    <m/>
    <m/>
    <m/>
    <m/>
    <m/>
    <m/>
    <m/>
    <m/>
    <m/>
    <m/>
    <m/>
    <m/>
    <m/>
    <m/>
    <m/>
    <m/>
    <m/>
    <m/>
    <m/>
    <m/>
    <m/>
    <m/>
    <m/>
    <m/>
    <m/>
    <m/>
    <m/>
    <m/>
    <m/>
    <m/>
    <s v="CAD"/>
    <m/>
    <s v="No"/>
    <s v="Nick Badame,Avraham Schwartz,Reina Caba"/>
    <s v="Reina Caba"/>
    <d v="2026-01-15T12:56:15"/>
    <s v="Passive"/>
    <s v="Closed"/>
    <d v="2026-01-23T12:05:57"/>
    <s v="Reina Caba (reinac@bhphoto.com)"/>
    <s v="Yes"/>
    <m/>
    <m/>
    <m/>
    <m/>
    <m/>
    <m/>
    <m/>
    <m/>
    <m/>
    <m/>
    <m/>
    <m/>
    <m/>
    <m/>
    <m/>
    <m/>
    <s v="Wonderful team to work with. I've called a few times and everyone was quick to get me a status update as needed. They evaluated my gear nicely."/>
    <m/>
    <m/>
    <m/>
    <m/>
    <s v="Claimed an item I had sent that I really was hoping to get rid of, was broken, but when I looked myself, it functioned flawlessly. I believe the tech didn't know to hold the power button rather than just press it."/>
    <m/>
    <m/>
    <m/>
    <m/>
    <m/>
    <m/>
    <m/>
    <m/>
    <m/>
    <m/>
    <m/>
    <m/>
    <m/>
    <m/>
    <m/>
    <m/>
    <m/>
    <m/>
    <m/>
    <m/>
    <m/>
    <m/>
    <m/>
    <m/>
    <m/>
    <m/>
    <m/>
    <m/>
    <m/>
    <m/>
    <m/>
    <m/>
    <m/>
    <m/>
    <m/>
    <m/>
    <m/>
    <m/>
    <m/>
    <m/>
    <m/>
    <m/>
    <m/>
    <m/>
    <m/>
    <m/>
    <m/>
    <m/>
    <m/>
    <m/>
    <m/>
    <m/>
    <m/>
    <m/>
    <m/>
    <m/>
    <m/>
    <m/>
    <m/>
    <m/>
    <m/>
    <m/>
    <m/>
    <m/>
    <m/>
    <m/>
    <m/>
    <m/>
    <m/>
    <m/>
    <m/>
    <m/>
    <m/>
    <m/>
    <m/>
    <m/>
    <m/>
    <m/>
    <m/>
    <m/>
    <m/>
    <m/>
    <s v="Wonderful team to work with. I've called a few times and everyone was quick to get me a status update as needed. They evaluated my gear nicely."/>
    <s v="Claimed an item I had sent that I really was hoping to get rid of, was broken, but when I looked myself, it functioned flawlessly. I believe the tech didn't know to hold the power button rather than just press i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4"/>
    <m/>
    <m/>
    <m/>
    <m/>
    <m/>
    <m/>
    <n v="4"/>
    <n v="5"/>
    <n v="4"/>
    <s v="N/A"/>
    <m/>
    <m/>
    <m/>
    <m/>
    <m/>
    <m/>
    <m/>
    <m/>
    <m/>
    <m/>
    <m/>
    <m/>
    <m/>
    <m/>
    <m/>
    <m/>
    <m/>
    <m/>
    <m/>
    <m/>
    <m/>
    <m/>
    <m/>
    <m/>
    <m/>
    <m/>
    <m/>
    <m/>
    <m/>
    <m/>
    <m/>
    <m/>
    <m/>
    <m/>
    <m/>
    <m/>
    <m/>
    <m/>
    <m/>
    <m/>
    <m/>
    <m/>
    <m/>
    <m/>
    <m/>
    <m/>
    <m/>
    <m/>
    <m/>
    <m/>
    <m/>
    <m/>
    <m/>
    <m/>
    <m/>
    <m/>
    <m/>
    <m/>
    <m/>
    <m/>
    <m/>
    <m/>
    <m/>
    <m/>
    <m/>
    <m/>
    <m/>
    <m/>
    <m/>
    <m/>
    <m/>
    <m/>
    <m/>
    <m/>
    <m/>
    <m/>
    <m/>
    <m/>
    <m/>
    <m/>
    <m/>
    <m/>
    <m/>
    <m/>
    <m/>
    <m/>
    <m/>
    <m/>
    <m/>
    <m/>
    <m/>
    <m/>
    <m/>
    <m/>
    <m/>
    <m/>
    <m/>
    <m/>
    <m/>
    <m/>
    <m/>
    <s v="People &gt; Knowledge / Recommend &gt;, Website &gt; Order Tracking &gt;"/>
    <s v="People &gt; Helpful / Efficient &gt;, People &gt; Knowledge / Recommend &gt;, People &gt; Overall Satisfaction &gt;, Trade In &gt; Overall Process &gt;"/>
    <m/>
    <s v="POSITIVE"/>
    <s v="People &gt; Knowledge / Recommend &gt; (Negative), Website &gt; Order Tracking &gt; (Positive)"/>
    <s v="People &gt; Helpful / Efficient &gt; (Positive), People &gt; Knowledge / Recommend &gt; (Negative), People &gt; Overall Satisfaction &gt; (Positive), Trade In &gt; Overall Process &gt; (Negative), Trade In &gt; Overall Process &gt; (Positive)"/>
    <s v="Yes"/>
    <s v="Yes"/>
    <m/>
    <x v="7"/>
    <x v="59"/>
    <x v="32"/>
    <m/>
    <x v="0"/>
    <x v="0"/>
  </r>
  <r>
    <s v="Harvey Seargeant - Used Trade-In Product"/>
    <n v="10"/>
    <n v="5"/>
    <d v="2026-01-15T12:05:29"/>
    <n v="5140051"/>
    <s v="Used Trade-In Product"/>
    <m/>
    <s v="Harvey Seargeant"/>
    <m/>
    <s v="harveyseargeant@verizon.net"/>
    <m/>
    <m/>
    <m/>
    <s v="16 years 11 months"/>
    <s v="No"/>
    <m/>
    <m/>
    <s v="harveyseargeant@verizon.net"/>
    <s v="203"/>
    <m/>
    <m/>
    <m/>
    <m/>
    <m/>
    <m/>
    <m/>
    <m/>
    <d v="2026-01-15T15:01:35"/>
    <d v="2026-01-15T14:23:02"/>
    <m/>
    <s v="1134222"/>
    <m/>
    <m/>
    <m/>
    <m/>
    <m/>
    <m/>
    <m/>
    <m/>
    <m/>
    <m/>
    <m/>
    <m/>
    <m/>
    <m/>
    <m/>
    <m/>
    <m/>
    <m/>
    <m/>
    <m/>
    <m/>
    <m/>
    <s v="https://bnh.lightning.force.com/0011a00000IEAvxAAH"/>
    <m/>
    <m/>
    <m/>
    <m/>
    <m/>
    <m/>
    <m/>
    <m/>
    <m/>
    <m/>
    <m/>
    <m/>
    <m/>
    <m/>
    <m/>
    <m/>
    <m/>
    <m/>
    <m/>
    <m/>
    <m/>
    <m/>
    <m/>
    <m/>
    <m/>
    <m/>
    <m/>
    <m/>
    <m/>
    <m/>
    <m/>
    <m/>
    <m/>
    <m/>
    <m/>
    <m/>
    <m/>
    <m/>
    <s v="CAD"/>
    <m/>
    <s v="No"/>
    <s v="Efrat Malachi"/>
    <s v="Efrat Malachi"/>
    <d v="2026-01-15T12:04:00"/>
    <s v="Promoter"/>
    <s v="Closed"/>
    <m/>
    <m/>
    <s v="Yes"/>
    <m/>
    <m/>
    <m/>
    <m/>
    <m/>
    <m/>
    <m/>
    <m/>
    <m/>
    <m/>
    <m/>
    <m/>
    <m/>
    <m/>
    <m/>
    <m/>
    <s v="Speed"/>
    <m/>
    <m/>
    <m/>
    <m/>
    <s v="5 day delay- but oh well 😁 thanks BH"/>
    <m/>
    <m/>
    <m/>
    <m/>
    <m/>
    <m/>
    <m/>
    <m/>
    <m/>
    <m/>
    <m/>
    <m/>
    <m/>
    <m/>
    <m/>
    <m/>
    <m/>
    <m/>
    <m/>
    <m/>
    <m/>
    <m/>
    <m/>
    <m/>
    <m/>
    <m/>
    <m/>
    <m/>
    <m/>
    <m/>
    <m/>
    <m/>
    <m/>
    <m/>
    <m/>
    <m/>
    <m/>
    <m/>
    <m/>
    <m/>
    <m/>
    <m/>
    <m/>
    <m/>
    <m/>
    <m/>
    <m/>
    <m/>
    <m/>
    <m/>
    <m/>
    <m/>
    <m/>
    <m/>
    <m/>
    <m/>
    <m/>
    <m/>
    <m/>
    <m/>
    <m/>
    <m/>
    <m/>
    <m/>
    <m/>
    <m/>
    <m/>
    <m/>
    <m/>
    <m/>
    <m/>
    <m/>
    <m/>
    <m/>
    <m/>
    <m/>
    <m/>
    <m/>
    <m/>
    <m/>
    <m/>
    <m/>
    <s v="Speed"/>
    <s v="5 day delay- but oh well 😁 thanks B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Trade In &gt; Overall Process &gt;, Trade In &gt; Timeliness of Payment &gt;"/>
    <m/>
    <m/>
    <m/>
    <s v="B&amp;H &gt; Satisfaction &gt; (Positive), Trade In &gt; Overall Process &gt; (Positive), Trade In &gt; Timeliness of Payment &gt; (Negative)"/>
    <s v="Yes"/>
    <s v="Yes"/>
    <m/>
    <x v="25"/>
    <x v="4"/>
    <x v="0"/>
    <m/>
    <x v="0"/>
    <x v="0"/>
  </r>
  <r>
    <s v="Les Dickey - Used Trade-In Product"/>
    <n v="5"/>
    <n v="3"/>
    <d v="2026-01-15T11:48:55"/>
    <n v="5140000"/>
    <s v="Used Trade-In Product"/>
    <m/>
    <s v="Les Dickey"/>
    <m/>
    <s v="lesdickey@gmx.com"/>
    <m/>
    <m/>
    <m/>
    <s v="2 years 7 months"/>
    <s v="No"/>
    <m/>
    <m/>
    <s v="lesdickey@gmx.com"/>
    <s v="31"/>
    <m/>
    <m/>
    <m/>
    <m/>
    <m/>
    <m/>
    <m/>
    <m/>
    <d v="2026-01-26T11:40:36"/>
    <d v="2026-01-15T12:53:32"/>
    <m/>
    <s v="1131037"/>
    <m/>
    <m/>
    <m/>
    <m/>
    <m/>
    <m/>
    <m/>
    <m/>
    <m/>
    <m/>
    <m/>
    <m/>
    <m/>
    <m/>
    <m/>
    <m/>
    <m/>
    <m/>
    <m/>
    <m/>
    <m/>
    <m/>
    <s v="https://bnh.lightning.force.com/001WP00000n4cCpYAI"/>
    <m/>
    <m/>
    <m/>
    <m/>
    <m/>
    <m/>
    <m/>
    <m/>
    <m/>
    <m/>
    <m/>
    <m/>
    <m/>
    <m/>
    <m/>
    <m/>
    <m/>
    <m/>
    <m/>
    <m/>
    <m/>
    <m/>
    <m/>
    <m/>
    <m/>
    <m/>
    <m/>
    <m/>
    <m/>
    <m/>
    <m/>
    <m/>
    <m/>
    <m/>
    <m/>
    <m/>
    <m/>
    <m/>
    <s v="CAD"/>
    <m/>
    <s v="No"/>
    <s v="Efrat Malachi,Avraham Schwartz,Reina Caba"/>
    <s v="Reina Caba"/>
    <d v="2026-01-15T11:48:06"/>
    <s v="Detractor "/>
    <s v="Closed"/>
    <d v="2026-01-26T11:40:32"/>
    <s v="Reina Caba (reinac@bhphoto.com)"/>
    <s v="Yes"/>
    <m/>
    <m/>
    <m/>
    <m/>
    <m/>
    <m/>
    <m/>
    <m/>
    <m/>
    <m/>
    <m/>
    <m/>
    <m/>
    <m/>
    <m/>
    <m/>
    <s v="Efficient.  Friendly."/>
    <m/>
    <m/>
    <m/>
    <m/>
    <s v="Still waiting for my check."/>
    <m/>
    <m/>
    <m/>
    <m/>
    <m/>
    <m/>
    <m/>
    <m/>
    <m/>
    <m/>
    <m/>
    <m/>
    <m/>
    <m/>
    <m/>
    <m/>
    <m/>
    <m/>
    <m/>
    <m/>
    <m/>
    <m/>
    <m/>
    <m/>
    <m/>
    <m/>
    <m/>
    <m/>
    <m/>
    <m/>
    <m/>
    <m/>
    <m/>
    <m/>
    <m/>
    <m/>
    <m/>
    <m/>
    <m/>
    <m/>
    <m/>
    <m/>
    <m/>
    <m/>
    <m/>
    <m/>
    <m/>
    <m/>
    <m/>
    <m/>
    <m/>
    <m/>
    <m/>
    <m/>
    <m/>
    <m/>
    <m/>
    <m/>
    <m/>
    <m/>
    <m/>
    <m/>
    <m/>
    <m/>
    <m/>
    <m/>
    <m/>
    <m/>
    <m/>
    <m/>
    <m/>
    <m/>
    <m/>
    <m/>
    <m/>
    <m/>
    <m/>
    <m/>
    <m/>
    <m/>
    <m/>
    <m/>
    <s v="Efficient.  Friendly."/>
    <s v="Still waiting for my che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3"/>
    <n v="3"/>
    <m/>
    <m/>
    <m/>
    <m/>
    <m/>
    <m/>
    <n v="3"/>
    <n v="3"/>
    <n v="3"/>
    <n v="1"/>
    <m/>
    <m/>
    <m/>
    <m/>
    <m/>
    <m/>
    <m/>
    <m/>
    <m/>
    <m/>
    <m/>
    <m/>
    <m/>
    <m/>
    <m/>
    <m/>
    <m/>
    <m/>
    <m/>
    <m/>
    <m/>
    <m/>
    <m/>
    <m/>
    <m/>
    <m/>
    <m/>
    <m/>
    <m/>
    <m/>
    <m/>
    <m/>
    <m/>
    <m/>
    <m/>
    <m/>
    <m/>
    <m/>
    <m/>
    <m/>
    <m/>
    <m/>
    <m/>
    <m/>
    <m/>
    <m/>
    <m/>
    <m/>
    <m/>
    <m/>
    <m/>
    <m/>
    <m/>
    <m/>
    <m/>
    <m/>
    <m/>
    <m/>
    <m/>
    <m/>
    <m/>
    <m/>
    <m/>
    <m/>
    <m/>
    <m/>
    <m/>
    <m/>
    <m/>
    <m/>
    <m/>
    <m/>
    <m/>
    <m/>
    <m/>
    <m/>
    <m/>
    <m/>
    <m/>
    <m/>
    <m/>
    <m/>
    <m/>
    <m/>
    <m/>
    <m/>
    <m/>
    <m/>
    <m/>
    <m/>
    <m/>
    <m/>
    <m/>
    <m/>
    <m/>
    <m/>
    <m/>
    <m/>
    <m/>
    <m/>
    <m/>
    <s v="People &gt; Courtesy / Professional &gt;"/>
    <s v="People &gt; Courtesy / Professional &gt;, Trade In &gt; Overall Process &gt;, Trade In &gt; Timeliness of Payment &gt;"/>
    <m/>
    <m/>
    <s v="People &gt; Courtesy / Professional &gt; (Positive)"/>
    <s v="People &gt; Courtesy / Professional &gt; (Positive), Trade In &gt; Overall Process &gt; (Positive), Trade In &gt; Timeliness of Payment &gt; (Negative)"/>
    <s v="Yes"/>
    <s v="No"/>
    <m/>
    <x v="25"/>
    <x v="11"/>
    <x v="0"/>
    <m/>
    <x v="0"/>
    <x v="0"/>
  </r>
  <r>
    <s v="Vincent Manganello - Used Trade-In Product"/>
    <n v="2"/>
    <n v="2"/>
    <d v="2026-01-15T10:48:50"/>
    <n v="5139833"/>
    <s v="Used Trade-In Product"/>
    <m/>
    <s v="Vincent Manganello"/>
    <m/>
    <s v="vinnieman@hotmail.com"/>
    <m/>
    <m/>
    <m/>
    <s v="23 years 3 months"/>
    <s v="Yes"/>
    <m/>
    <m/>
    <s v="vinnieman@hotmail.com"/>
    <s v="279"/>
    <m/>
    <m/>
    <m/>
    <m/>
    <m/>
    <m/>
    <m/>
    <m/>
    <d v="2026-01-26T11:19:28"/>
    <d v="2026-01-15T12:54:55"/>
    <m/>
    <s v="1134890"/>
    <m/>
    <m/>
    <m/>
    <m/>
    <m/>
    <m/>
    <m/>
    <m/>
    <m/>
    <m/>
    <m/>
    <m/>
    <m/>
    <m/>
    <m/>
    <m/>
    <m/>
    <m/>
    <m/>
    <m/>
    <m/>
    <m/>
    <s v="https://bnh.lightning.force.com/0011a00000Fn0NnAAJ"/>
    <m/>
    <m/>
    <m/>
    <m/>
    <m/>
    <m/>
    <m/>
    <m/>
    <m/>
    <m/>
    <m/>
    <m/>
    <m/>
    <m/>
    <m/>
    <m/>
    <m/>
    <m/>
    <m/>
    <m/>
    <m/>
    <m/>
    <m/>
    <m/>
    <m/>
    <m/>
    <m/>
    <m/>
    <m/>
    <m/>
    <m/>
    <m/>
    <m/>
    <m/>
    <m/>
    <m/>
    <m/>
    <m/>
    <s v="CAD"/>
    <m/>
    <s v="No"/>
    <s v="Efrat Malachi,Avraham Schwartz,Reina Caba"/>
    <s v="Reina Caba"/>
    <d v="2026-01-15T10:45:59"/>
    <s v="Detractor "/>
    <s v="Closed"/>
    <d v="2026-01-26T11:18:56"/>
    <s v="Reina Caba (reinac@bhphoto.com)"/>
    <s v="Yes"/>
    <m/>
    <m/>
    <m/>
    <m/>
    <m/>
    <m/>
    <m/>
    <m/>
    <m/>
    <m/>
    <m/>
    <m/>
    <m/>
    <m/>
    <m/>
    <m/>
    <s v="Easy to get quote online."/>
    <m/>
    <m/>
    <m/>
    <m/>
    <s v="One of my lenses was not online, when I talked to a buyer on the phone he used a different condition scale then online. When item was received I was told the quote was lower. Seems like the guy on the phone was trying to get the price up so I would send it in, then it got there and price was lowered. Feels a little scammy like what a used car dealer would pull. I've been a B&amp;H customer for ever, but I'll stick with new."/>
    <m/>
    <m/>
    <m/>
    <m/>
    <m/>
    <m/>
    <m/>
    <m/>
    <m/>
    <m/>
    <m/>
    <m/>
    <m/>
    <m/>
    <m/>
    <m/>
    <m/>
    <m/>
    <m/>
    <m/>
    <m/>
    <m/>
    <m/>
    <m/>
    <m/>
    <m/>
    <m/>
    <m/>
    <m/>
    <m/>
    <m/>
    <m/>
    <m/>
    <m/>
    <m/>
    <m/>
    <m/>
    <m/>
    <m/>
    <m/>
    <m/>
    <m/>
    <m/>
    <m/>
    <m/>
    <m/>
    <m/>
    <m/>
    <m/>
    <m/>
    <m/>
    <m/>
    <m/>
    <m/>
    <m/>
    <m/>
    <m/>
    <m/>
    <m/>
    <m/>
    <m/>
    <m/>
    <m/>
    <m/>
    <m/>
    <m/>
    <m/>
    <m/>
    <m/>
    <m/>
    <m/>
    <m/>
    <m/>
    <m/>
    <m/>
    <m/>
    <m/>
    <m/>
    <m/>
    <m/>
    <m/>
    <m/>
    <s v="Easy to get quote online."/>
    <s v="One of my lenses was not online, when I talked to a buyer on the phone he used a different condition scale then online. When item was received I was told the quote was lower. Seems like the guy on the phone was trying to get the price up so I would send it in, then it got there and price was lowered. Feels a little scammy like what a used car dealer would pull. I've been a B&amp;H customer for ever, but I'll stick with new."/>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3"/>
    <n v="5"/>
    <m/>
    <m/>
    <m/>
    <m/>
    <m/>
    <m/>
    <n v="2"/>
    <n v="4"/>
    <n v="5"/>
    <s v="N/A"/>
    <m/>
    <m/>
    <m/>
    <m/>
    <m/>
    <m/>
    <m/>
    <m/>
    <m/>
    <m/>
    <m/>
    <m/>
    <m/>
    <m/>
    <m/>
    <m/>
    <m/>
    <m/>
    <m/>
    <m/>
    <m/>
    <m/>
    <m/>
    <m/>
    <m/>
    <m/>
    <m/>
    <m/>
    <m/>
    <m/>
    <m/>
    <m/>
    <m/>
    <m/>
    <m/>
    <m/>
    <m/>
    <m/>
    <m/>
    <m/>
    <m/>
    <m/>
    <m/>
    <m/>
    <m/>
    <m/>
    <m/>
    <m/>
    <m/>
    <m/>
    <m/>
    <m/>
    <m/>
    <m/>
    <m/>
    <m/>
    <m/>
    <m/>
    <m/>
    <m/>
    <m/>
    <m/>
    <m/>
    <m/>
    <m/>
    <m/>
    <m/>
    <m/>
    <m/>
    <m/>
    <m/>
    <m/>
    <m/>
    <m/>
    <m/>
    <m/>
    <m/>
    <m/>
    <m/>
    <m/>
    <m/>
    <m/>
    <m/>
    <m/>
    <m/>
    <m/>
    <m/>
    <m/>
    <m/>
    <m/>
    <m/>
    <m/>
    <m/>
    <m/>
    <m/>
    <m/>
    <m/>
    <m/>
    <m/>
    <m/>
    <m/>
    <s v="Trade In &gt; Overall Process &gt;, Trade In &gt; Quote Price &gt;, Used &gt; Pricing &gt;"/>
    <s v="B&amp;H &gt; Loyalty &gt;, B&amp;H &gt; Reliable / Trustworthy &gt;, Trade In &gt; Overall Process &gt;, Trade In &gt; Quote Price &gt;, Used &gt; Description &gt;, Used &gt; Pricing &gt;, Website &gt; Overall Satisfaction &gt;"/>
    <m/>
    <m/>
    <s v="Trade In &gt; Overall Process &gt; (No opinion), Trade In &gt; Overall Process &gt; (Positive), Trade In &gt; Quote Price &gt; (No opinion), Used &gt; Pricing &gt; (Negative), Used &gt; Pricing &gt; (Positive)"/>
    <s v="B&amp;H &gt; Loyalty &gt; (Positive), B&amp;H &gt; Reliable / Trustworthy &gt; (Negative), Trade In &gt; Overall Process &gt; (Negative), Trade In &gt; Overall Process &gt; (Positive), Trade In &gt; Quote Price &gt; (Negative), Used &gt; Description &gt; (Negative), Used &gt; Pricing &gt; (Negative), Website &gt; Overall Satisfaction &gt; (Positive)"/>
    <s v="Yes"/>
    <s v="Yes"/>
    <m/>
    <x v="13"/>
    <x v="8"/>
    <x v="0"/>
    <m/>
    <x v="0"/>
    <x v="0"/>
  </r>
  <r>
    <s v="Cynthia Ang - Used Trade-In Product"/>
    <n v="10"/>
    <n v="5"/>
    <d v="2026-01-15T09:59:29"/>
    <n v="5139668"/>
    <s v="Used Trade-In Product"/>
    <m/>
    <s v="Cynthia Ang"/>
    <m/>
    <s v="lxw384@gmail.com"/>
    <m/>
    <m/>
    <m/>
    <m/>
    <s v="No"/>
    <m/>
    <m/>
    <s v="lxw384@gmail.com"/>
    <m/>
    <m/>
    <m/>
    <m/>
    <m/>
    <m/>
    <m/>
    <m/>
    <m/>
    <d v="2026-01-15T14:44:07"/>
    <d v="2026-01-15T12:51:52"/>
    <m/>
    <s v="1129873"/>
    <m/>
    <m/>
    <m/>
    <m/>
    <m/>
    <m/>
    <m/>
    <m/>
    <m/>
    <m/>
    <m/>
    <m/>
    <m/>
    <m/>
    <m/>
    <m/>
    <m/>
    <m/>
    <m/>
    <m/>
    <m/>
    <m/>
    <s v="https://bnh.lightning.force.com/001WP00000mRhyUYAS"/>
    <m/>
    <m/>
    <m/>
    <m/>
    <m/>
    <m/>
    <m/>
    <m/>
    <m/>
    <m/>
    <m/>
    <m/>
    <m/>
    <m/>
    <m/>
    <m/>
    <m/>
    <m/>
    <m/>
    <m/>
    <m/>
    <m/>
    <m/>
    <m/>
    <m/>
    <m/>
    <m/>
    <m/>
    <m/>
    <m/>
    <m/>
    <m/>
    <m/>
    <m/>
    <m/>
    <m/>
    <m/>
    <m/>
    <s v="CAD"/>
    <m/>
    <s v="No"/>
    <s v="Aine Hoye"/>
    <s v="Aine Hoye"/>
    <d v="2026-01-15T09:59:48"/>
    <s v="Promoter"/>
    <s v="Closed"/>
    <m/>
    <m/>
    <s v="Yes"/>
    <m/>
    <m/>
    <m/>
    <m/>
    <m/>
    <m/>
    <m/>
    <m/>
    <m/>
    <m/>
    <m/>
    <m/>
    <m/>
    <m/>
    <m/>
    <m/>
    <s v="Very fast and easy"/>
    <m/>
    <m/>
    <m/>
    <m/>
    <m/>
    <m/>
    <m/>
    <m/>
    <m/>
    <m/>
    <m/>
    <m/>
    <m/>
    <m/>
    <m/>
    <m/>
    <m/>
    <m/>
    <m/>
    <m/>
    <m/>
    <m/>
    <m/>
    <m/>
    <m/>
    <m/>
    <m/>
    <m/>
    <m/>
    <m/>
    <m/>
    <m/>
    <m/>
    <m/>
    <m/>
    <m/>
    <m/>
    <m/>
    <m/>
    <m/>
    <m/>
    <m/>
    <m/>
    <m/>
    <m/>
    <m/>
    <m/>
    <m/>
    <m/>
    <m/>
    <m/>
    <m/>
    <m/>
    <m/>
    <m/>
    <m/>
    <m/>
    <m/>
    <m/>
    <m/>
    <m/>
    <m/>
    <m/>
    <m/>
    <m/>
    <m/>
    <m/>
    <m/>
    <m/>
    <m/>
    <m/>
    <m/>
    <m/>
    <m/>
    <m/>
    <m/>
    <m/>
    <m/>
    <m/>
    <m/>
    <m/>
    <m/>
    <m/>
    <m/>
    <m/>
    <m/>
    <m/>
    <s v="Very fast and eas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Joe Schmitt - Used Trade-In Product"/>
    <n v="10"/>
    <n v="5"/>
    <d v="2026-01-15T09:58:31"/>
    <n v="5139658"/>
    <s v="Used Trade-In Product"/>
    <m/>
    <s v="Joe Schmitt"/>
    <m/>
    <s v="fjoe48@aol.com"/>
    <m/>
    <m/>
    <m/>
    <s v="14 years 1 months"/>
    <s v="No"/>
    <m/>
    <m/>
    <s v="fjoe48@aol.com"/>
    <s v="169"/>
    <m/>
    <m/>
    <m/>
    <m/>
    <m/>
    <m/>
    <m/>
    <m/>
    <d v="2026-01-15T14:43:22"/>
    <d v="2026-01-15T12:53:15"/>
    <m/>
    <s v="1132558"/>
    <m/>
    <m/>
    <m/>
    <m/>
    <m/>
    <m/>
    <m/>
    <m/>
    <m/>
    <m/>
    <m/>
    <m/>
    <m/>
    <m/>
    <m/>
    <m/>
    <m/>
    <m/>
    <m/>
    <m/>
    <m/>
    <m/>
    <s v="https://bnh.lightning.force.com/001WP00000nvcfeYAA"/>
    <m/>
    <m/>
    <m/>
    <m/>
    <m/>
    <m/>
    <m/>
    <m/>
    <m/>
    <m/>
    <m/>
    <m/>
    <m/>
    <m/>
    <m/>
    <m/>
    <m/>
    <m/>
    <m/>
    <m/>
    <m/>
    <m/>
    <m/>
    <m/>
    <m/>
    <m/>
    <m/>
    <m/>
    <m/>
    <m/>
    <m/>
    <m/>
    <m/>
    <m/>
    <m/>
    <m/>
    <m/>
    <m/>
    <s v="CAD"/>
    <m/>
    <s v="No"/>
    <s v="Aine Hoye"/>
    <s v="Aine Hoye"/>
    <d v="2026-01-15T09:57:46"/>
    <s v="Promoter"/>
    <s v="Closed"/>
    <m/>
    <m/>
    <s v="Yes"/>
    <m/>
    <m/>
    <m/>
    <m/>
    <m/>
    <m/>
    <m/>
    <m/>
    <m/>
    <m/>
    <m/>
    <m/>
    <m/>
    <m/>
    <m/>
    <m/>
    <s v="Efficient and user-friendly system."/>
    <m/>
    <m/>
    <m/>
    <m/>
    <s v="Amount of time it took to receive check after approval."/>
    <m/>
    <m/>
    <m/>
    <m/>
    <m/>
    <m/>
    <m/>
    <m/>
    <m/>
    <m/>
    <m/>
    <m/>
    <m/>
    <m/>
    <m/>
    <m/>
    <m/>
    <m/>
    <m/>
    <m/>
    <m/>
    <m/>
    <m/>
    <m/>
    <m/>
    <m/>
    <m/>
    <m/>
    <m/>
    <m/>
    <m/>
    <m/>
    <m/>
    <m/>
    <m/>
    <m/>
    <m/>
    <m/>
    <m/>
    <m/>
    <m/>
    <m/>
    <m/>
    <m/>
    <m/>
    <m/>
    <m/>
    <m/>
    <m/>
    <m/>
    <m/>
    <m/>
    <m/>
    <m/>
    <m/>
    <m/>
    <m/>
    <m/>
    <m/>
    <m/>
    <m/>
    <m/>
    <m/>
    <m/>
    <m/>
    <m/>
    <m/>
    <m/>
    <m/>
    <m/>
    <m/>
    <m/>
    <m/>
    <m/>
    <m/>
    <m/>
    <m/>
    <m/>
    <m/>
    <m/>
    <m/>
    <m/>
    <s v="Efficient and user-friendly system."/>
    <s v="Amount of time it took to receive check after approv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m/>
    <s v="Trade In &gt; Overall Process &gt;, Trade In &gt; Timeliness of Payment &gt;"/>
    <m/>
    <m/>
    <m/>
    <s v="Trade In &gt; Overall Process &gt; (Positive), Trade In &gt; Timeliness of Payment &gt; (Negative)"/>
    <s v="Yes"/>
    <s v="Yes"/>
    <m/>
    <x v="25"/>
    <x v="11"/>
    <x v="0"/>
    <m/>
    <x v="0"/>
    <x v="0"/>
  </r>
  <r>
    <s v="Miles Gerson - Used Trade-In Product"/>
    <n v="10"/>
    <n v="5"/>
    <d v="2026-01-15T09:55:27"/>
    <n v="5139650"/>
    <s v="Used Trade-In Product"/>
    <m/>
    <s v="Miles Gerson"/>
    <m/>
    <s v="miles.gerson@gmail.com"/>
    <m/>
    <m/>
    <m/>
    <s v="1 months"/>
    <s v="No"/>
    <m/>
    <m/>
    <s v="miles.gerson@gmail.com"/>
    <s v="1"/>
    <m/>
    <m/>
    <m/>
    <m/>
    <m/>
    <m/>
    <m/>
    <m/>
    <d v="2026-01-15T17:04:04"/>
    <d v="2026-01-15T12:51:39"/>
    <m/>
    <s v="1132354"/>
    <m/>
    <m/>
    <m/>
    <m/>
    <m/>
    <m/>
    <m/>
    <m/>
    <m/>
    <m/>
    <m/>
    <m/>
    <m/>
    <m/>
    <m/>
    <m/>
    <m/>
    <m/>
    <m/>
    <m/>
    <m/>
    <m/>
    <s v="https://bnh.lightning.force.com/001WP00000nosZKYAY"/>
    <m/>
    <m/>
    <m/>
    <m/>
    <m/>
    <m/>
    <m/>
    <m/>
    <m/>
    <m/>
    <m/>
    <m/>
    <m/>
    <m/>
    <m/>
    <m/>
    <m/>
    <m/>
    <m/>
    <m/>
    <m/>
    <m/>
    <m/>
    <m/>
    <m/>
    <m/>
    <m/>
    <m/>
    <m/>
    <m/>
    <m/>
    <m/>
    <m/>
    <m/>
    <m/>
    <m/>
    <m/>
    <m/>
    <s v="CAD"/>
    <m/>
    <s v="No"/>
    <s v="Aine Hoye"/>
    <s v="Aine Hoye"/>
    <d v="2026-01-15T09:55:47"/>
    <s v="Promoter"/>
    <s v="Closed"/>
    <m/>
    <m/>
    <s v="Yes"/>
    <m/>
    <m/>
    <m/>
    <m/>
    <m/>
    <m/>
    <m/>
    <m/>
    <m/>
    <m/>
    <m/>
    <m/>
    <m/>
    <m/>
    <m/>
    <m/>
    <s v="Very clear process, good communication throughout, very professional and very fair."/>
    <m/>
    <m/>
    <m/>
    <m/>
    <s v="Nothing!"/>
    <m/>
    <m/>
    <m/>
    <m/>
    <m/>
    <m/>
    <m/>
    <m/>
    <m/>
    <m/>
    <m/>
    <m/>
    <m/>
    <m/>
    <m/>
    <m/>
    <m/>
    <m/>
    <m/>
    <m/>
    <m/>
    <m/>
    <m/>
    <m/>
    <m/>
    <m/>
    <m/>
    <m/>
    <m/>
    <m/>
    <m/>
    <m/>
    <m/>
    <m/>
    <m/>
    <m/>
    <m/>
    <m/>
    <m/>
    <m/>
    <m/>
    <m/>
    <m/>
    <m/>
    <m/>
    <m/>
    <m/>
    <m/>
    <m/>
    <m/>
    <m/>
    <m/>
    <m/>
    <m/>
    <m/>
    <m/>
    <m/>
    <m/>
    <m/>
    <m/>
    <m/>
    <m/>
    <m/>
    <m/>
    <m/>
    <m/>
    <m/>
    <m/>
    <m/>
    <m/>
    <m/>
    <m/>
    <m/>
    <m/>
    <m/>
    <m/>
    <m/>
    <m/>
    <m/>
    <m/>
    <m/>
    <m/>
    <s v="Very clear process, good communication throughout, very professional and very fair."/>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Reliable / Trustworthy &gt;, Trade In &gt; Overall Process &gt;"/>
    <m/>
    <m/>
    <s v="Trade In &gt; Overall Process &gt; (Positive)"/>
    <s v="B&amp;H &gt; Reliable / Trustworthy &gt; (Positive), Trade In &gt; Overall Process &gt; (Positive)"/>
    <s v="Yes"/>
    <s v="No"/>
    <m/>
    <x v="5"/>
    <x v="42"/>
    <x v="13"/>
    <s v="Fair price (trust signal)"/>
    <x v="0"/>
    <x v="0"/>
  </r>
  <r>
    <s v="Lesliej Bernard - Used Trade-In Product"/>
    <n v="10"/>
    <n v="5"/>
    <d v="2026-01-14T17:58:45"/>
    <n v="5138439"/>
    <s v="Used Trade-In Product"/>
    <m/>
    <s v="Lesliej Bernard"/>
    <m/>
    <s v="ljbernard34@gmail.com"/>
    <m/>
    <m/>
    <m/>
    <s v="2 years 4 months"/>
    <s v="Yes"/>
    <m/>
    <m/>
    <s v="ljbernard34@gmail.com"/>
    <s v="28"/>
    <m/>
    <m/>
    <m/>
    <m/>
    <m/>
    <m/>
    <m/>
    <m/>
    <d v="2026-01-15T16:14:31"/>
    <d v="2026-01-14T19:26:13"/>
    <m/>
    <s v="1133857"/>
    <m/>
    <m/>
    <m/>
    <m/>
    <m/>
    <m/>
    <m/>
    <m/>
    <m/>
    <m/>
    <m/>
    <m/>
    <m/>
    <m/>
    <m/>
    <m/>
    <m/>
    <m/>
    <m/>
    <m/>
    <m/>
    <m/>
    <s v="https://bnh.lightning.force.com/001WP00000oTfbHYAS"/>
    <m/>
    <m/>
    <m/>
    <m/>
    <m/>
    <m/>
    <m/>
    <m/>
    <m/>
    <m/>
    <m/>
    <m/>
    <m/>
    <m/>
    <m/>
    <m/>
    <m/>
    <m/>
    <m/>
    <m/>
    <m/>
    <m/>
    <m/>
    <m/>
    <m/>
    <m/>
    <m/>
    <m/>
    <m/>
    <m/>
    <m/>
    <m/>
    <m/>
    <m/>
    <m/>
    <m/>
    <m/>
    <m/>
    <s v="CAD"/>
    <m/>
    <s v="No"/>
    <s v="Emily Schreier"/>
    <s v="Emily Schreier"/>
    <d v="2026-01-14T17:56:52"/>
    <s v="Promoter"/>
    <s v="Closed"/>
    <m/>
    <m/>
    <s v="Yes"/>
    <m/>
    <m/>
    <m/>
    <m/>
    <m/>
    <m/>
    <m/>
    <m/>
    <m/>
    <m/>
    <m/>
    <m/>
    <m/>
    <m/>
    <m/>
    <m/>
    <s v="The whole business was so easy. The staff at B&amp;H was quite helpful. The mail in address sticker was so convenient.  thank you very much."/>
    <m/>
    <m/>
    <m/>
    <m/>
    <m/>
    <m/>
    <m/>
    <m/>
    <m/>
    <m/>
    <m/>
    <m/>
    <m/>
    <m/>
    <m/>
    <m/>
    <m/>
    <m/>
    <m/>
    <m/>
    <m/>
    <m/>
    <m/>
    <m/>
    <m/>
    <m/>
    <m/>
    <m/>
    <m/>
    <m/>
    <m/>
    <m/>
    <m/>
    <m/>
    <m/>
    <m/>
    <m/>
    <m/>
    <m/>
    <m/>
    <m/>
    <m/>
    <m/>
    <m/>
    <m/>
    <m/>
    <m/>
    <m/>
    <m/>
    <m/>
    <m/>
    <m/>
    <m/>
    <m/>
    <m/>
    <m/>
    <m/>
    <m/>
    <m/>
    <m/>
    <m/>
    <m/>
    <m/>
    <m/>
    <m/>
    <m/>
    <m/>
    <m/>
    <m/>
    <m/>
    <m/>
    <m/>
    <m/>
    <m/>
    <m/>
    <m/>
    <m/>
    <m/>
    <m/>
    <m/>
    <m/>
    <m/>
    <m/>
    <m/>
    <m/>
    <m/>
    <m/>
    <s v="The whole business was so easy. The staff at B&amp;H was quite helpful. The mail in address sticker was so convenient.  thank you very muc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People &gt; Helpful / Efficient &gt;, Trade In &gt; Overall Process &gt;"/>
    <m/>
    <s v="NEUTRAL"/>
    <m/>
    <s v="People &gt; Helpful / Efficient &gt; (Positive), Trade In &gt; Overall Process &gt; (Positive)"/>
    <s v="Yes"/>
    <s v="No"/>
    <m/>
    <x v="0"/>
    <x v="2"/>
    <x v="15"/>
    <m/>
    <x v="0"/>
    <x v="0"/>
  </r>
  <r>
    <s v="Warren Poole - Used Trade-In Product"/>
    <n v="9"/>
    <n v="4"/>
    <d v="2026-01-14T17:26:05"/>
    <n v="5138299"/>
    <s v="Used Trade-In Product"/>
    <m/>
    <s v="Warren Poole"/>
    <m/>
    <s v="nateagera@gmail.com"/>
    <m/>
    <m/>
    <m/>
    <m/>
    <s v="No"/>
    <m/>
    <m/>
    <s v="nateagera@gmail.com"/>
    <m/>
    <m/>
    <m/>
    <m/>
    <m/>
    <m/>
    <m/>
    <m/>
    <m/>
    <d v="2026-01-15T16:12:44"/>
    <d v="2026-01-14T12:53:31"/>
    <m/>
    <s v="1123535"/>
    <m/>
    <m/>
    <m/>
    <m/>
    <m/>
    <m/>
    <m/>
    <m/>
    <m/>
    <m/>
    <m/>
    <m/>
    <m/>
    <m/>
    <m/>
    <m/>
    <m/>
    <m/>
    <m/>
    <m/>
    <m/>
    <m/>
    <s v="https://bnh.lightning.force.com/001WP00000jBMQNYA4"/>
    <m/>
    <m/>
    <m/>
    <m/>
    <m/>
    <m/>
    <m/>
    <m/>
    <m/>
    <m/>
    <m/>
    <m/>
    <m/>
    <m/>
    <m/>
    <m/>
    <m/>
    <m/>
    <m/>
    <m/>
    <m/>
    <m/>
    <m/>
    <m/>
    <m/>
    <m/>
    <m/>
    <m/>
    <m/>
    <m/>
    <m/>
    <m/>
    <m/>
    <m/>
    <m/>
    <m/>
    <m/>
    <m/>
    <s v="CAD"/>
    <m/>
    <s v="No"/>
    <s v="Emily Schreier"/>
    <s v="Emily Schreier"/>
    <d v="2026-01-14T17:25:30"/>
    <s v="Promoter"/>
    <s v="Closed"/>
    <m/>
    <m/>
    <s v="Yes"/>
    <m/>
    <m/>
    <m/>
    <m/>
    <m/>
    <m/>
    <m/>
    <m/>
    <m/>
    <m/>
    <m/>
    <m/>
    <m/>
    <m/>
    <m/>
    <m/>
    <s v="ease of access to fill out everything myself online"/>
    <m/>
    <m/>
    <m/>
    <m/>
    <s v="time it takes from when you send in the gear to sell to the payment delivered after processing."/>
    <m/>
    <m/>
    <m/>
    <m/>
    <m/>
    <m/>
    <m/>
    <m/>
    <m/>
    <m/>
    <m/>
    <m/>
    <m/>
    <m/>
    <m/>
    <m/>
    <m/>
    <m/>
    <m/>
    <m/>
    <m/>
    <m/>
    <m/>
    <m/>
    <m/>
    <m/>
    <m/>
    <m/>
    <m/>
    <m/>
    <m/>
    <m/>
    <m/>
    <m/>
    <m/>
    <m/>
    <m/>
    <m/>
    <m/>
    <m/>
    <m/>
    <m/>
    <m/>
    <m/>
    <m/>
    <m/>
    <m/>
    <m/>
    <m/>
    <m/>
    <m/>
    <m/>
    <m/>
    <m/>
    <m/>
    <m/>
    <m/>
    <m/>
    <m/>
    <m/>
    <m/>
    <m/>
    <m/>
    <m/>
    <m/>
    <m/>
    <m/>
    <m/>
    <m/>
    <m/>
    <m/>
    <m/>
    <m/>
    <m/>
    <m/>
    <m/>
    <m/>
    <m/>
    <m/>
    <m/>
    <m/>
    <m/>
    <s v="ease of access to fill out everything myself online"/>
    <s v="time it takes from when you send in the gear to sell to the payment delivered after process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5"/>
    <n v="4"/>
    <n v="5"/>
    <n v="4"/>
    <m/>
    <m/>
    <m/>
    <m/>
    <m/>
    <m/>
    <m/>
    <m/>
    <m/>
    <m/>
    <m/>
    <m/>
    <m/>
    <m/>
    <m/>
    <m/>
    <m/>
    <m/>
    <m/>
    <m/>
    <m/>
    <m/>
    <m/>
    <m/>
    <m/>
    <m/>
    <m/>
    <m/>
    <m/>
    <m/>
    <m/>
    <m/>
    <m/>
    <m/>
    <m/>
    <m/>
    <m/>
    <m/>
    <m/>
    <m/>
    <m/>
    <m/>
    <m/>
    <m/>
    <m/>
    <m/>
    <m/>
    <m/>
    <m/>
    <m/>
    <m/>
    <m/>
    <m/>
    <m/>
    <m/>
    <m/>
    <m/>
    <m/>
    <m/>
    <m/>
    <m/>
    <m/>
    <m/>
    <m/>
    <m/>
    <m/>
    <m/>
    <m/>
    <m/>
    <m/>
    <m/>
    <m/>
    <m/>
    <m/>
    <m/>
    <m/>
    <m/>
    <m/>
    <m/>
    <m/>
    <m/>
    <m/>
    <m/>
    <m/>
    <m/>
    <m/>
    <m/>
    <m/>
    <m/>
    <m/>
    <m/>
    <m/>
    <m/>
    <m/>
    <m/>
    <m/>
    <m/>
    <m/>
    <m/>
    <m/>
    <m/>
    <m/>
    <s v="Trade In &gt; Overall Process &gt;, Trade In &gt; Timeliness of Payment &gt;, Website &gt; Overall Satisfaction &gt;"/>
    <m/>
    <m/>
    <m/>
    <s v="Trade In &gt; Overall Process &gt; (Positive), Trade In &gt; Timeliness of Payment &gt; (Negative), Website &gt; Overall Satisfaction &gt; (Positive)"/>
    <s v="Yes"/>
    <s v="Yes"/>
    <m/>
    <x v="5"/>
    <x v="11"/>
    <x v="4"/>
    <m/>
    <x v="0"/>
    <x v="0"/>
  </r>
  <r>
    <s v="James Black - Used Trade-In Product"/>
    <n v="10"/>
    <n v="5"/>
    <d v="2026-01-14T16:25:43"/>
    <n v="5138136"/>
    <s v="Used Trade-In Product"/>
    <m/>
    <s v="James Black"/>
    <m/>
    <s v="jamesmblack@icloud.com"/>
    <m/>
    <m/>
    <m/>
    <s v="9 years 0 months"/>
    <s v="No"/>
    <m/>
    <m/>
    <s v="jamesmblack@icloud.com"/>
    <s v="108"/>
    <m/>
    <m/>
    <m/>
    <m/>
    <m/>
    <m/>
    <m/>
    <m/>
    <d v="2026-01-15T14:28:45"/>
    <d v="2026-01-14T17:24:03"/>
    <m/>
    <s v="1134434"/>
    <m/>
    <m/>
    <m/>
    <m/>
    <m/>
    <m/>
    <m/>
    <m/>
    <m/>
    <m/>
    <m/>
    <m/>
    <m/>
    <m/>
    <m/>
    <m/>
    <m/>
    <m/>
    <m/>
    <m/>
    <m/>
    <m/>
    <s v="https://bnh.lightning.force.com/0011a00000c08yvAAA"/>
    <m/>
    <m/>
    <m/>
    <m/>
    <m/>
    <m/>
    <m/>
    <m/>
    <m/>
    <m/>
    <m/>
    <m/>
    <m/>
    <m/>
    <m/>
    <m/>
    <m/>
    <m/>
    <m/>
    <m/>
    <m/>
    <m/>
    <m/>
    <m/>
    <m/>
    <m/>
    <m/>
    <m/>
    <m/>
    <m/>
    <m/>
    <m/>
    <m/>
    <m/>
    <m/>
    <m/>
    <m/>
    <m/>
    <s v="CAD"/>
    <m/>
    <s v="No"/>
    <s v="Nick Badame"/>
    <s v="Nick Badame"/>
    <d v="2026-01-14T16:24:30"/>
    <s v="Promoter"/>
    <s v="Closed"/>
    <m/>
    <m/>
    <s v="Yes"/>
    <m/>
    <m/>
    <m/>
    <m/>
    <m/>
    <m/>
    <m/>
    <m/>
    <m/>
    <m/>
    <m/>
    <m/>
    <m/>
    <m/>
    <m/>
    <m/>
    <s v="It’s a straightforward process, nothing difficult about it. I have sold several photo and electronic devices to other resellers and the experience with B&amp;H is equal to or better than the others."/>
    <m/>
    <m/>
    <m/>
    <m/>
    <s v="Nothing, really."/>
    <m/>
    <m/>
    <m/>
    <m/>
    <m/>
    <m/>
    <m/>
    <m/>
    <m/>
    <m/>
    <m/>
    <m/>
    <m/>
    <m/>
    <m/>
    <m/>
    <m/>
    <m/>
    <m/>
    <m/>
    <m/>
    <m/>
    <m/>
    <m/>
    <m/>
    <m/>
    <m/>
    <m/>
    <m/>
    <m/>
    <m/>
    <m/>
    <m/>
    <m/>
    <m/>
    <m/>
    <m/>
    <m/>
    <m/>
    <m/>
    <m/>
    <m/>
    <m/>
    <m/>
    <m/>
    <m/>
    <m/>
    <m/>
    <m/>
    <m/>
    <m/>
    <m/>
    <m/>
    <m/>
    <m/>
    <m/>
    <m/>
    <m/>
    <m/>
    <m/>
    <m/>
    <m/>
    <m/>
    <m/>
    <m/>
    <m/>
    <m/>
    <m/>
    <m/>
    <m/>
    <m/>
    <m/>
    <m/>
    <m/>
    <m/>
    <m/>
    <m/>
    <m/>
    <m/>
    <m/>
    <m/>
    <m/>
    <s v="It’s a straightforward process, nothing difficult about it. I have sold several photo and electronic devices to other resellers and the experience with B&amp;H is equal to or better than the others."/>
    <s v="Nothing, reall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5"/>
    <x v="0"/>
    <x v="0"/>
    <m/>
    <x v="0"/>
    <x v="0"/>
  </r>
  <r>
    <s v="Keith Roberts - Used Trade-In Product"/>
    <n v="10"/>
    <n v="5"/>
    <d v="2026-01-14T12:23:36"/>
    <n v="5137523"/>
    <s v="Used Trade-In Product"/>
    <m/>
    <s v="Keith Roberts"/>
    <m/>
    <s v="gkroberts2@verizon.net"/>
    <m/>
    <m/>
    <m/>
    <s v="1 months"/>
    <s v="No"/>
    <m/>
    <m/>
    <s v="gkroberts2@verizon.net"/>
    <s v="1"/>
    <m/>
    <m/>
    <m/>
    <m/>
    <m/>
    <m/>
    <m/>
    <m/>
    <d v="2026-01-14T13:52:21"/>
    <d v="2026-01-14T12:52:30"/>
    <m/>
    <s v="1129682"/>
    <m/>
    <m/>
    <m/>
    <m/>
    <m/>
    <m/>
    <m/>
    <m/>
    <m/>
    <m/>
    <m/>
    <m/>
    <m/>
    <m/>
    <m/>
    <m/>
    <m/>
    <m/>
    <m/>
    <m/>
    <m/>
    <m/>
    <s v="https://bnh.lightning.force.com/001WP00000mN1YRYA0"/>
    <m/>
    <m/>
    <m/>
    <m/>
    <m/>
    <m/>
    <m/>
    <m/>
    <m/>
    <m/>
    <m/>
    <m/>
    <m/>
    <m/>
    <m/>
    <m/>
    <m/>
    <m/>
    <m/>
    <m/>
    <m/>
    <m/>
    <m/>
    <m/>
    <m/>
    <m/>
    <m/>
    <m/>
    <m/>
    <m/>
    <m/>
    <m/>
    <m/>
    <m/>
    <m/>
    <m/>
    <m/>
    <m/>
    <s v="CAD"/>
    <m/>
    <s v="No"/>
    <s v="Gershon Orenstein"/>
    <s v="Gershon Orenstein"/>
    <d v="2026-01-14T12:23:45"/>
    <s v="Promoter"/>
    <s v="Closed"/>
    <m/>
    <m/>
    <s v="Yes"/>
    <m/>
    <m/>
    <m/>
    <m/>
    <m/>
    <m/>
    <m/>
    <m/>
    <m/>
    <m/>
    <m/>
    <m/>
    <m/>
    <m/>
    <m/>
    <m/>
    <s v="Very efficient and customer friendly"/>
    <m/>
    <m/>
    <m/>
    <m/>
    <s v="Not applicable"/>
    <m/>
    <m/>
    <m/>
    <m/>
    <m/>
    <m/>
    <m/>
    <m/>
    <m/>
    <m/>
    <m/>
    <m/>
    <m/>
    <m/>
    <m/>
    <m/>
    <m/>
    <m/>
    <m/>
    <m/>
    <m/>
    <m/>
    <m/>
    <m/>
    <m/>
    <m/>
    <m/>
    <m/>
    <m/>
    <m/>
    <m/>
    <m/>
    <m/>
    <m/>
    <m/>
    <m/>
    <m/>
    <m/>
    <m/>
    <m/>
    <m/>
    <m/>
    <m/>
    <m/>
    <m/>
    <m/>
    <m/>
    <m/>
    <m/>
    <m/>
    <m/>
    <m/>
    <m/>
    <m/>
    <m/>
    <m/>
    <m/>
    <m/>
    <m/>
    <m/>
    <m/>
    <m/>
    <m/>
    <m/>
    <m/>
    <m/>
    <m/>
    <m/>
    <m/>
    <m/>
    <m/>
    <m/>
    <m/>
    <m/>
    <m/>
    <m/>
    <m/>
    <m/>
    <m/>
    <m/>
    <m/>
    <m/>
    <s v="Very efficient and customer friendly"/>
    <s v="Not applica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eople &gt; Courtesy / Professional &gt;"/>
    <s v="People &gt; Courtesy / Professional &gt;, People &gt; Wait Time &gt;"/>
    <m/>
    <m/>
    <s v="People &gt; Courtesy / Professional &gt; (Positive)"/>
    <s v="People &gt; Courtesy / Professional &gt; (Positive), People &gt; Wait Time &gt; (Positive)"/>
    <s v="Yes"/>
    <s v="No"/>
    <m/>
    <x v="25"/>
    <x v="0"/>
    <x v="0"/>
    <m/>
    <x v="0"/>
    <x v="0"/>
  </r>
  <r>
    <s v="Robert Smith - Used Trade-In Product"/>
    <n v="10"/>
    <n v="5"/>
    <d v="2026-01-14T11:40:27"/>
    <n v="5137319"/>
    <s v="Used Trade-In Product"/>
    <m/>
    <s v="Robert Smith"/>
    <m/>
    <s v="smithrob26@yahoo.com"/>
    <m/>
    <m/>
    <m/>
    <s v="1 months"/>
    <s v="Yes"/>
    <m/>
    <m/>
    <s v="smithrob26@yahoo.com"/>
    <s v="1"/>
    <m/>
    <m/>
    <m/>
    <m/>
    <m/>
    <m/>
    <m/>
    <m/>
    <d v="2026-01-14T13:17:27"/>
    <d v="2026-01-14T12:52:49"/>
    <m/>
    <s v="1129536"/>
    <m/>
    <m/>
    <m/>
    <m/>
    <m/>
    <m/>
    <m/>
    <m/>
    <m/>
    <m/>
    <m/>
    <m/>
    <m/>
    <m/>
    <m/>
    <m/>
    <m/>
    <m/>
    <m/>
    <m/>
    <m/>
    <m/>
    <s v="https://bnh.lightning.force.com/001WP00000mJYesYAG"/>
    <m/>
    <m/>
    <m/>
    <m/>
    <m/>
    <m/>
    <m/>
    <m/>
    <m/>
    <m/>
    <m/>
    <m/>
    <m/>
    <m/>
    <m/>
    <m/>
    <m/>
    <m/>
    <m/>
    <m/>
    <m/>
    <m/>
    <m/>
    <m/>
    <m/>
    <m/>
    <m/>
    <m/>
    <m/>
    <m/>
    <m/>
    <m/>
    <m/>
    <m/>
    <m/>
    <m/>
    <m/>
    <m/>
    <s v="CAD"/>
    <m/>
    <s v="No"/>
    <s v="Gershon Orenstein"/>
    <s v="Gershon Orenstein"/>
    <d v="2026-01-14T11:40:40"/>
    <s v="Promoter"/>
    <s v="Closed"/>
    <m/>
    <m/>
    <s v="Yes"/>
    <m/>
    <m/>
    <m/>
    <m/>
    <m/>
    <m/>
    <m/>
    <m/>
    <m/>
    <m/>
    <m/>
    <m/>
    <m/>
    <m/>
    <m/>
    <m/>
    <s v="Everything was very easy and straightforward"/>
    <m/>
    <m/>
    <m/>
    <m/>
    <s v="Nothing"/>
    <m/>
    <m/>
    <m/>
    <m/>
    <m/>
    <m/>
    <m/>
    <m/>
    <m/>
    <m/>
    <m/>
    <m/>
    <m/>
    <m/>
    <m/>
    <m/>
    <m/>
    <m/>
    <m/>
    <m/>
    <m/>
    <m/>
    <m/>
    <m/>
    <m/>
    <m/>
    <m/>
    <m/>
    <m/>
    <m/>
    <m/>
    <m/>
    <m/>
    <m/>
    <m/>
    <m/>
    <m/>
    <m/>
    <m/>
    <m/>
    <m/>
    <m/>
    <m/>
    <m/>
    <m/>
    <m/>
    <m/>
    <m/>
    <m/>
    <m/>
    <m/>
    <m/>
    <m/>
    <m/>
    <m/>
    <m/>
    <m/>
    <m/>
    <m/>
    <m/>
    <m/>
    <m/>
    <m/>
    <m/>
    <m/>
    <m/>
    <m/>
    <m/>
    <m/>
    <m/>
    <m/>
    <m/>
    <m/>
    <m/>
    <m/>
    <m/>
    <m/>
    <m/>
    <m/>
    <m/>
    <m/>
    <m/>
    <s v="Everything was very easy and straightforward"/>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Cynthia Williams - Used Trade-In Product"/>
    <n v="9"/>
    <n v="5"/>
    <d v="2026-01-14T11:16:03"/>
    <n v="5137239"/>
    <s v="Used Trade-In Product"/>
    <m/>
    <s v="Cynthia Williams"/>
    <m/>
    <s v="junbug1@mac.com"/>
    <m/>
    <m/>
    <m/>
    <s v="3 years 5 months"/>
    <s v="No"/>
    <m/>
    <m/>
    <s v="junbug1@mac.com"/>
    <s v="41"/>
    <m/>
    <m/>
    <m/>
    <m/>
    <m/>
    <m/>
    <m/>
    <m/>
    <d v="2026-01-14T13:57:28"/>
    <d v="2026-01-14T12:54:44"/>
    <m/>
    <s v="1130847"/>
    <m/>
    <m/>
    <m/>
    <m/>
    <m/>
    <m/>
    <m/>
    <m/>
    <m/>
    <m/>
    <m/>
    <m/>
    <m/>
    <m/>
    <m/>
    <m/>
    <m/>
    <m/>
    <m/>
    <m/>
    <m/>
    <m/>
    <s v="https://bnh.lightning.force.com/0011a00000jRrJsAAK"/>
    <m/>
    <m/>
    <m/>
    <m/>
    <m/>
    <m/>
    <m/>
    <m/>
    <m/>
    <m/>
    <m/>
    <m/>
    <m/>
    <m/>
    <m/>
    <m/>
    <m/>
    <m/>
    <m/>
    <m/>
    <m/>
    <m/>
    <m/>
    <m/>
    <m/>
    <m/>
    <m/>
    <m/>
    <m/>
    <m/>
    <m/>
    <m/>
    <m/>
    <m/>
    <m/>
    <m/>
    <m/>
    <m/>
    <s v="CAD"/>
    <m/>
    <s v="No"/>
    <s v="Gershon Orenstein"/>
    <s v="Gershon Orenstein"/>
    <d v="2026-01-14T11:15:13"/>
    <s v="Promoter"/>
    <s v="Closed"/>
    <m/>
    <m/>
    <s v="Yes"/>
    <m/>
    <m/>
    <m/>
    <m/>
    <m/>
    <m/>
    <m/>
    <m/>
    <m/>
    <m/>
    <m/>
    <m/>
    <m/>
    <m/>
    <m/>
    <m/>
    <s v="Ease of selling my equipment and fair prices"/>
    <m/>
    <m/>
    <m/>
    <m/>
    <s v="On line portal was a little difficult to use, but once I knew. How it worked all was smooth sailing"/>
    <m/>
    <m/>
    <m/>
    <m/>
    <m/>
    <m/>
    <m/>
    <m/>
    <m/>
    <m/>
    <m/>
    <m/>
    <m/>
    <m/>
    <m/>
    <m/>
    <m/>
    <m/>
    <m/>
    <m/>
    <m/>
    <m/>
    <m/>
    <m/>
    <m/>
    <m/>
    <m/>
    <m/>
    <m/>
    <m/>
    <m/>
    <m/>
    <m/>
    <m/>
    <m/>
    <m/>
    <m/>
    <m/>
    <m/>
    <m/>
    <m/>
    <m/>
    <m/>
    <m/>
    <m/>
    <m/>
    <m/>
    <m/>
    <m/>
    <m/>
    <m/>
    <m/>
    <m/>
    <m/>
    <m/>
    <m/>
    <m/>
    <m/>
    <m/>
    <m/>
    <m/>
    <m/>
    <m/>
    <m/>
    <m/>
    <m/>
    <m/>
    <m/>
    <m/>
    <m/>
    <m/>
    <m/>
    <m/>
    <m/>
    <m/>
    <m/>
    <m/>
    <m/>
    <m/>
    <m/>
    <m/>
    <m/>
    <s v="Ease of selling my equipment and fair prices"/>
    <s v="On line portal was a little difficult to use, but once I knew. How it worked all was smooth sail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5"/>
    <n v="5"/>
    <n v="5"/>
    <n v="5"/>
    <m/>
    <m/>
    <m/>
    <m/>
    <m/>
    <m/>
    <m/>
    <m/>
    <m/>
    <m/>
    <m/>
    <m/>
    <m/>
    <m/>
    <m/>
    <m/>
    <m/>
    <m/>
    <m/>
    <m/>
    <m/>
    <m/>
    <m/>
    <m/>
    <m/>
    <m/>
    <m/>
    <m/>
    <m/>
    <m/>
    <m/>
    <m/>
    <m/>
    <m/>
    <m/>
    <m/>
    <m/>
    <m/>
    <m/>
    <m/>
    <m/>
    <m/>
    <m/>
    <m/>
    <m/>
    <m/>
    <m/>
    <m/>
    <m/>
    <m/>
    <m/>
    <m/>
    <m/>
    <m/>
    <m/>
    <m/>
    <m/>
    <m/>
    <m/>
    <m/>
    <m/>
    <m/>
    <m/>
    <m/>
    <m/>
    <m/>
    <m/>
    <m/>
    <m/>
    <m/>
    <m/>
    <m/>
    <m/>
    <m/>
    <m/>
    <m/>
    <m/>
    <m/>
    <m/>
    <m/>
    <m/>
    <m/>
    <m/>
    <m/>
    <m/>
    <m/>
    <m/>
    <m/>
    <m/>
    <m/>
    <m/>
    <m/>
    <m/>
    <m/>
    <m/>
    <m/>
    <m/>
    <m/>
    <m/>
    <m/>
    <m/>
    <s v="Pricing &gt; Value for Money &gt;, Trade In &gt; Quote Price &gt;, Used &gt; Description &gt;, Used &gt; Pricing &gt;"/>
    <s v="Trade In &gt; Overall Process &gt;, Trade In &gt; Quote Price &gt;"/>
    <m/>
    <m/>
    <s v="Pricing &gt; Value for Money &gt; (Positive), Trade In &gt; Quote Price &gt; (Positive), Used &gt; Description &gt; (Negative), Used &gt; Pricing &gt; (Positive)"/>
    <s v="Trade In &gt; Overall Process &gt; (Negative), Trade In &gt; Overall Process &gt; (Positive), Trade In &gt; Quote Price &gt; (Positive)"/>
    <s v="Yes"/>
    <s v="No"/>
    <m/>
    <x v="3"/>
    <x v="24"/>
    <x v="33"/>
    <m/>
    <x v="0"/>
    <x v="0"/>
  </r>
  <r>
    <s v="Maurice Allgrove - Used Trade-In Product"/>
    <n v="10"/>
    <n v="5"/>
    <d v="2026-01-14T10:11:33"/>
    <n v="5125673"/>
    <s v="Used Trade-In Product"/>
    <m/>
    <s v="Maurice Allgrove"/>
    <m/>
    <s v="zickie.allgrove@me.com"/>
    <m/>
    <m/>
    <m/>
    <s v="4 years 3 months"/>
    <s v="No"/>
    <m/>
    <m/>
    <s v="zickie.allgrove@me.com"/>
    <s v="51"/>
    <m/>
    <m/>
    <m/>
    <m/>
    <m/>
    <m/>
    <m/>
    <m/>
    <d v="2026-01-14T13:28:46"/>
    <d v="2026-01-14T12:56:44"/>
    <m/>
    <s v="1130781"/>
    <m/>
    <m/>
    <m/>
    <m/>
    <m/>
    <m/>
    <m/>
    <m/>
    <m/>
    <m/>
    <m/>
    <m/>
    <m/>
    <m/>
    <m/>
    <m/>
    <m/>
    <m/>
    <m/>
    <m/>
    <m/>
    <m/>
    <s v="https://bnh.lightning.force.com/0012L00001H6u02QAB"/>
    <m/>
    <m/>
    <m/>
    <m/>
    <m/>
    <m/>
    <m/>
    <m/>
    <m/>
    <m/>
    <m/>
    <m/>
    <m/>
    <m/>
    <m/>
    <m/>
    <m/>
    <m/>
    <m/>
    <m/>
    <m/>
    <m/>
    <m/>
    <m/>
    <m/>
    <m/>
    <m/>
    <m/>
    <m/>
    <m/>
    <m/>
    <m/>
    <m/>
    <m/>
    <m/>
    <m/>
    <m/>
    <m/>
    <s v="CAD"/>
    <m/>
    <s v="No"/>
    <s v="Aine Hoye"/>
    <s v="Aine Hoye"/>
    <d v="2026-01-14T10:11:35"/>
    <s v="Promoter"/>
    <s v="Closed"/>
    <m/>
    <m/>
    <s v="Yes"/>
    <m/>
    <m/>
    <m/>
    <m/>
    <m/>
    <m/>
    <m/>
    <m/>
    <m/>
    <m/>
    <m/>
    <m/>
    <m/>
    <m/>
    <m/>
    <m/>
    <s v="It was straightforward, responsive, professional"/>
    <m/>
    <m/>
    <m/>
    <m/>
    <m/>
    <m/>
    <m/>
    <m/>
    <m/>
    <m/>
    <m/>
    <m/>
    <m/>
    <m/>
    <m/>
    <m/>
    <m/>
    <m/>
    <m/>
    <m/>
    <m/>
    <m/>
    <m/>
    <m/>
    <m/>
    <m/>
    <m/>
    <m/>
    <m/>
    <m/>
    <m/>
    <m/>
    <m/>
    <m/>
    <m/>
    <m/>
    <m/>
    <m/>
    <m/>
    <m/>
    <m/>
    <m/>
    <m/>
    <m/>
    <m/>
    <m/>
    <m/>
    <m/>
    <m/>
    <m/>
    <m/>
    <m/>
    <m/>
    <m/>
    <m/>
    <m/>
    <m/>
    <m/>
    <m/>
    <m/>
    <m/>
    <m/>
    <m/>
    <m/>
    <m/>
    <m/>
    <m/>
    <m/>
    <m/>
    <m/>
    <m/>
    <m/>
    <m/>
    <m/>
    <m/>
    <m/>
    <m/>
    <m/>
    <m/>
    <m/>
    <m/>
    <m/>
    <m/>
    <m/>
    <m/>
    <m/>
    <m/>
    <s v="It was straightforward, responsive, professiona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People &gt; Courtesy / Professional &gt;, People &gt; Wait Time &gt;, Trade In &gt; Overall Process &gt;"/>
    <m/>
    <m/>
    <m/>
    <s v="People &gt; Courtesy / Professional &gt; (Positive), People &gt; Wait Time &gt; (Positive), Trade In &gt; Overall Process &gt; (Positive)"/>
    <s v="Yes"/>
    <s v="No"/>
    <m/>
    <x v="5"/>
    <x v="0"/>
    <x v="0"/>
    <m/>
    <x v="0"/>
    <x v="0"/>
  </r>
  <r>
    <s v="Ravinder Sharan - Used Trade-In Product"/>
    <n v="8"/>
    <n v="4"/>
    <d v="2026-01-14T10:01:31"/>
    <n v="5125618"/>
    <s v="Used Trade-In Product"/>
    <m/>
    <s v="Ravinder Sharan"/>
    <m/>
    <s v="sharanr@hotmail.com"/>
    <m/>
    <m/>
    <m/>
    <s v="10 years 7 months"/>
    <s v="Yes"/>
    <m/>
    <m/>
    <s v="sharanr@hotmail.com"/>
    <s v="127"/>
    <m/>
    <m/>
    <m/>
    <m/>
    <m/>
    <m/>
    <m/>
    <m/>
    <d v="2026-01-14T13:24:13"/>
    <d v="2026-01-14T12:52:44"/>
    <m/>
    <s v="1131338"/>
    <m/>
    <m/>
    <m/>
    <m/>
    <m/>
    <m/>
    <m/>
    <m/>
    <m/>
    <m/>
    <m/>
    <m/>
    <m/>
    <m/>
    <m/>
    <m/>
    <m/>
    <m/>
    <m/>
    <m/>
    <m/>
    <m/>
    <s v="https://bnh.lightning.force.com/0011a00000bU3YCAA0"/>
    <m/>
    <m/>
    <m/>
    <m/>
    <m/>
    <m/>
    <m/>
    <m/>
    <m/>
    <m/>
    <m/>
    <m/>
    <m/>
    <m/>
    <m/>
    <m/>
    <m/>
    <m/>
    <m/>
    <m/>
    <m/>
    <m/>
    <m/>
    <m/>
    <m/>
    <m/>
    <m/>
    <m/>
    <m/>
    <m/>
    <m/>
    <m/>
    <m/>
    <m/>
    <m/>
    <m/>
    <m/>
    <m/>
    <s v="CAD"/>
    <m/>
    <s v="No"/>
    <s v="Aine Hoye"/>
    <s v="Aine Hoye"/>
    <d v="2026-01-14T09:58:53"/>
    <s v="Passive"/>
    <s v="Closed"/>
    <m/>
    <m/>
    <s v="Yes"/>
    <m/>
    <m/>
    <m/>
    <m/>
    <m/>
    <m/>
    <m/>
    <m/>
    <m/>
    <m/>
    <m/>
    <m/>
    <m/>
    <m/>
    <m/>
    <m/>
    <s v="I got what I was quoted, which wasn’t a lot but competitive to other market places."/>
    <m/>
    <m/>
    <m/>
    <m/>
    <s v="The process was slow. Took over 2 weeks and payment was by check. Most others do a direct deposit and are much quicker."/>
    <m/>
    <m/>
    <m/>
    <m/>
    <m/>
    <m/>
    <m/>
    <m/>
    <m/>
    <m/>
    <m/>
    <m/>
    <m/>
    <m/>
    <m/>
    <m/>
    <m/>
    <m/>
    <m/>
    <m/>
    <m/>
    <m/>
    <m/>
    <m/>
    <m/>
    <m/>
    <m/>
    <m/>
    <m/>
    <m/>
    <m/>
    <m/>
    <m/>
    <m/>
    <m/>
    <m/>
    <m/>
    <m/>
    <m/>
    <m/>
    <m/>
    <m/>
    <m/>
    <m/>
    <m/>
    <m/>
    <m/>
    <m/>
    <m/>
    <m/>
    <m/>
    <m/>
    <m/>
    <m/>
    <m/>
    <m/>
    <m/>
    <m/>
    <m/>
    <m/>
    <m/>
    <m/>
    <m/>
    <m/>
    <m/>
    <m/>
    <m/>
    <m/>
    <m/>
    <m/>
    <m/>
    <m/>
    <m/>
    <m/>
    <m/>
    <m/>
    <m/>
    <m/>
    <m/>
    <m/>
    <m/>
    <m/>
    <s v="I got what I was quoted, which wasn’t a lot but competitive to other market places."/>
    <s v="The process was slow. Took over 2 weeks and payment was by check. Most others do a direct deposit and are much quicke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3"/>
    <n v="3"/>
    <n v="5"/>
    <n v="2"/>
    <m/>
    <m/>
    <m/>
    <m/>
    <m/>
    <m/>
    <m/>
    <m/>
    <m/>
    <m/>
    <m/>
    <m/>
    <m/>
    <m/>
    <m/>
    <m/>
    <m/>
    <m/>
    <m/>
    <m/>
    <m/>
    <m/>
    <m/>
    <m/>
    <m/>
    <m/>
    <m/>
    <m/>
    <m/>
    <m/>
    <m/>
    <m/>
    <m/>
    <m/>
    <m/>
    <m/>
    <m/>
    <m/>
    <m/>
    <m/>
    <m/>
    <m/>
    <m/>
    <m/>
    <m/>
    <m/>
    <m/>
    <m/>
    <m/>
    <m/>
    <m/>
    <m/>
    <m/>
    <m/>
    <m/>
    <m/>
    <m/>
    <m/>
    <m/>
    <m/>
    <m/>
    <m/>
    <m/>
    <m/>
    <m/>
    <m/>
    <m/>
    <m/>
    <m/>
    <m/>
    <m/>
    <m/>
    <m/>
    <m/>
    <m/>
    <m/>
    <m/>
    <m/>
    <m/>
    <m/>
    <m/>
    <m/>
    <m/>
    <m/>
    <m/>
    <m/>
    <m/>
    <m/>
    <m/>
    <m/>
    <m/>
    <m/>
    <m/>
    <m/>
    <m/>
    <m/>
    <m/>
    <m/>
    <m/>
    <m/>
    <m/>
    <s v="Trade In &gt; Overall Process &gt;"/>
    <s v="Trade In &gt; Quote Price &gt;, Trade In &gt; Timeliness of Payment &gt;"/>
    <m/>
    <m/>
    <s v="Trade In &gt; Overall Process &gt; (Negative), Trade In &gt; Overall Process &gt; (Positive)"/>
    <s v="Trade In &gt; Quote Price &gt; (Positive), Trade In &gt; Timeliness of Payment &gt; (Negative)"/>
    <s v="Yes"/>
    <s v="Yes"/>
    <m/>
    <x v="10"/>
    <x v="9"/>
    <x v="9"/>
    <s v="Wants to be paid through direct deposit, ACH, electronic funds transfer (or faster/secure method)"/>
    <x v="0"/>
    <x v="0"/>
  </r>
  <r>
    <s v="Gregory Blasbalg - Used Trade-In Product"/>
    <n v="10"/>
    <n v="5"/>
    <d v="2026-01-14T09:59:03"/>
    <n v="5125617"/>
    <s v="Used Trade-In Product"/>
    <m/>
    <s v="Gregory Blasbalg"/>
    <m/>
    <s v="gblaz1@gmail.com"/>
    <m/>
    <m/>
    <m/>
    <s v="5 years 2 months"/>
    <s v="No"/>
    <m/>
    <m/>
    <s v="gblaz1@gmail.com"/>
    <s v="62"/>
    <m/>
    <m/>
    <m/>
    <m/>
    <m/>
    <m/>
    <m/>
    <m/>
    <d v="2026-01-14T13:21:12"/>
    <d v="2026-01-14T12:54:52"/>
    <m/>
    <s v="1131328"/>
    <m/>
    <m/>
    <m/>
    <m/>
    <m/>
    <m/>
    <m/>
    <m/>
    <m/>
    <m/>
    <m/>
    <m/>
    <m/>
    <m/>
    <m/>
    <m/>
    <m/>
    <m/>
    <m/>
    <m/>
    <m/>
    <m/>
    <s v="https://bnh.lightning.force.com/0012L000019EpmOQAS"/>
    <m/>
    <m/>
    <m/>
    <m/>
    <m/>
    <m/>
    <m/>
    <m/>
    <m/>
    <m/>
    <m/>
    <m/>
    <m/>
    <m/>
    <m/>
    <m/>
    <m/>
    <m/>
    <m/>
    <m/>
    <m/>
    <m/>
    <m/>
    <m/>
    <m/>
    <m/>
    <m/>
    <m/>
    <m/>
    <m/>
    <m/>
    <m/>
    <m/>
    <m/>
    <m/>
    <m/>
    <m/>
    <m/>
    <s v="CAD"/>
    <m/>
    <s v="No"/>
    <s v="Aine Hoye"/>
    <s v="Aine Hoye"/>
    <d v="2026-01-14T09:58:53"/>
    <s v="Promoter"/>
    <s v="Closed"/>
    <m/>
    <m/>
    <s v="Yes"/>
    <m/>
    <m/>
    <m/>
    <m/>
    <m/>
    <m/>
    <m/>
    <m/>
    <m/>
    <m/>
    <m/>
    <m/>
    <m/>
    <m/>
    <m/>
    <m/>
    <s v="The instant quote - and that you paid the quoted amount without any issues."/>
    <m/>
    <m/>
    <m/>
    <m/>
    <s v="It took a bit longer than expected to get my check"/>
    <m/>
    <m/>
    <m/>
    <m/>
    <m/>
    <m/>
    <m/>
    <m/>
    <m/>
    <m/>
    <m/>
    <m/>
    <m/>
    <m/>
    <m/>
    <m/>
    <m/>
    <m/>
    <m/>
    <m/>
    <m/>
    <m/>
    <m/>
    <m/>
    <m/>
    <m/>
    <m/>
    <m/>
    <m/>
    <m/>
    <m/>
    <m/>
    <m/>
    <m/>
    <m/>
    <m/>
    <m/>
    <m/>
    <m/>
    <m/>
    <m/>
    <m/>
    <m/>
    <m/>
    <m/>
    <m/>
    <m/>
    <m/>
    <m/>
    <m/>
    <m/>
    <m/>
    <m/>
    <m/>
    <m/>
    <m/>
    <m/>
    <m/>
    <m/>
    <m/>
    <m/>
    <m/>
    <m/>
    <m/>
    <m/>
    <m/>
    <m/>
    <m/>
    <m/>
    <m/>
    <m/>
    <m/>
    <m/>
    <m/>
    <m/>
    <m/>
    <m/>
    <m/>
    <m/>
    <m/>
    <m/>
    <m/>
    <s v="The instant quote - and that you paid the quoted amount without any issues."/>
    <s v="It took a bit longer than expected to get my che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Trade In &gt; Timeliness of Quote &gt;"/>
    <m/>
    <m/>
    <s v="Trade In &gt; Overall Process &gt; (Positive)"/>
    <s v="Trade In &gt; Overall Process &gt; (Positive), Trade In &gt; Timeliness of Payment &gt; (Negative), Trade In &gt; Timeliness of Quote &gt; (Positive)"/>
    <s v="Yes"/>
    <s v="No"/>
    <m/>
    <x v="13"/>
    <x v="9"/>
    <x v="9"/>
    <m/>
    <x v="0"/>
    <x v="0"/>
  </r>
  <r>
    <s v="Jeff Strawman - Used Trade-In Product"/>
    <n v="10"/>
    <n v="5"/>
    <d v="2026-01-14T09:58:03"/>
    <n v="5125608"/>
    <s v="Used Trade-In Product"/>
    <m/>
    <s v="Jeff Strawman"/>
    <m/>
    <s v="jrstrawman@sbcglobal.net"/>
    <m/>
    <m/>
    <m/>
    <s v="22 years 3 months"/>
    <s v="No"/>
    <m/>
    <m/>
    <s v="jrstrawman@sbcglobal.net"/>
    <s v="267"/>
    <m/>
    <m/>
    <m/>
    <m/>
    <m/>
    <m/>
    <m/>
    <m/>
    <d v="2026-01-14T13:18:56"/>
    <d v="2026-01-14T12:55:05"/>
    <m/>
    <s v="1132068"/>
    <m/>
    <m/>
    <m/>
    <m/>
    <m/>
    <m/>
    <m/>
    <m/>
    <m/>
    <m/>
    <m/>
    <m/>
    <m/>
    <m/>
    <m/>
    <m/>
    <m/>
    <m/>
    <m/>
    <m/>
    <m/>
    <m/>
    <s v="https://bnh.lightning.force.com/0011a00000Y5A8OAAV"/>
    <m/>
    <m/>
    <m/>
    <m/>
    <m/>
    <m/>
    <m/>
    <m/>
    <m/>
    <m/>
    <m/>
    <m/>
    <m/>
    <m/>
    <m/>
    <m/>
    <m/>
    <m/>
    <m/>
    <m/>
    <m/>
    <m/>
    <m/>
    <m/>
    <m/>
    <m/>
    <m/>
    <m/>
    <m/>
    <m/>
    <m/>
    <m/>
    <m/>
    <m/>
    <m/>
    <m/>
    <m/>
    <m/>
    <s v="CAD"/>
    <m/>
    <s v="No"/>
    <s v="Aine Hoye"/>
    <s v="Aine Hoye"/>
    <d v="2026-01-14T09:57:31"/>
    <s v="Promoter"/>
    <s v="Closed"/>
    <m/>
    <m/>
    <s v="Yes"/>
    <m/>
    <m/>
    <m/>
    <m/>
    <m/>
    <m/>
    <m/>
    <m/>
    <m/>
    <m/>
    <m/>
    <m/>
    <m/>
    <m/>
    <m/>
    <m/>
    <s v="Ease of transaction"/>
    <m/>
    <m/>
    <m/>
    <m/>
    <s v="Time frames"/>
    <m/>
    <m/>
    <m/>
    <m/>
    <m/>
    <m/>
    <m/>
    <m/>
    <m/>
    <m/>
    <m/>
    <m/>
    <m/>
    <m/>
    <m/>
    <m/>
    <m/>
    <m/>
    <m/>
    <m/>
    <m/>
    <m/>
    <m/>
    <m/>
    <m/>
    <m/>
    <m/>
    <m/>
    <m/>
    <m/>
    <m/>
    <m/>
    <m/>
    <m/>
    <m/>
    <m/>
    <m/>
    <m/>
    <m/>
    <m/>
    <m/>
    <m/>
    <m/>
    <m/>
    <m/>
    <m/>
    <m/>
    <m/>
    <m/>
    <m/>
    <m/>
    <m/>
    <m/>
    <m/>
    <m/>
    <m/>
    <m/>
    <m/>
    <m/>
    <m/>
    <m/>
    <m/>
    <m/>
    <m/>
    <m/>
    <m/>
    <m/>
    <m/>
    <m/>
    <m/>
    <m/>
    <m/>
    <m/>
    <m/>
    <m/>
    <m/>
    <m/>
    <m/>
    <m/>
    <m/>
    <m/>
    <m/>
    <s v="Ease of transaction"/>
    <s v="Time fram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No opinion)"/>
    <s v="Trade In &gt; Overall Process &gt; (Positive), Trade In &gt; Timeliness of Payment &gt; (Negative)"/>
    <s v="Yes"/>
    <s v="Yes"/>
    <m/>
    <x v="5"/>
    <x v="4"/>
    <x v="9"/>
    <m/>
    <x v="0"/>
    <x v="0"/>
  </r>
  <r>
    <s v="Max Mattoon - Used Trade-In Product"/>
    <n v="8"/>
    <n v="4"/>
    <d v="2026-01-13T17:52:14"/>
    <n v="5124358"/>
    <s v="Used Trade-In Product"/>
    <m/>
    <s v="Max Mattoon"/>
    <m/>
    <s v="maxtoon77@gmail.com"/>
    <m/>
    <m/>
    <m/>
    <s v="11 years 2 months"/>
    <s v="Yes"/>
    <m/>
    <m/>
    <s v="maxtoon77@gmail.com"/>
    <s v="134"/>
    <m/>
    <m/>
    <m/>
    <m/>
    <m/>
    <m/>
    <m/>
    <m/>
    <d v="2026-01-14T08:08:27"/>
    <d v="2026-01-13T18:23:13"/>
    <m/>
    <s v="1133949"/>
    <m/>
    <m/>
    <m/>
    <m/>
    <m/>
    <m/>
    <m/>
    <m/>
    <m/>
    <m/>
    <m/>
    <m/>
    <m/>
    <m/>
    <m/>
    <m/>
    <m/>
    <m/>
    <m/>
    <m/>
    <m/>
    <m/>
    <s v="https://bnh.lightning.force.com/0012L00000tsylpQAA"/>
    <m/>
    <m/>
    <m/>
    <m/>
    <m/>
    <m/>
    <m/>
    <m/>
    <m/>
    <m/>
    <m/>
    <m/>
    <m/>
    <m/>
    <m/>
    <m/>
    <m/>
    <m/>
    <m/>
    <m/>
    <m/>
    <m/>
    <m/>
    <m/>
    <m/>
    <m/>
    <m/>
    <m/>
    <m/>
    <m/>
    <m/>
    <m/>
    <m/>
    <m/>
    <m/>
    <m/>
    <m/>
    <m/>
    <s v="CAD"/>
    <m/>
    <s v="No"/>
    <s v="Zane Bohnert"/>
    <s v="Zane Bohnert"/>
    <d v="2026-01-13T17:51:35"/>
    <s v="Passive"/>
    <s v="Closed"/>
    <m/>
    <m/>
    <s v="Yes"/>
    <m/>
    <m/>
    <m/>
    <m/>
    <m/>
    <m/>
    <m/>
    <m/>
    <m/>
    <m/>
    <m/>
    <m/>
    <m/>
    <m/>
    <m/>
    <m/>
    <s v="Ease of initiating the transaction and store stock selection"/>
    <m/>
    <m/>
    <m/>
    <m/>
    <s v="Pretty dramatic reduction in estimated trade in value"/>
    <m/>
    <m/>
    <m/>
    <m/>
    <m/>
    <m/>
    <m/>
    <m/>
    <m/>
    <m/>
    <m/>
    <m/>
    <m/>
    <m/>
    <m/>
    <m/>
    <m/>
    <m/>
    <m/>
    <m/>
    <m/>
    <m/>
    <m/>
    <m/>
    <m/>
    <m/>
    <m/>
    <m/>
    <m/>
    <m/>
    <m/>
    <m/>
    <m/>
    <m/>
    <m/>
    <m/>
    <m/>
    <m/>
    <m/>
    <m/>
    <m/>
    <m/>
    <m/>
    <m/>
    <m/>
    <m/>
    <m/>
    <m/>
    <m/>
    <m/>
    <m/>
    <m/>
    <m/>
    <m/>
    <m/>
    <m/>
    <m/>
    <m/>
    <m/>
    <m/>
    <m/>
    <m/>
    <m/>
    <m/>
    <m/>
    <m/>
    <m/>
    <m/>
    <m/>
    <m/>
    <m/>
    <m/>
    <m/>
    <m/>
    <m/>
    <m/>
    <m/>
    <m/>
    <m/>
    <m/>
    <m/>
    <m/>
    <s v="Ease of initiating the transaction and store stock selection"/>
    <s v="Pretty dramatic reduction in estimated trade in valu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4"/>
    <n v="5"/>
    <n v="5"/>
    <m/>
    <m/>
    <m/>
    <m/>
    <m/>
    <m/>
    <m/>
    <m/>
    <m/>
    <m/>
    <m/>
    <m/>
    <m/>
    <m/>
    <m/>
    <m/>
    <m/>
    <m/>
    <m/>
    <m/>
    <m/>
    <m/>
    <m/>
    <m/>
    <m/>
    <m/>
    <m/>
    <m/>
    <m/>
    <m/>
    <m/>
    <m/>
    <m/>
    <m/>
    <m/>
    <m/>
    <m/>
    <m/>
    <m/>
    <m/>
    <m/>
    <m/>
    <m/>
    <m/>
    <m/>
    <m/>
    <m/>
    <m/>
    <m/>
    <m/>
    <m/>
    <m/>
    <m/>
    <m/>
    <m/>
    <m/>
    <m/>
    <m/>
    <m/>
    <m/>
    <m/>
    <m/>
    <m/>
    <m/>
    <m/>
    <m/>
    <m/>
    <m/>
    <m/>
    <m/>
    <m/>
    <m/>
    <m/>
    <m/>
    <m/>
    <m/>
    <m/>
    <m/>
    <m/>
    <m/>
    <m/>
    <m/>
    <m/>
    <m/>
    <m/>
    <m/>
    <m/>
    <m/>
    <m/>
    <m/>
    <m/>
    <m/>
    <m/>
    <m/>
    <m/>
    <m/>
    <m/>
    <m/>
    <m/>
    <m/>
    <m/>
    <s v="Trade In &gt; Overall Process &gt;"/>
    <s v="Product &gt; Selection / Variety &gt;, Trade In &gt; Overall Process &gt;, Trade In &gt; Quote Price &gt;"/>
    <m/>
    <m/>
    <s v="Trade In &gt; Overall Process &gt; (No opinion)"/>
    <s v="Product &gt; Selection / Variety &gt; (Positive), Trade In &gt; Overall Process &gt; (Positive), Trade In &gt; Quote Price &gt; (Negative)"/>
    <s v="Yes"/>
    <s v="Yes"/>
    <m/>
    <x v="5"/>
    <x v="60"/>
    <x v="0"/>
    <m/>
    <x v="0"/>
    <x v="0"/>
  </r>
  <r>
    <s v="Allen Carlson - Used Trade-In Product"/>
    <n v="10"/>
    <n v="5"/>
    <d v="2026-01-13T16:01:03"/>
    <n v="5124068"/>
    <s v="Used Trade-In Product"/>
    <m/>
    <s v="Allen Carlson"/>
    <m/>
    <s v="alndaryla@comcast.net"/>
    <m/>
    <m/>
    <m/>
    <s v="15 years 10 months"/>
    <s v="Yes"/>
    <m/>
    <m/>
    <s v="alndaryla@comcast.net"/>
    <s v="190"/>
    <m/>
    <m/>
    <m/>
    <m/>
    <m/>
    <m/>
    <m/>
    <m/>
    <d v="2026-01-14T10:31:41"/>
    <d v="2026-01-13T18:23:26"/>
    <m/>
    <s v="1133843"/>
    <m/>
    <m/>
    <m/>
    <m/>
    <m/>
    <m/>
    <m/>
    <m/>
    <m/>
    <m/>
    <m/>
    <m/>
    <m/>
    <m/>
    <m/>
    <m/>
    <m/>
    <m/>
    <m/>
    <m/>
    <m/>
    <m/>
    <s v="https://bnh.lightning.force.com/0011a00000iSBYcAAO"/>
    <m/>
    <m/>
    <m/>
    <m/>
    <m/>
    <m/>
    <m/>
    <m/>
    <m/>
    <m/>
    <m/>
    <m/>
    <m/>
    <m/>
    <m/>
    <m/>
    <m/>
    <m/>
    <m/>
    <m/>
    <m/>
    <m/>
    <m/>
    <m/>
    <m/>
    <m/>
    <m/>
    <m/>
    <m/>
    <m/>
    <m/>
    <m/>
    <m/>
    <m/>
    <m/>
    <m/>
    <m/>
    <m/>
    <s v="CAD"/>
    <m/>
    <s v="No"/>
    <s v="Aine Hoye"/>
    <s v="Aine Hoye"/>
    <d v="2026-01-13T15:57:47"/>
    <s v="Promoter"/>
    <s v="Closed"/>
    <m/>
    <m/>
    <s v="Yes"/>
    <m/>
    <m/>
    <m/>
    <m/>
    <m/>
    <m/>
    <m/>
    <m/>
    <m/>
    <m/>
    <m/>
    <m/>
    <m/>
    <m/>
    <m/>
    <m/>
    <s v="Quote actually increased after inspection"/>
    <m/>
    <m/>
    <m/>
    <m/>
    <s v="Some accessories not listed in web app and required an email custom quote, but that was fast and not that troublesome."/>
    <m/>
    <m/>
    <m/>
    <m/>
    <m/>
    <m/>
    <m/>
    <m/>
    <m/>
    <m/>
    <m/>
    <m/>
    <m/>
    <m/>
    <m/>
    <m/>
    <m/>
    <m/>
    <m/>
    <m/>
    <m/>
    <m/>
    <m/>
    <m/>
    <m/>
    <m/>
    <m/>
    <m/>
    <m/>
    <m/>
    <m/>
    <m/>
    <m/>
    <m/>
    <m/>
    <m/>
    <m/>
    <m/>
    <m/>
    <m/>
    <m/>
    <m/>
    <m/>
    <m/>
    <m/>
    <m/>
    <m/>
    <m/>
    <m/>
    <m/>
    <m/>
    <m/>
    <m/>
    <m/>
    <m/>
    <m/>
    <m/>
    <m/>
    <m/>
    <m/>
    <m/>
    <m/>
    <m/>
    <m/>
    <m/>
    <m/>
    <m/>
    <m/>
    <m/>
    <m/>
    <m/>
    <m/>
    <m/>
    <m/>
    <m/>
    <m/>
    <m/>
    <m/>
    <m/>
    <m/>
    <m/>
    <m/>
    <s v="Quote actually increased after inspection"/>
    <s v="Some accessories not listed in web app and required an email custom quote, but that was fast and not that troubleso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4"/>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Negative)"/>
    <s v="Trade In &gt; Overall Process &gt; (Negative), Trade In &gt; Overall Process &gt; (Positive), Trade In &gt; Quote Price &gt; (Positive)"/>
    <s v="Yes"/>
    <s v="Yes"/>
    <m/>
    <x v="38"/>
    <x v="46"/>
    <x v="0"/>
    <m/>
    <x v="0"/>
    <x v="0"/>
  </r>
  <r>
    <s v="Chi Zhang - Used Trade-In Product"/>
    <n v="10"/>
    <n v="5"/>
    <d v="2026-01-13T15:49:52"/>
    <n v="5124035"/>
    <s v="Used Trade-In Product"/>
    <m/>
    <s v="Chi Zhang"/>
    <m/>
    <s v="zhangchi76@yahoo.com"/>
    <m/>
    <m/>
    <m/>
    <s v="6 years 1 months"/>
    <s v="No"/>
    <m/>
    <m/>
    <s v="zhangchi76@yahoo.com"/>
    <s v="73"/>
    <m/>
    <m/>
    <m/>
    <m/>
    <m/>
    <m/>
    <m/>
    <m/>
    <d v="2026-01-14T08:47:27"/>
    <d v="2026-01-13T12:54:43"/>
    <m/>
    <s v="1130402"/>
    <m/>
    <m/>
    <m/>
    <m/>
    <m/>
    <m/>
    <m/>
    <m/>
    <m/>
    <m/>
    <m/>
    <m/>
    <m/>
    <m/>
    <m/>
    <m/>
    <m/>
    <m/>
    <m/>
    <m/>
    <m/>
    <m/>
    <s v="https://bnh.lightning.force.com/0011a00000gX1TTAA0"/>
    <m/>
    <m/>
    <m/>
    <m/>
    <m/>
    <m/>
    <m/>
    <m/>
    <m/>
    <m/>
    <m/>
    <m/>
    <m/>
    <m/>
    <m/>
    <m/>
    <m/>
    <m/>
    <m/>
    <m/>
    <m/>
    <m/>
    <m/>
    <m/>
    <m/>
    <m/>
    <m/>
    <m/>
    <m/>
    <m/>
    <m/>
    <m/>
    <m/>
    <m/>
    <m/>
    <m/>
    <m/>
    <m/>
    <s v="CAD"/>
    <m/>
    <s v="No"/>
    <s v="Aine Hoye"/>
    <s v="Aine Hoye"/>
    <d v="2026-01-13T15:46:33"/>
    <s v="Promoter"/>
    <s v="Closed"/>
    <m/>
    <m/>
    <s v="Yes"/>
    <m/>
    <m/>
    <m/>
    <m/>
    <m/>
    <m/>
    <m/>
    <m/>
    <m/>
    <m/>
    <m/>
    <m/>
    <m/>
    <m/>
    <m/>
    <m/>
    <s v="Straight forward. Very good web interface with common equipment listed."/>
    <m/>
    <m/>
    <m/>
    <m/>
    <s v="Not able to save my progress. I entered a few items but recalled I have an old camera in the office which I can retrieve and enter the model and condition the next day. But I have to redo the whole thing again the next day. Would be nice to be able to save amd reopen a trade in list just like I can save my shopping cart for the future."/>
    <m/>
    <m/>
    <m/>
    <m/>
    <m/>
    <m/>
    <m/>
    <m/>
    <m/>
    <m/>
    <m/>
    <m/>
    <m/>
    <m/>
    <m/>
    <m/>
    <m/>
    <m/>
    <m/>
    <m/>
    <m/>
    <m/>
    <m/>
    <m/>
    <m/>
    <m/>
    <m/>
    <m/>
    <m/>
    <m/>
    <m/>
    <m/>
    <m/>
    <m/>
    <m/>
    <m/>
    <m/>
    <m/>
    <m/>
    <m/>
    <m/>
    <m/>
    <m/>
    <m/>
    <m/>
    <m/>
    <m/>
    <m/>
    <m/>
    <m/>
    <m/>
    <m/>
    <m/>
    <m/>
    <m/>
    <m/>
    <m/>
    <m/>
    <m/>
    <m/>
    <m/>
    <m/>
    <m/>
    <m/>
    <m/>
    <m/>
    <m/>
    <m/>
    <m/>
    <m/>
    <m/>
    <m/>
    <m/>
    <m/>
    <m/>
    <m/>
    <m/>
    <m/>
    <m/>
    <m/>
    <m/>
    <m/>
    <s v="Straight forward. Very good web interface with common equipment listed."/>
    <s v="Not able to save my progress. I entered a few items but recalled I have an old camera in the office which I can retrieve and enter the model and condition the next day. But I have to redo the whole thing again the next day. Would be nice to be able to save amd reopen a trade in list just like I can save my shopping cart for the futur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5"/>
    <n v="5"/>
    <n v="5"/>
    <n v="5"/>
    <m/>
    <m/>
    <m/>
    <m/>
    <m/>
    <m/>
    <m/>
    <m/>
    <m/>
    <m/>
    <m/>
    <m/>
    <m/>
    <m/>
    <m/>
    <m/>
    <m/>
    <m/>
    <m/>
    <m/>
    <m/>
    <m/>
    <m/>
    <m/>
    <m/>
    <m/>
    <m/>
    <m/>
    <m/>
    <m/>
    <m/>
    <m/>
    <m/>
    <m/>
    <m/>
    <m/>
    <m/>
    <m/>
    <m/>
    <m/>
    <m/>
    <m/>
    <m/>
    <m/>
    <m/>
    <m/>
    <m/>
    <m/>
    <m/>
    <m/>
    <m/>
    <m/>
    <m/>
    <m/>
    <m/>
    <m/>
    <m/>
    <m/>
    <m/>
    <m/>
    <m/>
    <m/>
    <m/>
    <m/>
    <m/>
    <m/>
    <m/>
    <m/>
    <m/>
    <m/>
    <m/>
    <m/>
    <m/>
    <m/>
    <m/>
    <m/>
    <m/>
    <m/>
    <m/>
    <m/>
    <m/>
    <m/>
    <m/>
    <m/>
    <m/>
    <m/>
    <m/>
    <m/>
    <m/>
    <m/>
    <m/>
    <m/>
    <m/>
    <m/>
    <m/>
    <m/>
    <m/>
    <m/>
    <m/>
    <m/>
    <m/>
    <s v="Website &gt; Overall Satisfaction &gt;"/>
    <s v="Product &gt; Selection / Variety &gt;, Trade In &gt; Overall Process &gt;, Website &gt; Design / Layout &gt;, Website &gt; Overall Satisfaction &gt;"/>
    <m/>
    <m/>
    <s v="Website &gt; Overall Satisfaction &gt; (Positive)"/>
    <s v="Product &gt; Selection / Variety &gt; (Positive), Trade In &gt; Overall Process &gt; (Negative), Trade In &gt; Overall Process &gt; (Positive), Website &gt; Design / Layout &gt; (Positive), Website &gt; Overall Satisfaction &gt; (Negative), Website &gt; Overall Satisfaction &gt; (Positive)"/>
    <s v="Yes"/>
    <s v="Yes"/>
    <m/>
    <x v="25"/>
    <x v="61"/>
    <x v="0"/>
    <m/>
    <x v="0"/>
    <x v="0"/>
  </r>
  <r>
    <s v="John Hennerfeind - Used Trade-In Product"/>
    <n v="10"/>
    <n v="5"/>
    <d v="2026-01-13T14:24:31"/>
    <n v="5123807"/>
    <s v="Used Trade-In Product"/>
    <m/>
    <s v="John Hennerfeind"/>
    <m/>
    <s v="hennerfeind@me.com"/>
    <m/>
    <m/>
    <m/>
    <s v="3 years 1 months"/>
    <s v="No"/>
    <m/>
    <m/>
    <s v="hennerfeind@me.com"/>
    <s v="37"/>
    <m/>
    <m/>
    <m/>
    <m/>
    <m/>
    <m/>
    <m/>
    <m/>
    <d v="2026-01-14T08:06:53"/>
    <d v="2026-01-13T12:54:38"/>
    <m/>
    <s v="1127878"/>
    <m/>
    <m/>
    <m/>
    <m/>
    <m/>
    <m/>
    <m/>
    <m/>
    <m/>
    <m/>
    <m/>
    <m/>
    <m/>
    <m/>
    <m/>
    <m/>
    <m/>
    <m/>
    <m/>
    <m/>
    <m/>
    <m/>
    <s v="https://bnh.lightning.force.com/0018X000038EhhwQAC"/>
    <m/>
    <m/>
    <m/>
    <m/>
    <m/>
    <m/>
    <m/>
    <m/>
    <m/>
    <m/>
    <m/>
    <m/>
    <m/>
    <m/>
    <m/>
    <m/>
    <m/>
    <m/>
    <m/>
    <m/>
    <m/>
    <m/>
    <m/>
    <m/>
    <m/>
    <m/>
    <m/>
    <m/>
    <m/>
    <m/>
    <m/>
    <m/>
    <m/>
    <m/>
    <m/>
    <m/>
    <m/>
    <m/>
    <s v="CAD"/>
    <m/>
    <s v="No"/>
    <s v="Aine Hoye"/>
    <s v="Aine Hoye"/>
    <d v="2026-01-13T14:23:27"/>
    <s v="Promoter"/>
    <s v="Closed"/>
    <m/>
    <m/>
    <s v="Yes"/>
    <m/>
    <m/>
    <m/>
    <m/>
    <m/>
    <m/>
    <m/>
    <m/>
    <m/>
    <m/>
    <m/>
    <m/>
    <m/>
    <m/>
    <m/>
    <m/>
    <s v="This was an easy process and a reasonable price with a company I have learned to trust!"/>
    <m/>
    <m/>
    <m/>
    <m/>
    <s v="There was nothing about the process I disliked."/>
    <m/>
    <m/>
    <m/>
    <m/>
    <m/>
    <m/>
    <m/>
    <m/>
    <m/>
    <m/>
    <m/>
    <m/>
    <m/>
    <m/>
    <m/>
    <m/>
    <m/>
    <m/>
    <m/>
    <m/>
    <m/>
    <m/>
    <m/>
    <m/>
    <m/>
    <m/>
    <m/>
    <m/>
    <m/>
    <m/>
    <m/>
    <m/>
    <m/>
    <m/>
    <m/>
    <m/>
    <m/>
    <m/>
    <m/>
    <m/>
    <m/>
    <m/>
    <m/>
    <m/>
    <m/>
    <m/>
    <m/>
    <m/>
    <m/>
    <m/>
    <m/>
    <m/>
    <m/>
    <m/>
    <m/>
    <m/>
    <m/>
    <m/>
    <m/>
    <m/>
    <m/>
    <m/>
    <m/>
    <m/>
    <m/>
    <m/>
    <m/>
    <m/>
    <m/>
    <m/>
    <m/>
    <m/>
    <m/>
    <m/>
    <m/>
    <m/>
    <m/>
    <m/>
    <m/>
    <m/>
    <m/>
    <m/>
    <s v="This was an easy process and a reasonable price with a company I have learned to trust!"/>
    <s v="There was nothing about the process I dislik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Reliable / Trustworthy &gt;, Pricing &gt; Value for Money &gt;, Trade In &gt; Overall Process &gt;, Used &gt; Pricing &gt;"/>
    <s v="B&amp;H &gt; Reliable / Trustworthy &gt;, Trade In &gt; Overall Process &gt;, Trade In &gt; Quote Price &gt;"/>
    <m/>
    <m/>
    <s v="B&amp;H &gt; Reliable / Trustworthy &gt; (Positive), Pricing &gt; Value for Money &gt; (Positive), Trade In &gt; Overall Process &gt; (Positive), Used &gt; Pricing &gt; (Positive)"/>
    <s v="B&amp;H &gt; Reliable / Trustworthy &gt; (Positive), Trade In &gt; Overall Process &gt; (Positive), Trade In &gt; Quote Price &gt; (Positive)"/>
    <s v="Yes"/>
    <s v="Yes"/>
    <m/>
    <x v="0"/>
    <x v="15"/>
    <x v="0"/>
    <m/>
    <x v="0"/>
    <x v="0"/>
  </r>
  <r>
    <s v="Noah Walker - Used Trade-In Product"/>
    <n v="10"/>
    <n v="5"/>
    <d v="2026-01-13T13:51:12"/>
    <n v="5123695"/>
    <s v="Used Trade-In Product"/>
    <m/>
    <s v="Noah Walker"/>
    <m/>
    <s v="noahwalker165@gmail.com"/>
    <m/>
    <m/>
    <m/>
    <s v="1 months"/>
    <s v="No"/>
    <m/>
    <m/>
    <s v="noahwalker165@gmail.com"/>
    <s v="1"/>
    <m/>
    <m/>
    <m/>
    <m/>
    <m/>
    <m/>
    <m/>
    <m/>
    <d v="2026-01-14T07:58:24"/>
    <d v="2026-01-13T12:54:31"/>
    <m/>
    <s v="1131091"/>
    <m/>
    <m/>
    <m/>
    <m/>
    <m/>
    <m/>
    <m/>
    <m/>
    <m/>
    <m/>
    <m/>
    <m/>
    <m/>
    <m/>
    <m/>
    <m/>
    <m/>
    <m/>
    <m/>
    <m/>
    <m/>
    <m/>
    <s v="https://bnh.lightning.force.com/001WP00000n8ZsQYAU"/>
    <m/>
    <m/>
    <m/>
    <m/>
    <m/>
    <m/>
    <m/>
    <m/>
    <m/>
    <m/>
    <m/>
    <m/>
    <m/>
    <m/>
    <m/>
    <m/>
    <m/>
    <m/>
    <m/>
    <m/>
    <m/>
    <m/>
    <m/>
    <m/>
    <m/>
    <m/>
    <m/>
    <m/>
    <m/>
    <m/>
    <m/>
    <m/>
    <m/>
    <m/>
    <m/>
    <m/>
    <m/>
    <m/>
    <s v="CAD"/>
    <m/>
    <s v="No"/>
    <s v="Aine Hoye"/>
    <s v="Aine Hoye"/>
    <d v="2026-01-13T13:51:45"/>
    <s v="Promoter"/>
    <s v="Closed"/>
    <m/>
    <m/>
    <s v="Yes"/>
    <m/>
    <m/>
    <m/>
    <m/>
    <m/>
    <m/>
    <m/>
    <m/>
    <m/>
    <m/>
    <m/>
    <m/>
    <m/>
    <m/>
    <m/>
    <m/>
    <s v="How easy it was"/>
    <m/>
    <m/>
    <m/>
    <m/>
    <s v="How much they low balled me"/>
    <m/>
    <m/>
    <m/>
    <m/>
    <m/>
    <m/>
    <m/>
    <m/>
    <m/>
    <m/>
    <m/>
    <m/>
    <m/>
    <m/>
    <m/>
    <m/>
    <m/>
    <m/>
    <m/>
    <m/>
    <m/>
    <m/>
    <m/>
    <m/>
    <m/>
    <m/>
    <m/>
    <m/>
    <m/>
    <m/>
    <m/>
    <m/>
    <m/>
    <m/>
    <m/>
    <m/>
    <m/>
    <m/>
    <m/>
    <m/>
    <m/>
    <m/>
    <m/>
    <m/>
    <m/>
    <m/>
    <m/>
    <m/>
    <m/>
    <m/>
    <m/>
    <m/>
    <m/>
    <m/>
    <m/>
    <m/>
    <m/>
    <m/>
    <m/>
    <m/>
    <m/>
    <m/>
    <m/>
    <m/>
    <m/>
    <m/>
    <m/>
    <m/>
    <m/>
    <m/>
    <m/>
    <m/>
    <m/>
    <m/>
    <m/>
    <m/>
    <m/>
    <m/>
    <m/>
    <m/>
    <m/>
    <m/>
    <s v="How easy it was"/>
    <s v="How much they low balled m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2"/>
    <n v="3"/>
    <m/>
    <m/>
    <m/>
    <m/>
    <m/>
    <m/>
    <n v="3"/>
    <n v="2"/>
    <n v="2"/>
    <n v="3"/>
    <m/>
    <m/>
    <m/>
    <m/>
    <m/>
    <m/>
    <m/>
    <m/>
    <m/>
    <m/>
    <m/>
    <m/>
    <m/>
    <m/>
    <m/>
    <m/>
    <m/>
    <m/>
    <m/>
    <m/>
    <m/>
    <m/>
    <m/>
    <m/>
    <m/>
    <m/>
    <m/>
    <m/>
    <m/>
    <m/>
    <m/>
    <m/>
    <m/>
    <m/>
    <m/>
    <m/>
    <m/>
    <m/>
    <m/>
    <m/>
    <m/>
    <m/>
    <m/>
    <m/>
    <m/>
    <m/>
    <m/>
    <m/>
    <m/>
    <m/>
    <m/>
    <m/>
    <m/>
    <m/>
    <m/>
    <m/>
    <m/>
    <m/>
    <m/>
    <m/>
    <m/>
    <m/>
    <m/>
    <m/>
    <m/>
    <m/>
    <m/>
    <m/>
    <m/>
    <m/>
    <m/>
    <m/>
    <m/>
    <m/>
    <m/>
    <m/>
    <m/>
    <m/>
    <m/>
    <m/>
    <m/>
    <m/>
    <m/>
    <m/>
    <m/>
    <m/>
    <m/>
    <m/>
    <m/>
    <m/>
    <m/>
    <m/>
    <m/>
    <m/>
    <m/>
    <m/>
    <m/>
    <m/>
    <m/>
    <m/>
    <m/>
    <m/>
    <s v="Trade In &gt; Overall Process &gt;, Trade In &gt; Quote Price &gt;"/>
    <m/>
    <m/>
    <m/>
    <s v="Trade In &gt; Overall Process &gt; (Positive), Trade In &gt; Quote Price &gt; (Negative)"/>
    <s v="Yes"/>
    <s v="No"/>
    <m/>
    <x v="0"/>
    <x v="8"/>
    <x v="0"/>
    <m/>
    <x v="0"/>
    <x v="0"/>
  </r>
  <r>
    <s v="Edward Goff - Used Trade-In Product"/>
    <n v="10"/>
    <n v="5"/>
    <d v="2026-01-13T13:45:00"/>
    <n v="5123674"/>
    <s v="Used Trade-In Product"/>
    <m/>
    <s v="Edward Goff"/>
    <m/>
    <s v="ehgoff@hotmail.com"/>
    <m/>
    <m/>
    <m/>
    <s v="1 months"/>
    <s v="Yes"/>
    <m/>
    <m/>
    <s v="ehgoff@hotmail.com"/>
    <s v="1"/>
    <m/>
    <m/>
    <m/>
    <m/>
    <m/>
    <m/>
    <m/>
    <m/>
    <d v="2026-01-14T07:54:19"/>
    <d v="2026-01-13T15:19:03"/>
    <m/>
    <s v="1132236"/>
    <m/>
    <m/>
    <m/>
    <m/>
    <m/>
    <m/>
    <m/>
    <m/>
    <m/>
    <m/>
    <m/>
    <m/>
    <m/>
    <m/>
    <m/>
    <m/>
    <m/>
    <m/>
    <m/>
    <m/>
    <m/>
    <m/>
    <s v="https://bnh.lightning.force.com/001WP00000nIkxVYAS"/>
    <m/>
    <m/>
    <m/>
    <m/>
    <m/>
    <m/>
    <m/>
    <m/>
    <m/>
    <m/>
    <m/>
    <m/>
    <m/>
    <m/>
    <m/>
    <m/>
    <m/>
    <m/>
    <m/>
    <m/>
    <m/>
    <m/>
    <m/>
    <m/>
    <m/>
    <m/>
    <m/>
    <m/>
    <m/>
    <m/>
    <m/>
    <m/>
    <m/>
    <m/>
    <m/>
    <m/>
    <m/>
    <m/>
    <s v="CAD"/>
    <m/>
    <s v="No"/>
    <s v="Aine Hoye"/>
    <s v="Aine Hoye"/>
    <d v="2026-01-13T13:43:31"/>
    <s v="Promoter"/>
    <s v="Closed"/>
    <m/>
    <m/>
    <s v="Yes"/>
    <m/>
    <m/>
    <m/>
    <m/>
    <m/>
    <m/>
    <m/>
    <m/>
    <m/>
    <m/>
    <m/>
    <m/>
    <m/>
    <m/>
    <m/>
    <m/>
    <s v="Ease of use of website"/>
    <m/>
    <m/>
    <m/>
    <m/>
    <s v="Took a bit more time than I would have liked"/>
    <m/>
    <m/>
    <m/>
    <m/>
    <m/>
    <m/>
    <m/>
    <m/>
    <m/>
    <m/>
    <m/>
    <m/>
    <m/>
    <m/>
    <m/>
    <m/>
    <m/>
    <m/>
    <m/>
    <m/>
    <m/>
    <m/>
    <m/>
    <m/>
    <m/>
    <m/>
    <m/>
    <m/>
    <m/>
    <m/>
    <m/>
    <m/>
    <m/>
    <m/>
    <m/>
    <m/>
    <m/>
    <m/>
    <m/>
    <m/>
    <m/>
    <m/>
    <m/>
    <m/>
    <m/>
    <m/>
    <m/>
    <m/>
    <m/>
    <m/>
    <m/>
    <m/>
    <m/>
    <m/>
    <m/>
    <m/>
    <m/>
    <m/>
    <m/>
    <m/>
    <m/>
    <m/>
    <m/>
    <m/>
    <m/>
    <m/>
    <m/>
    <m/>
    <m/>
    <m/>
    <m/>
    <m/>
    <m/>
    <m/>
    <m/>
    <m/>
    <m/>
    <m/>
    <m/>
    <m/>
    <m/>
    <m/>
    <s v="Ease of use of website"/>
    <s v="Took a bit more time than I would have lik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3"/>
    <m/>
    <m/>
    <m/>
    <m/>
    <m/>
    <m/>
    <m/>
    <m/>
    <m/>
    <m/>
    <m/>
    <m/>
    <m/>
    <m/>
    <m/>
    <m/>
    <m/>
    <m/>
    <m/>
    <m/>
    <m/>
    <m/>
    <m/>
    <m/>
    <m/>
    <m/>
    <m/>
    <m/>
    <m/>
    <m/>
    <m/>
    <m/>
    <m/>
    <m/>
    <m/>
    <m/>
    <m/>
    <m/>
    <m/>
    <m/>
    <m/>
    <m/>
    <m/>
    <m/>
    <m/>
    <m/>
    <m/>
    <m/>
    <m/>
    <m/>
    <m/>
    <m/>
    <m/>
    <m/>
    <m/>
    <m/>
    <m/>
    <m/>
    <m/>
    <m/>
    <m/>
    <m/>
    <m/>
    <m/>
    <m/>
    <m/>
    <m/>
    <m/>
    <m/>
    <m/>
    <m/>
    <m/>
    <m/>
    <m/>
    <m/>
    <m/>
    <m/>
    <m/>
    <m/>
    <m/>
    <m/>
    <m/>
    <m/>
    <m/>
    <m/>
    <m/>
    <m/>
    <m/>
    <m/>
    <m/>
    <m/>
    <m/>
    <m/>
    <m/>
    <m/>
    <m/>
    <m/>
    <m/>
    <m/>
    <m/>
    <m/>
    <s v="Website &gt; Overall Satisfaction &gt;"/>
    <s v="Trade In &gt; Timeliness of Payment &gt;, Website &gt; Overall Satisfaction &gt;"/>
    <m/>
    <m/>
    <s v="Website &gt; Overall Satisfaction &gt; (No opinion)"/>
    <s v="Trade In &gt; Timeliness of Payment &gt; (Negative), Website &gt; Overall Satisfaction &gt; (Positive)"/>
    <s v="Yes"/>
    <s v="Yes"/>
    <m/>
    <x v="5"/>
    <x v="4"/>
    <x v="9"/>
    <m/>
    <x v="0"/>
    <x v="0"/>
  </r>
  <r>
    <s v="Cody Corrall - Used Trade-In Product"/>
    <n v="10"/>
    <n v="5"/>
    <d v="2026-01-13T12:53:50"/>
    <n v="5123529"/>
    <s v="Used Trade-In Product"/>
    <m/>
    <s v="Cody Corrall"/>
    <m/>
    <s v="codycorrall@gmail.com"/>
    <m/>
    <m/>
    <m/>
    <s v="4 years 6 months"/>
    <s v="No"/>
    <m/>
    <m/>
    <s v="codycorrall@gmail.com"/>
    <s v="54"/>
    <m/>
    <m/>
    <m/>
    <m/>
    <m/>
    <m/>
    <m/>
    <m/>
    <d v="2026-01-13T15:15:24"/>
    <d v="2026-01-13T14:20:52"/>
    <m/>
    <s v="1132935"/>
    <m/>
    <m/>
    <m/>
    <m/>
    <m/>
    <m/>
    <m/>
    <m/>
    <m/>
    <m/>
    <m/>
    <m/>
    <m/>
    <m/>
    <m/>
    <m/>
    <m/>
    <m/>
    <m/>
    <m/>
    <m/>
    <m/>
    <s v="https://bnh.lightning.force.com/0012L00001H3cCcQAJ"/>
    <m/>
    <m/>
    <m/>
    <m/>
    <m/>
    <m/>
    <m/>
    <m/>
    <m/>
    <m/>
    <m/>
    <m/>
    <m/>
    <m/>
    <m/>
    <m/>
    <m/>
    <m/>
    <m/>
    <m/>
    <m/>
    <m/>
    <m/>
    <m/>
    <m/>
    <m/>
    <m/>
    <m/>
    <m/>
    <m/>
    <m/>
    <m/>
    <m/>
    <m/>
    <m/>
    <m/>
    <m/>
    <m/>
    <s v="CAD"/>
    <m/>
    <s v="No"/>
    <s v="Efrat Malachi"/>
    <s v="Efrat Malachi"/>
    <d v="2026-01-13T12:54:28"/>
    <s v="Promoter"/>
    <s v="Closed"/>
    <m/>
    <m/>
    <s v="Yes"/>
    <m/>
    <m/>
    <m/>
    <m/>
    <m/>
    <m/>
    <m/>
    <m/>
    <m/>
    <m/>
    <m/>
    <m/>
    <m/>
    <m/>
    <m/>
    <m/>
    <s v="Fast and easy!"/>
    <m/>
    <m/>
    <m/>
    <m/>
    <s v="Nothing"/>
    <m/>
    <m/>
    <m/>
    <m/>
    <m/>
    <m/>
    <m/>
    <m/>
    <m/>
    <m/>
    <m/>
    <m/>
    <m/>
    <m/>
    <m/>
    <m/>
    <m/>
    <m/>
    <m/>
    <m/>
    <m/>
    <m/>
    <m/>
    <m/>
    <m/>
    <m/>
    <m/>
    <m/>
    <m/>
    <m/>
    <m/>
    <m/>
    <m/>
    <m/>
    <m/>
    <m/>
    <m/>
    <m/>
    <m/>
    <m/>
    <m/>
    <m/>
    <m/>
    <m/>
    <m/>
    <m/>
    <m/>
    <m/>
    <m/>
    <m/>
    <m/>
    <m/>
    <m/>
    <m/>
    <m/>
    <m/>
    <m/>
    <m/>
    <m/>
    <m/>
    <m/>
    <m/>
    <m/>
    <m/>
    <m/>
    <m/>
    <m/>
    <m/>
    <m/>
    <m/>
    <m/>
    <m/>
    <m/>
    <m/>
    <m/>
    <m/>
    <m/>
    <m/>
    <m/>
    <m/>
    <m/>
    <m/>
    <s v="Fast and easy!"/>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Website &gt; Overall Satisfaction &gt;"/>
    <m/>
    <m/>
    <m/>
    <s v="Trade In &gt; Overall Process &gt; (Positive), Website &gt; Overall Satisfaction &gt; (Positive)"/>
    <s v="Yes"/>
    <s v="Yes"/>
    <m/>
    <x v="0"/>
    <x v="0"/>
    <x v="0"/>
    <m/>
    <x v="0"/>
    <x v="0"/>
  </r>
  <r>
    <s v="Ed Pepin - Used Trade-In Product"/>
    <n v="10"/>
    <n v="5"/>
    <d v="2026-01-13T12:04:14"/>
    <n v="5123370"/>
    <s v="Used Trade-In Product"/>
    <m/>
    <s v="Ed Pepin"/>
    <m/>
    <s v="edpepin1961@comcast.net"/>
    <m/>
    <m/>
    <m/>
    <s v="14 years 1 months"/>
    <s v="Yes"/>
    <m/>
    <m/>
    <s v="edpepin1961@comcast.net"/>
    <s v="169"/>
    <m/>
    <m/>
    <m/>
    <m/>
    <m/>
    <m/>
    <m/>
    <m/>
    <d v="2026-01-14T10:31:22"/>
    <d v="2026-01-13T12:54:29"/>
    <m/>
    <s v="1131348"/>
    <m/>
    <m/>
    <m/>
    <m/>
    <m/>
    <m/>
    <m/>
    <m/>
    <m/>
    <m/>
    <m/>
    <m/>
    <m/>
    <m/>
    <m/>
    <m/>
    <m/>
    <m/>
    <m/>
    <m/>
    <m/>
    <m/>
    <s v="https://bnh.lightning.force.com/0011a00000G4JkFAAV"/>
    <m/>
    <m/>
    <m/>
    <m/>
    <m/>
    <m/>
    <m/>
    <m/>
    <m/>
    <m/>
    <m/>
    <m/>
    <m/>
    <m/>
    <m/>
    <m/>
    <m/>
    <m/>
    <m/>
    <m/>
    <m/>
    <m/>
    <m/>
    <m/>
    <m/>
    <m/>
    <m/>
    <m/>
    <m/>
    <m/>
    <m/>
    <m/>
    <m/>
    <m/>
    <m/>
    <m/>
    <m/>
    <m/>
    <s v="CAD"/>
    <m/>
    <s v="No"/>
    <s v="Andrea Garcia"/>
    <s v="Andrea Garcia"/>
    <d v="2026-01-13T12:04:48"/>
    <s v="Promoter"/>
    <s v="Closed"/>
    <m/>
    <m/>
    <s v="Yes"/>
    <m/>
    <m/>
    <m/>
    <m/>
    <m/>
    <m/>
    <m/>
    <m/>
    <m/>
    <m/>
    <m/>
    <m/>
    <m/>
    <m/>
    <m/>
    <m/>
    <s v="Easy dealing with B&amp;H as usual.  Been doing it for 25 years"/>
    <m/>
    <m/>
    <m/>
    <m/>
    <m/>
    <m/>
    <m/>
    <m/>
    <m/>
    <m/>
    <m/>
    <m/>
    <m/>
    <m/>
    <m/>
    <m/>
    <m/>
    <m/>
    <m/>
    <m/>
    <m/>
    <m/>
    <m/>
    <m/>
    <m/>
    <m/>
    <m/>
    <m/>
    <m/>
    <m/>
    <m/>
    <m/>
    <m/>
    <m/>
    <m/>
    <m/>
    <m/>
    <m/>
    <m/>
    <m/>
    <m/>
    <m/>
    <m/>
    <m/>
    <m/>
    <m/>
    <m/>
    <m/>
    <m/>
    <m/>
    <m/>
    <m/>
    <m/>
    <m/>
    <m/>
    <m/>
    <m/>
    <m/>
    <m/>
    <m/>
    <m/>
    <m/>
    <m/>
    <m/>
    <m/>
    <m/>
    <m/>
    <m/>
    <m/>
    <m/>
    <m/>
    <m/>
    <m/>
    <m/>
    <m/>
    <m/>
    <m/>
    <m/>
    <m/>
    <m/>
    <m/>
    <m/>
    <m/>
    <m/>
    <m/>
    <m/>
    <m/>
    <s v="Easy dealing with B&amp;H as usual.  Been doing it for 25 yea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Loyalty &gt;, B&amp;H &gt; Satisfaction &gt;"/>
    <m/>
    <m/>
    <m/>
    <s v="B&amp;H &gt; Loyalty &gt; (Positive), B&amp;H &gt; Satisfaction &gt; (Positive)"/>
    <s v="Yes"/>
    <s v="Yes"/>
    <m/>
    <x v="0"/>
    <x v="0"/>
    <x v="0"/>
    <m/>
    <x v="0"/>
    <x v="0"/>
  </r>
  <r>
    <s v="Support It - Used Trade-In Product"/>
    <n v="10"/>
    <n v="4"/>
    <d v="2026-01-13T11:22:49"/>
    <n v="5123219"/>
    <s v="Used Trade-In Product"/>
    <m/>
    <s v="Support It"/>
    <m/>
    <m/>
    <m/>
    <m/>
    <m/>
    <s v="7 years 11 months"/>
    <s v="No"/>
    <m/>
    <m/>
    <m/>
    <s v="95"/>
    <m/>
    <m/>
    <m/>
    <m/>
    <m/>
    <m/>
    <m/>
    <m/>
    <d v="2026-01-13T14:57:28"/>
    <d v="2026-01-13T12:55:51"/>
    <m/>
    <s v="1128421"/>
    <m/>
    <m/>
    <m/>
    <m/>
    <m/>
    <m/>
    <m/>
    <m/>
    <m/>
    <m/>
    <m/>
    <m/>
    <m/>
    <m/>
    <m/>
    <m/>
    <m/>
    <m/>
    <m/>
    <m/>
    <m/>
    <m/>
    <s v="https://bnh.lightning.force.com/0011a00000nLDdYAAW"/>
    <m/>
    <m/>
    <m/>
    <m/>
    <m/>
    <m/>
    <m/>
    <m/>
    <m/>
    <m/>
    <m/>
    <m/>
    <m/>
    <m/>
    <m/>
    <m/>
    <m/>
    <m/>
    <m/>
    <m/>
    <m/>
    <m/>
    <m/>
    <m/>
    <m/>
    <m/>
    <m/>
    <m/>
    <m/>
    <m/>
    <m/>
    <m/>
    <m/>
    <m/>
    <m/>
    <m/>
    <m/>
    <m/>
    <s v="CAD"/>
    <m/>
    <s v="No"/>
    <s v="Aine Hoye"/>
    <s v="Aine Hoye"/>
    <d v="2026-01-13T11:19:53"/>
    <s v="Promoter"/>
    <s v="Closed"/>
    <m/>
    <m/>
    <s v="Yes"/>
    <m/>
    <m/>
    <m/>
    <m/>
    <m/>
    <m/>
    <m/>
    <m/>
    <m/>
    <m/>
    <m/>
    <m/>
    <m/>
    <m/>
    <m/>
    <m/>
    <s v="It was pretty easy, all things considered."/>
    <m/>
    <m/>
    <m/>
    <m/>
    <s v="Several items were &quot;damaged&quot; and therefore would not be receiving a payout. I would have liked to have seen photos of the items deemed damaged, just to keep everything as clear as possible."/>
    <m/>
    <m/>
    <m/>
    <m/>
    <m/>
    <m/>
    <m/>
    <m/>
    <m/>
    <m/>
    <m/>
    <m/>
    <m/>
    <m/>
    <m/>
    <m/>
    <m/>
    <m/>
    <m/>
    <m/>
    <m/>
    <m/>
    <m/>
    <m/>
    <m/>
    <m/>
    <m/>
    <m/>
    <m/>
    <m/>
    <m/>
    <m/>
    <m/>
    <m/>
    <m/>
    <m/>
    <m/>
    <m/>
    <m/>
    <m/>
    <m/>
    <m/>
    <m/>
    <m/>
    <m/>
    <m/>
    <m/>
    <m/>
    <m/>
    <m/>
    <m/>
    <m/>
    <m/>
    <m/>
    <m/>
    <m/>
    <m/>
    <m/>
    <m/>
    <m/>
    <m/>
    <m/>
    <m/>
    <m/>
    <m/>
    <m/>
    <m/>
    <m/>
    <m/>
    <m/>
    <m/>
    <m/>
    <m/>
    <m/>
    <m/>
    <m/>
    <m/>
    <m/>
    <m/>
    <m/>
    <m/>
    <m/>
    <s v="It was pretty easy, all things considered."/>
    <s v="Several items were &quot;damaged&quot; and therefore would not be receiving a payout. I would have liked to have seen photos of the items deemed damaged, just to keep everything as clear as possib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s v="N/A"/>
    <n v="4"/>
    <m/>
    <m/>
    <m/>
    <m/>
    <m/>
    <m/>
    <n v="4"/>
    <n v="2"/>
    <n v="4"/>
    <n v="5"/>
    <m/>
    <m/>
    <m/>
    <m/>
    <m/>
    <m/>
    <m/>
    <m/>
    <m/>
    <m/>
    <m/>
    <m/>
    <m/>
    <m/>
    <m/>
    <m/>
    <m/>
    <m/>
    <m/>
    <m/>
    <m/>
    <m/>
    <m/>
    <m/>
    <m/>
    <m/>
    <m/>
    <m/>
    <m/>
    <m/>
    <m/>
    <m/>
    <m/>
    <m/>
    <m/>
    <m/>
    <m/>
    <m/>
    <m/>
    <m/>
    <m/>
    <m/>
    <m/>
    <m/>
    <m/>
    <m/>
    <m/>
    <m/>
    <m/>
    <m/>
    <m/>
    <m/>
    <m/>
    <m/>
    <m/>
    <m/>
    <m/>
    <m/>
    <m/>
    <m/>
    <m/>
    <m/>
    <m/>
    <m/>
    <m/>
    <m/>
    <m/>
    <m/>
    <m/>
    <m/>
    <m/>
    <m/>
    <m/>
    <m/>
    <m/>
    <m/>
    <m/>
    <m/>
    <m/>
    <m/>
    <m/>
    <m/>
    <m/>
    <m/>
    <m/>
    <m/>
    <m/>
    <m/>
    <m/>
    <m/>
    <m/>
    <m/>
    <m/>
    <m/>
    <m/>
    <m/>
    <m/>
    <m/>
    <m/>
    <m/>
    <m/>
    <s v="Product &gt; Product Function &gt;, Website &gt; Images &gt;"/>
    <s v="Trade In &gt; Overall Process &gt;, Trade In &gt; Quote Price &gt;"/>
    <m/>
    <m/>
    <s v="Product &gt; Product Function &gt; (Negative), Website &gt; Images &gt; (Negative)"/>
    <s v="Trade In &gt; Overall Process &gt; (Negative), Trade In &gt; Overall Process &gt; (Positive), Trade In &gt; Quote Price &gt; (Negative)"/>
    <s v="Yes"/>
    <s v="No"/>
    <m/>
    <x v="0"/>
    <x v="62"/>
    <x v="0"/>
    <m/>
    <x v="0"/>
    <x v="0"/>
  </r>
  <r>
    <s v="Kareem Omar - Used Trade-In Product"/>
    <n v="1"/>
    <n v="1"/>
    <d v="2026-01-13T10:19:14"/>
    <n v="5122997"/>
    <s v="Used Trade-In Product"/>
    <m/>
    <s v="Kareem Omar"/>
    <m/>
    <s v="kareem1702@hotmail.com"/>
    <m/>
    <m/>
    <m/>
    <s v="5 years 0 months"/>
    <s v="No"/>
    <m/>
    <m/>
    <s v="kareem1702@hotmail.com"/>
    <s v="60"/>
    <m/>
    <m/>
    <m/>
    <m/>
    <m/>
    <m/>
    <m/>
    <m/>
    <d v="2026-01-19T13:19:02"/>
    <d v="2026-01-13T12:55:18"/>
    <m/>
    <s v="1120244"/>
    <m/>
    <m/>
    <m/>
    <m/>
    <m/>
    <m/>
    <m/>
    <m/>
    <m/>
    <m/>
    <m/>
    <m/>
    <m/>
    <m/>
    <m/>
    <m/>
    <m/>
    <m/>
    <m/>
    <m/>
    <m/>
    <m/>
    <s v="https://bnh.lightning.force.com/0012L00001BOOHZQA5"/>
    <m/>
    <m/>
    <m/>
    <m/>
    <m/>
    <m/>
    <m/>
    <m/>
    <m/>
    <m/>
    <m/>
    <m/>
    <m/>
    <m/>
    <m/>
    <m/>
    <m/>
    <m/>
    <m/>
    <m/>
    <m/>
    <m/>
    <m/>
    <m/>
    <m/>
    <m/>
    <m/>
    <m/>
    <m/>
    <m/>
    <m/>
    <m/>
    <m/>
    <m/>
    <m/>
    <m/>
    <m/>
    <m/>
    <s v="CAD"/>
    <m/>
    <s v="No"/>
    <s v="Emily Schreier,Avraham Schwartz,Reina Caba"/>
    <s v="Reina Caba"/>
    <d v="2026-01-13T10:19:34"/>
    <s v="Detractor "/>
    <s v="Closed"/>
    <d v="2026-01-19T13:18:58"/>
    <s v="Reina Caba (reinac@bhphoto.com)"/>
    <s v="Yes"/>
    <m/>
    <m/>
    <m/>
    <m/>
    <m/>
    <m/>
    <m/>
    <m/>
    <m/>
    <m/>
    <m/>
    <m/>
    <m/>
    <m/>
    <m/>
    <m/>
    <s v="Ease of online process"/>
    <m/>
    <m/>
    <m/>
    <m/>
    <s v="Being given a price then 2 minutes later getting a call saying the price is actually much less"/>
    <m/>
    <m/>
    <m/>
    <m/>
    <m/>
    <m/>
    <m/>
    <m/>
    <m/>
    <m/>
    <m/>
    <m/>
    <m/>
    <m/>
    <m/>
    <m/>
    <m/>
    <m/>
    <m/>
    <m/>
    <m/>
    <m/>
    <m/>
    <m/>
    <m/>
    <m/>
    <m/>
    <m/>
    <m/>
    <m/>
    <m/>
    <m/>
    <m/>
    <m/>
    <m/>
    <m/>
    <m/>
    <m/>
    <m/>
    <m/>
    <m/>
    <m/>
    <m/>
    <m/>
    <m/>
    <m/>
    <m/>
    <m/>
    <m/>
    <m/>
    <m/>
    <m/>
    <m/>
    <m/>
    <m/>
    <m/>
    <m/>
    <m/>
    <m/>
    <m/>
    <m/>
    <m/>
    <m/>
    <m/>
    <m/>
    <m/>
    <m/>
    <m/>
    <m/>
    <m/>
    <m/>
    <m/>
    <m/>
    <m/>
    <m/>
    <m/>
    <m/>
    <m/>
    <m/>
    <m/>
    <m/>
    <m/>
    <s v="Ease of online process"/>
    <s v="Being given a price then 2 minutes later getting a call saying the price is actually much l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1"/>
    <m/>
    <m/>
    <m/>
    <m/>
    <n v="1"/>
    <n v="4"/>
    <m/>
    <m/>
    <m/>
    <m/>
    <m/>
    <m/>
    <n v="1"/>
    <n v="1"/>
    <n v="3"/>
    <n v="4"/>
    <m/>
    <m/>
    <m/>
    <m/>
    <m/>
    <m/>
    <m/>
    <m/>
    <m/>
    <m/>
    <m/>
    <m/>
    <m/>
    <m/>
    <m/>
    <m/>
    <m/>
    <m/>
    <m/>
    <m/>
    <m/>
    <m/>
    <m/>
    <m/>
    <m/>
    <m/>
    <m/>
    <m/>
    <m/>
    <m/>
    <m/>
    <m/>
    <m/>
    <m/>
    <m/>
    <m/>
    <m/>
    <m/>
    <m/>
    <m/>
    <m/>
    <m/>
    <m/>
    <m/>
    <m/>
    <m/>
    <m/>
    <m/>
    <m/>
    <m/>
    <m/>
    <m/>
    <m/>
    <m/>
    <m/>
    <m/>
    <m/>
    <m/>
    <m/>
    <m/>
    <m/>
    <m/>
    <m/>
    <m/>
    <m/>
    <m/>
    <m/>
    <m/>
    <m/>
    <m/>
    <m/>
    <m/>
    <m/>
    <m/>
    <m/>
    <m/>
    <m/>
    <m/>
    <m/>
    <m/>
    <m/>
    <m/>
    <m/>
    <m/>
    <m/>
    <m/>
    <m/>
    <m/>
    <m/>
    <m/>
    <m/>
    <m/>
    <m/>
    <m/>
    <m/>
    <m/>
    <m/>
    <m/>
    <m/>
    <m/>
    <m/>
    <s v="Pricing &gt; Value for Money &gt;, Trade In &gt; Overall Process &gt;, Used &gt; Pricing &gt;"/>
    <s v="Trade In &gt; Overall Process &gt;, Trade In &gt; Quote Price &gt;"/>
    <m/>
    <m/>
    <s v="Pricing &gt; Value for Money &gt; (Negative), Trade In &gt; Overall Process &gt; (Positive), Used &gt; Pricing &gt; (Negative)"/>
    <s v="Trade In &gt; Overall Process &gt; (Positive), Trade In &gt; Quote Price &gt; (Negative)"/>
    <s v="Yes"/>
    <s v="No"/>
    <m/>
    <x v="5"/>
    <x v="60"/>
    <x v="0"/>
    <m/>
    <x v="0"/>
    <x v="0"/>
  </r>
  <r>
    <s v="Nancy Scola - Used Trade-In Product"/>
    <n v="10"/>
    <n v="5"/>
    <d v="2026-01-13T10:17:48"/>
    <n v="5122990"/>
    <s v="Used Trade-In Product"/>
    <m/>
    <s v="Nancy Scola"/>
    <m/>
    <s v="nancyscola@gmail.com"/>
    <m/>
    <m/>
    <m/>
    <s v="1 years 9 months"/>
    <s v="No"/>
    <m/>
    <m/>
    <s v="nancyscola@gmail.com"/>
    <s v="21"/>
    <m/>
    <m/>
    <m/>
    <m/>
    <m/>
    <m/>
    <m/>
    <m/>
    <d v="2026-01-13T14:45:29"/>
    <d v="2026-01-13T12:55:53"/>
    <m/>
    <s v="1130368"/>
    <m/>
    <m/>
    <m/>
    <m/>
    <m/>
    <m/>
    <m/>
    <m/>
    <m/>
    <m/>
    <m/>
    <m/>
    <m/>
    <m/>
    <m/>
    <m/>
    <m/>
    <m/>
    <m/>
    <m/>
    <m/>
    <m/>
    <s v="https://bnh.lightning.force.com/0018X00003P4oX7QAJ"/>
    <m/>
    <m/>
    <m/>
    <m/>
    <m/>
    <m/>
    <m/>
    <m/>
    <m/>
    <m/>
    <m/>
    <m/>
    <m/>
    <m/>
    <m/>
    <m/>
    <m/>
    <m/>
    <m/>
    <m/>
    <m/>
    <m/>
    <m/>
    <m/>
    <m/>
    <m/>
    <m/>
    <m/>
    <m/>
    <m/>
    <m/>
    <m/>
    <m/>
    <m/>
    <m/>
    <m/>
    <m/>
    <m/>
    <s v="CAD"/>
    <m/>
    <s v="No"/>
    <s v="Emily Schreier"/>
    <s v="Emily Schreier"/>
    <d v="2026-01-13T10:18:29"/>
    <s v="Promoter"/>
    <s v="Closed"/>
    <m/>
    <m/>
    <s v="Yes"/>
    <m/>
    <m/>
    <m/>
    <m/>
    <m/>
    <m/>
    <m/>
    <m/>
    <m/>
    <m/>
    <m/>
    <m/>
    <m/>
    <m/>
    <m/>
    <m/>
    <s v="Really, no notes — it was great from start to finish. I should have done it sooner!"/>
    <m/>
    <m/>
    <m/>
    <m/>
    <m/>
    <m/>
    <m/>
    <m/>
    <m/>
    <m/>
    <m/>
    <m/>
    <m/>
    <m/>
    <m/>
    <m/>
    <m/>
    <m/>
    <m/>
    <m/>
    <m/>
    <m/>
    <m/>
    <m/>
    <m/>
    <m/>
    <m/>
    <m/>
    <m/>
    <m/>
    <m/>
    <m/>
    <m/>
    <m/>
    <m/>
    <m/>
    <m/>
    <m/>
    <m/>
    <m/>
    <m/>
    <m/>
    <m/>
    <m/>
    <m/>
    <m/>
    <m/>
    <m/>
    <m/>
    <m/>
    <m/>
    <m/>
    <m/>
    <m/>
    <m/>
    <m/>
    <m/>
    <m/>
    <m/>
    <m/>
    <m/>
    <m/>
    <m/>
    <m/>
    <m/>
    <m/>
    <m/>
    <m/>
    <m/>
    <m/>
    <m/>
    <m/>
    <m/>
    <m/>
    <m/>
    <m/>
    <m/>
    <m/>
    <m/>
    <m/>
    <m/>
    <m/>
    <m/>
    <m/>
    <m/>
    <m/>
    <m/>
    <s v="Really, no notes — it was great from start to finish. I should have done it soone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5"/>
    <x v="0"/>
    <x v="0"/>
    <m/>
    <x v="0"/>
    <x v="0"/>
  </r>
  <r>
    <s v="James Copes - Used Trade-In Product"/>
    <n v="8"/>
    <n v="3"/>
    <d v="2026-01-13T09:56:14"/>
    <n v="5122854"/>
    <s v="Used Trade-In Product"/>
    <m/>
    <s v="James Copes"/>
    <m/>
    <s v="copesje@gmail.com"/>
    <m/>
    <m/>
    <m/>
    <s v="8 years 5 months"/>
    <s v="No"/>
    <m/>
    <m/>
    <s v="copesje@gmail.com"/>
    <s v="101"/>
    <m/>
    <m/>
    <m/>
    <m/>
    <m/>
    <m/>
    <m/>
    <m/>
    <d v="2026-01-13T14:24:47"/>
    <d v="2026-01-12T21:22:06"/>
    <m/>
    <s v="1133879"/>
    <m/>
    <m/>
    <m/>
    <m/>
    <m/>
    <m/>
    <m/>
    <m/>
    <m/>
    <m/>
    <m/>
    <m/>
    <m/>
    <m/>
    <m/>
    <m/>
    <m/>
    <m/>
    <m/>
    <m/>
    <m/>
    <m/>
    <s v="https://bnh.lightning.force.com/0011a00000jRitfAAC"/>
    <m/>
    <m/>
    <m/>
    <m/>
    <m/>
    <m/>
    <m/>
    <m/>
    <m/>
    <m/>
    <m/>
    <m/>
    <m/>
    <m/>
    <m/>
    <m/>
    <m/>
    <m/>
    <m/>
    <m/>
    <m/>
    <m/>
    <m/>
    <m/>
    <m/>
    <m/>
    <m/>
    <m/>
    <m/>
    <m/>
    <m/>
    <m/>
    <m/>
    <m/>
    <m/>
    <m/>
    <m/>
    <m/>
    <s v="CAD"/>
    <m/>
    <s v="No"/>
    <s v="Nick Badame,Avraham Schwartz"/>
    <s v="Avraham Schwartz"/>
    <d v="2026-01-13T09:53:27"/>
    <s v="Passive"/>
    <s v="Closed"/>
    <m/>
    <m/>
    <s v="Yes"/>
    <m/>
    <m/>
    <m/>
    <m/>
    <m/>
    <m/>
    <m/>
    <m/>
    <m/>
    <m/>
    <m/>
    <m/>
    <m/>
    <m/>
    <m/>
    <m/>
    <s v="Amount of quote was good and the speed of getting gift card was good"/>
    <m/>
    <m/>
    <m/>
    <m/>
    <s v="Unable to figure out how to find the PIN so I can complete an order! Extremely frustrated!"/>
    <m/>
    <m/>
    <m/>
    <m/>
    <m/>
    <m/>
    <m/>
    <m/>
    <m/>
    <m/>
    <m/>
    <m/>
    <m/>
    <m/>
    <m/>
    <m/>
    <m/>
    <m/>
    <m/>
    <m/>
    <m/>
    <m/>
    <m/>
    <m/>
    <m/>
    <m/>
    <m/>
    <m/>
    <m/>
    <m/>
    <m/>
    <m/>
    <m/>
    <m/>
    <m/>
    <m/>
    <m/>
    <m/>
    <m/>
    <m/>
    <m/>
    <m/>
    <m/>
    <m/>
    <m/>
    <m/>
    <m/>
    <m/>
    <m/>
    <m/>
    <m/>
    <m/>
    <m/>
    <m/>
    <m/>
    <m/>
    <m/>
    <m/>
    <m/>
    <m/>
    <m/>
    <m/>
    <m/>
    <m/>
    <m/>
    <m/>
    <m/>
    <m/>
    <m/>
    <m/>
    <m/>
    <m/>
    <m/>
    <m/>
    <m/>
    <m/>
    <m/>
    <m/>
    <m/>
    <m/>
    <m/>
    <m/>
    <s v="Amount of quote was good and the speed of getting gift card was good"/>
    <s v="Unable to figure out how to find the PIN so I can complete an order! Extremely frustra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4"/>
    <n v="5"/>
    <m/>
    <m/>
    <m/>
    <m/>
    <m/>
    <m/>
    <n v="2"/>
    <n v="2"/>
    <n v="4"/>
    <n v="4"/>
    <m/>
    <m/>
    <m/>
    <m/>
    <m/>
    <m/>
    <m/>
    <m/>
    <m/>
    <m/>
    <m/>
    <m/>
    <m/>
    <m/>
    <m/>
    <m/>
    <m/>
    <m/>
    <m/>
    <m/>
    <m/>
    <m/>
    <m/>
    <m/>
    <m/>
    <m/>
    <m/>
    <m/>
    <m/>
    <m/>
    <m/>
    <m/>
    <m/>
    <m/>
    <m/>
    <m/>
    <m/>
    <m/>
    <m/>
    <m/>
    <m/>
    <m/>
    <m/>
    <m/>
    <m/>
    <m/>
    <m/>
    <m/>
    <m/>
    <m/>
    <m/>
    <m/>
    <m/>
    <m/>
    <m/>
    <m/>
    <m/>
    <m/>
    <m/>
    <m/>
    <m/>
    <m/>
    <m/>
    <m/>
    <m/>
    <m/>
    <m/>
    <m/>
    <m/>
    <m/>
    <m/>
    <m/>
    <m/>
    <m/>
    <m/>
    <m/>
    <m/>
    <m/>
    <m/>
    <m/>
    <m/>
    <m/>
    <m/>
    <m/>
    <m/>
    <m/>
    <m/>
    <m/>
    <m/>
    <m/>
    <m/>
    <m/>
    <m/>
    <m/>
    <m/>
    <m/>
    <m/>
    <m/>
    <m/>
    <m/>
    <m/>
    <s v="Trade In &gt; Overall Process &gt;, Trade In &gt; Timeliness of Quote &gt;"/>
    <s v="Payment &gt; Ease Of Use &gt;, Payment &gt; Online &gt;, Trade In &gt; Quote Price &gt;, Trade In &gt; Timeliness of Payment &gt;"/>
    <m/>
    <m/>
    <s v="Trade In &gt; Overall Process &gt; (Positive), Trade In &gt; Timeliness of Quote &gt; (Positive)"/>
    <s v="Payment &gt; Ease Of Use &gt; (Negative), Payment &gt; Online &gt; (Negative), Trade In &gt; Quote Price &gt; (Positive), Trade In &gt; Timeliness of Payment &gt; (Positive)"/>
    <s v="Yes"/>
    <s v="Yes"/>
    <m/>
    <x v="10"/>
    <x v="12"/>
    <x v="0"/>
    <m/>
    <x v="0"/>
    <x v="0"/>
  </r>
  <r>
    <s v="James Wolf - Used Trade-In Product"/>
    <n v="10"/>
    <n v="5"/>
    <d v="2026-01-12T19:40:50"/>
    <n v="5121723"/>
    <s v="Used Trade-In Product"/>
    <m/>
    <s v="James Wolf"/>
    <m/>
    <s v="hello@jameswolfphotography.com"/>
    <m/>
    <m/>
    <m/>
    <s v="1 years 1 months"/>
    <s v="No"/>
    <m/>
    <m/>
    <s v="hello@jameswolfphotography.com"/>
    <s v="13"/>
    <m/>
    <m/>
    <m/>
    <m/>
    <m/>
    <m/>
    <m/>
    <m/>
    <d v="2026-01-13T10:01:15"/>
    <d v="2026-01-12T21:22:00"/>
    <m/>
    <s v="1132571"/>
    <m/>
    <m/>
    <m/>
    <m/>
    <m/>
    <m/>
    <m/>
    <m/>
    <m/>
    <m/>
    <m/>
    <m/>
    <m/>
    <m/>
    <m/>
    <m/>
    <m/>
    <m/>
    <m/>
    <m/>
    <m/>
    <m/>
    <s v="https://bnh.lightning.force.com/0018X00003UTYMfQAP"/>
    <m/>
    <m/>
    <m/>
    <m/>
    <m/>
    <m/>
    <m/>
    <m/>
    <m/>
    <m/>
    <m/>
    <m/>
    <m/>
    <m/>
    <m/>
    <m/>
    <m/>
    <m/>
    <m/>
    <m/>
    <m/>
    <m/>
    <m/>
    <m/>
    <m/>
    <m/>
    <m/>
    <m/>
    <m/>
    <m/>
    <m/>
    <m/>
    <m/>
    <m/>
    <m/>
    <m/>
    <m/>
    <m/>
    <s v="CAD"/>
    <m/>
    <s v="No"/>
    <s v="Zane Bohnert"/>
    <s v="Zane Bohnert"/>
    <d v="2026-01-12T19:39:22"/>
    <s v="Promoter"/>
    <s v="Closed"/>
    <m/>
    <m/>
    <s v="Yes"/>
    <m/>
    <m/>
    <m/>
    <m/>
    <m/>
    <m/>
    <m/>
    <m/>
    <m/>
    <m/>
    <m/>
    <m/>
    <m/>
    <m/>
    <m/>
    <m/>
    <s v="Best and highest offer on the market for what I had compared to KEH and MPB."/>
    <m/>
    <m/>
    <m/>
    <m/>
    <m/>
    <m/>
    <m/>
    <m/>
    <m/>
    <m/>
    <m/>
    <m/>
    <m/>
    <m/>
    <m/>
    <m/>
    <m/>
    <m/>
    <m/>
    <m/>
    <m/>
    <m/>
    <m/>
    <m/>
    <m/>
    <m/>
    <m/>
    <m/>
    <m/>
    <m/>
    <m/>
    <m/>
    <m/>
    <m/>
    <m/>
    <m/>
    <m/>
    <m/>
    <m/>
    <m/>
    <m/>
    <m/>
    <m/>
    <m/>
    <m/>
    <m/>
    <m/>
    <m/>
    <m/>
    <m/>
    <m/>
    <m/>
    <m/>
    <m/>
    <m/>
    <m/>
    <m/>
    <m/>
    <m/>
    <m/>
    <m/>
    <m/>
    <m/>
    <m/>
    <m/>
    <m/>
    <m/>
    <m/>
    <m/>
    <m/>
    <m/>
    <m/>
    <m/>
    <m/>
    <m/>
    <m/>
    <m/>
    <m/>
    <m/>
    <m/>
    <m/>
    <m/>
    <m/>
    <m/>
    <m/>
    <m/>
    <m/>
    <s v="Best and highest offer on the market for what I had compared to KEH and MP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n v="5"/>
    <m/>
    <m/>
    <m/>
    <m/>
    <m/>
    <m/>
    <m/>
    <m/>
    <m/>
    <m/>
    <m/>
    <m/>
    <m/>
    <m/>
    <m/>
    <m/>
    <m/>
    <m/>
    <m/>
    <m/>
    <m/>
    <m/>
    <m/>
    <m/>
    <m/>
    <m/>
    <m/>
    <m/>
    <m/>
    <m/>
    <m/>
    <m/>
    <m/>
    <m/>
    <m/>
    <m/>
    <m/>
    <m/>
    <m/>
    <m/>
    <m/>
    <m/>
    <m/>
    <m/>
    <m/>
    <m/>
    <m/>
    <m/>
    <m/>
    <m/>
    <m/>
    <m/>
    <m/>
    <m/>
    <m/>
    <m/>
    <m/>
    <m/>
    <m/>
    <m/>
    <m/>
    <m/>
    <m/>
    <m/>
    <m/>
    <m/>
    <m/>
    <m/>
    <m/>
    <m/>
    <m/>
    <m/>
    <m/>
    <m/>
    <m/>
    <m/>
    <m/>
    <m/>
    <m/>
    <m/>
    <m/>
    <m/>
    <m/>
    <m/>
    <m/>
    <m/>
    <m/>
    <m/>
    <m/>
    <m/>
    <m/>
    <m/>
    <m/>
    <m/>
    <m/>
    <m/>
    <m/>
    <m/>
    <m/>
    <m/>
    <m/>
    <m/>
    <s v="Trade In &gt; Quote Price &gt;"/>
    <m/>
    <m/>
    <m/>
    <s v="Trade In &gt; Quote Price &gt; (Positive)"/>
    <s v="Yes"/>
    <s v="No"/>
    <m/>
    <x v="42"/>
    <x v="0"/>
    <x v="0"/>
    <m/>
    <x v="0"/>
    <x v="0"/>
  </r>
  <r>
    <s v="Shai Radoshitzky - Used Trade-In Product"/>
    <n v="10"/>
    <n v="5"/>
    <d v="2026-01-12T18:21:30"/>
    <n v="5121496"/>
    <s v="Used Trade-In Product"/>
    <m/>
    <s v="Shai Radoshitzky"/>
    <m/>
    <s v="shairad@gmail.com"/>
    <m/>
    <m/>
    <m/>
    <s v="1 months"/>
    <s v="No"/>
    <m/>
    <m/>
    <s v="shairad@gmail.com"/>
    <s v="1"/>
    <m/>
    <m/>
    <m/>
    <m/>
    <m/>
    <m/>
    <m/>
    <m/>
    <d v="2026-01-13T09:41:16"/>
    <d v="2026-01-12T20:22:16"/>
    <m/>
    <s v="1132893"/>
    <m/>
    <m/>
    <m/>
    <m/>
    <m/>
    <m/>
    <m/>
    <m/>
    <m/>
    <m/>
    <m/>
    <m/>
    <m/>
    <m/>
    <m/>
    <m/>
    <m/>
    <m/>
    <m/>
    <m/>
    <m/>
    <m/>
    <s v="https://bnh.lightning.force.com/001WP00000nOfkIYAS"/>
    <m/>
    <m/>
    <m/>
    <m/>
    <m/>
    <m/>
    <m/>
    <m/>
    <m/>
    <m/>
    <m/>
    <m/>
    <m/>
    <m/>
    <m/>
    <m/>
    <m/>
    <m/>
    <m/>
    <m/>
    <m/>
    <m/>
    <m/>
    <m/>
    <m/>
    <m/>
    <m/>
    <m/>
    <m/>
    <m/>
    <m/>
    <m/>
    <m/>
    <m/>
    <m/>
    <m/>
    <m/>
    <m/>
    <s v="CAD"/>
    <m/>
    <s v="No"/>
    <s v="Zane Bohnert"/>
    <s v="Zane Bohnert"/>
    <d v="2026-01-12T18:35:05"/>
    <s v="Promoter"/>
    <s v="Closed"/>
    <m/>
    <m/>
    <s v="Yes"/>
    <m/>
    <m/>
    <m/>
    <m/>
    <m/>
    <m/>
    <m/>
    <m/>
    <m/>
    <m/>
    <m/>
    <m/>
    <m/>
    <m/>
    <m/>
    <m/>
    <s v="Very easy online process getting a quote through the B&amp;H website. Free shipping, and very fair pricing on my used gear."/>
    <m/>
    <m/>
    <m/>
    <m/>
    <s v="Very minor, if at all, it took about 2 weeks to get a quote, and a week longer than communicated, but really not a big deal at all."/>
    <m/>
    <m/>
    <m/>
    <m/>
    <m/>
    <m/>
    <m/>
    <m/>
    <m/>
    <m/>
    <m/>
    <m/>
    <m/>
    <m/>
    <m/>
    <m/>
    <m/>
    <m/>
    <m/>
    <m/>
    <m/>
    <m/>
    <m/>
    <m/>
    <m/>
    <m/>
    <m/>
    <m/>
    <m/>
    <m/>
    <m/>
    <m/>
    <m/>
    <m/>
    <m/>
    <m/>
    <m/>
    <m/>
    <m/>
    <m/>
    <m/>
    <m/>
    <m/>
    <m/>
    <m/>
    <m/>
    <m/>
    <m/>
    <m/>
    <m/>
    <m/>
    <m/>
    <m/>
    <m/>
    <m/>
    <m/>
    <m/>
    <m/>
    <m/>
    <m/>
    <m/>
    <m/>
    <m/>
    <m/>
    <m/>
    <m/>
    <m/>
    <m/>
    <m/>
    <m/>
    <m/>
    <m/>
    <m/>
    <m/>
    <m/>
    <m/>
    <m/>
    <m/>
    <m/>
    <m/>
    <m/>
    <m/>
    <s v="Very easy online process getting a quote through the B&amp;H website. Free shipping, and very fair pricing on my used gear."/>
    <s v="Very minor, if at all, it took about 2 weeks to get a quote, and a week longer than communicated, but really not a big deal at a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Pricing &gt; Delivery Fees &gt;, Trade In &gt; Overall Process &gt;, Used &gt; Pricing &gt;"/>
    <s v="Pricing &gt; Delivery Fees &gt;, Trade In &gt; Overall Process &gt;, Trade In &gt; Quote Price &gt;, Trade In &gt; Timeliness of Quote &gt;"/>
    <m/>
    <m/>
    <s v="Pricing &gt; Delivery Fees &gt; (Positive), Trade In &gt; Overall Process &gt; (Negative), Trade In &gt; Overall Process &gt; (Positive), Used &gt; Pricing &gt; (Positive)"/>
    <s v="Pricing &gt; Delivery Fees &gt; (Positive), Trade In &gt; Overall Process &gt; (Positive), Trade In &gt; Quote Price &gt; (Positive), Trade In &gt; Timeliness of Quote &gt; (Negative)"/>
    <s v="Yes"/>
    <s v="No"/>
    <m/>
    <x v="0"/>
    <x v="47"/>
    <x v="15"/>
    <s v="Slow evaluation process"/>
    <x v="0"/>
    <x v="0"/>
  </r>
  <r>
    <s v="Emily Morgan - Used Trade-In Product"/>
    <n v="10"/>
    <n v="5"/>
    <d v="2026-01-12T17:45:07"/>
    <n v="5121340"/>
    <s v="Used Trade-In Product"/>
    <m/>
    <s v="Emily Morgan"/>
    <m/>
    <s v="emilymorgancreative@gmail.com"/>
    <m/>
    <m/>
    <m/>
    <s v="8 months"/>
    <s v="No"/>
    <m/>
    <m/>
    <s v="emilymorgancreative@gmail.com"/>
    <s v="8"/>
    <m/>
    <m/>
    <m/>
    <m/>
    <m/>
    <m/>
    <m/>
    <m/>
    <d v="2026-01-13T09:55:50"/>
    <d v="2026-01-06T12:49:49"/>
    <m/>
    <s v="1129271"/>
    <m/>
    <m/>
    <m/>
    <m/>
    <m/>
    <m/>
    <m/>
    <m/>
    <m/>
    <m/>
    <m/>
    <m/>
    <m/>
    <m/>
    <m/>
    <m/>
    <m/>
    <m/>
    <m/>
    <m/>
    <m/>
    <m/>
    <s v="https://bnh.lightning.force.com/001Hs00004pYsutIAC"/>
    <m/>
    <m/>
    <m/>
    <m/>
    <m/>
    <m/>
    <m/>
    <m/>
    <m/>
    <m/>
    <m/>
    <m/>
    <m/>
    <m/>
    <m/>
    <m/>
    <m/>
    <m/>
    <m/>
    <m/>
    <m/>
    <m/>
    <m/>
    <m/>
    <m/>
    <m/>
    <m/>
    <m/>
    <m/>
    <m/>
    <m/>
    <m/>
    <m/>
    <m/>
    <m/>
    <m/>
    <m/>
    <m/>
    <s v="CAD"/>
    <m/>
    <s v="No"/>
    <s v="Gershon Orenstein"/>
    <s v="Gershon Orenstein"/>
    <d v="2026-01-12T17:44:42"/>
    <s v="Promoter"/>
    <s v="Closed"/>
    <m/>
    <m/>
    <s v="Yes"/>
    <m/>
    <m/>
    <m/>
    <m/>
    <m/>
    <m/>
    <m/>
    <m/>
    <m/>
    <m/>
    <m/>
    <m/>
    <m/>
    <m/>
    <m/>
    <m/>
    <s v="the ease of it all! very simple process"/>
    <m/>
    <m/>
    <m/>
    <m/>
    <s v="n/a"/>
    <m/>
    <m/>
    <m/>
    <m/>
    <m/>
    <m/>
    <m/>
    <m/>
    <m/>
    <m/>
    <m/>
    <m/>
    <m/>
    <m/>
    <m/>
    <m/>
    <m/>
    <m/>
    <m/>
    <m/>
    <m/>
    <m/>
    <m/>
    <m/>
    <m/>
    <m/>
    <m/>
    <m/>
    <m/>
    <m/>
    <m/>
    <m/>
    <m/>
    <m/>
    <m/>
    <m/>
    <m/>
    <m/>
    <m/>
    <m/>
    <m/>
    <m/>
    <m/>
    <m/>
    <m/>
    <m/>
    <m/>
    <m/>
    <m/>
    <m/>
    <m/>
    <m/>
    <m/>
    <m/>
    <m/>
    <m/>
    <m/>
    <m/>
    <m/>
    <m/>
    <m/>
    <m/>
    <m/>
    <m/>
    <m/>
    <m/>
    <m/>
    <m/>
    <m/>
    <m/>
    <m/>
    <m/>
    <m/>
    <m/>
    <m/>
    <m/>
    <m/>
    <m/>
    <m/>
    <m/>
    <m/>
    <m/>
    <s v="the ease of it all! very simple process"/>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s v="N/A"/>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5"/>
    <x v="0"/>
    <x v="0"/>
    <m/>
    <x v="0"/>
    <x v="0"/>
  </r>
  <r>
    <s v="Christopher Guynn - Used Trade-In Product"/>
    <n v="0"/>
    <n v="1"/>
    <d v="2026-01-12T13:39:23"/>
    <n v="5120490"/>
    <s v="Used Trade-In Product"/>
    <m/>
    <s v="Christopher Guynn"/>
    <m/>
    <s v="topherbraj@gmail.com"/>
    <m/>
    <m/>
    <m/>
    <s v="9 years 5 months"/>
    <s v="No"/>
    <m/>
    <m/>
    <s v="topherbraj@gmail.com"/>
    <s v="113"/>
    <m/>
    <m/>
    <m/>
    <m/>
    <m/>
    <m/>
    <m/>
    <m/>
    <d v="2026-01-30T11:38:56"/>
    <d v="2026-01-12T16:17:03"/>
    <m/>
    <s v="1131778"/>
    <m/>
    <m/>
    <m/>
    <m/>
    <m/>
    <m/>
    <m/>
    <m/>
    <m/>
    <m/>
    <m/>
    <m/>
    <m/>
    <m/>
    <m/>
    <m/>
    <m/>
    <m/>
    <m/>
    <m/>
    <m/>
    <m/>
    <s v="https://bnh.lightning.force.com/0011a00000XOGX4AAP"/>
    <m/>
    <m/>
    <m/>
    <m/>
    <m/>
    <m/>
    <m/>
    <m/>
    <m/>
    <m/>
    <m/>
    <m/>
    <m/>
    <m/>
    <m/>
    <m/>
    <m/>
    <m/>
    <m/>
    <m/>
    <m/>
    <m/>
    <m/>
    <m/>
    <m/>
    <m/>
    <m/>
    <m/>
    <m/>
    <m/>
    <m/>
    <m/>
    <m/>
    <m/>
    <m/>
    <m/>
    <m/>
    <m/>
    <s v="CAD"/>
    <m/>
    <s v="No"/>
    <s v="Efrat Malachi,Geoffrey Ngai,Avraham Schwartz,Reina Caba"/>
    <s v="Reina Caba"/>
    <d v="2026-01-12T13:21:53"/>
    <s v="Detractor "/>
    <s v="Closed"/>
    <d v="2026-01-30T11:38:49"/>
    <s v="Reina Caba (reinac@bhphoto.com)"/>
    <s v="Yes"/>
    <m/>
    <m/>
    <m/>
    <m/>
    <m/>
    <m/>
    <m/>
    <m/>
    <m/>
    <m/>
    <m/>
    <m/>
    <m/>
    <m/>
    <m/>
    <m/>
    <m/>
    <m/>
    <m/>
    <m/>
    <m/>
    <s v="Your business effectively stole $444 from my business.  By delivering my camera and memory cards (that were apart of the same order) months apart from each other, your company did not provide the time I needed to test the cards and then return them once I found out they were the wrong cards.  I bought three of those CF express type B cards that were roughly $240 each.  Your company bought these cards back for $90 each.  Now I’m seeing your reselling them as used on your website for $253.95. So are you cheating my company out of $444? You’re also selling them at a higher price than what you bought them from my company.  Seems like a huge scam and something I should take to my NBC News Investigative colleagues.  I’ll use Adorama from now on.  I’ll also be reporting this matter to the BBB."/>
    <m/>
    <m/>
    <m/>
    <m/>
    <m/>
    <m/>
    <m/>
    <m/>
    <m/>
    <m/>
    <m/>
    <m/>
    <m/>
    <m/>
    <m/>
    <m/>
    <m/>
    <m/>
    <m/>
    <m/>
    <m/>
    <m/>
    <m/>
    <m/>
    <m/>
    <m/>
    <m/>
    <m/>
    <m/>
    <m/>
    <m/>
    <m/>
    <m/>
    <m/>
    <m/>
    <m/>
    <m/>
    <m/>
    <m/>
    <m/>
    <m/>
    <m/>
    <m/>
    <m/>
    <m/>
    <m/>
    <m/>
    <m/>
    <m/>
    <m/>
    <m/>
    <m/>
    <m/>
    <m/>
    <m/>
    <m/>
    <m/>
    <m/>
    <m/>
    <m/>
    <m/>
    <m/>
    <m/>
    <m/>
    <m/>
    <m/>
    <m/>
    <m/>
    <m/>
    <m/>
    <m/>
    <m/>
    <m/>
    <m/>
    <m/>
    <m/>
    <m/>
    <m/>
    <m/>
    <m/>
    <m/>
    <m/>
    <m/>
    <s v="Your business effectively stole $444 from my business.  By delivering my camera and memory cards (that were apart of the same order) months apart from each other, your company did not provide the time I needed to test the cards and then return them once I found out they were the wrong cards.  I bought three of those CF express type B cards that were roughly $240 each.  Your company bought these cards back for $90 each.  Now I’m seeing your reselling them as used on your website for $253.95. So are you cheating my company out of $444? You’re also selling them at a higher price than what you bought them from my company.  Seems like a huge scam and something I should take to my NBC News Investigative colleagues.  I’ll use Adorama from now on.  I’ll also be reporting this matter to the BBB."/>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1"/>
    <m/>
    <m/>
    <m/>
    <m/>
    <n v="1"/>
    <s v="N/A"/>
    <m/>
    <m/>
    <m/>
    <m/>
    <m/>
    <m/>
    <n v="1"/>
    <n v="1"/>
    <n v="1"/>
    <n v="1"/>
    <m/>
    <m/>
    <m/>
    <m/>
    <m/>
    <m/>
    <m/>
    <m/>
    <m/>
    <m/>
    <m/>
    <m/>
    <m/>
    <m/>
    <m/>
    <m/>
    <m/>
    <m/>
    <m/>
    <m/>
    <m/>
    <m/>
    <m/>
    <m/>
    <m/>
    <m/>
    <m/>
    <m/>
    <m/>
    <m/>
    <m/>
    <m/>
    <m/>
    <m/>
    <m/>
    <m/>
    <m/>
    <m/>
    <m/>
    <m/>
    <m/>
    <m/>
    <m/>
    <m/>
    <m/>
    <m/>
    <m/>
    <m/>
    <m/>
    <m/>
    <m/>
    <m/>
    <m/>
    <m/>
    <m/>
    <m/>
    <m/>
    <m/>
    <m/>
    <m/>
    <m/>
    <m/>
    <m/>
    <m/>
    <m/>
    <m/>
    <m/>
    <m/>
    <m/>
    <m/>
    <m/>
    <m/>
    <m/>
    <m/>
    <m/>
    <m/>
    <m/>
    <m/>
    <m/>
    <m/>
    <m/>
    <m/>
    <m/>
    <m/>
    <m/>
    <m/>
    <m/>
    <m/>
    <m/>
    <m/>
    <m/>
    <m/>
    <m/>
    <m/>
    <m/>
    <m/>
    <m/>
    <m/>
    <m/>
    <m/>
    <m/>
    <s v="B&amp;H &gt; Competitor Mentions &gt;, Pricing &gt; Value for Money &gt;, Trade In &gt; Quote Price &gt;, Used &gt; Description &gt;, Used &gt; Pricing &gt;"/>
    <s v="B&amp;H &gt; Competitor Mentions &gt;, B&amp;H &gt; Reliable / Trustworthy &gt;, B&amp;H &gt; Satisfaction &gt;, Trade In &gt; Quote Price &gt;, Used &gt; Pricing &gt;, Warehouse Fulfillment &gt; Timeliness &gt;"/>
    <m/>
    <m/>
    <s v="B&amp;H &gt; Competitor Mentions &gt; (Positive), Pricing &gt; Value for Money &gt; (Negative), Trade In &gt; Quote Price &gt; (Negative), Used &gt; Description &gt; (Positive), Used &gt; Pricing &gt; (Negative)"/>
    <s v="B&amp;H &gt; Competitor Mentions &gt; (Negative), B&amp;H &gt; Reliable / Trustworthy &gt; (Negative), B&amp;H &gt; Satisfaction &gt; (Negative), Trade In &gt; Quote Price &gt; (Negative), Used &gt; Pricing &gt; (Negative), Warehouse Fulfillment &gt; Timeliness &gt; (Negative)"/>
    <s v="Yes"/>
    <s v="Yes"/>
    <m/>
    <x v="29"/>
    <x v="0"/>
    <x v="0"/>
    <m/>
    <x v="0"/>
    <x v="0"/>
  </r>
  <r>
    <s v="Brandon Grenier - Used Trade-In Product"/>
    <n v="10"/>
    <n v="5"/>
    <d v="2026-01-12T11:04:02"/>
    <n v="5120081"/>
    <s v="Used Trade-In Product"/>
    <m/>
    <s v="Brandon Grenier"/>
    <m/>
    <s v="grenierbrand@gmail.com"/>
    <m/>
    <m/>
    <m/>
    <s v="1 months"/>
    <s v="No"/>
    <m/>
    <m/>
    <s v="grenierbrand@gmail.com"/>
    <s v="1"/>
    <m/>
    <m/>
    <m/>
    <m/>
    <m/>
    <m/>
    <m/>
    <m/>
    <d v="2026-01-13T09:05:40"/>
    <d v="2026-01-12T12:54:16"/>
    <m/>
    <s v="1131045"/>
    <m/>
    <m/>
    <m/>
    <m/>
    <m/>
    <m/>
    <m/>
    <m/>
    <m/>
    <m/>
    <m/>
    <m/>
    <m/>
    <m/>
    <m/>
    <m/>
    <m/>
    <m/>
    <m/>
    <m/>
    <m/>
    <m/>
    <s v="https://bnh.lightning.force.com/001WP00000n4imeYAA"/>
    <m/>
    <m/>
    <m/>
    <m/>
    <m/>
    <m/>
    <m/>
    <m/>
    <m/>
    <m/>
    <m/>
    <m/>
    <m/>
    <m/>
    <m/>
    <m/>
    <m/>
    <m/>
    <m/>
    <m/>
    <m/>
    <m/>
    <m/>
    <m/>
    <m/>
    <m/>
    <m/>
    <m/>
    <m/>
    <m/>
    <m/>
    <m/>
    <m/>
    <m/>
    <m/>
    <m/>
    <m/>
    <m/>
    <s v="CAD"/>
    <m/>
    <s v="No"/>
    <s v="Andrea Garcia"/>
    <s v="Andrea Garcia"/>
    <d v="2026-01-12T11:02:41"/>
    <s v="Promoter"/>
    <s v="Closed"/>
    <m/>
    <m/>
    <s v="Yes"/>
    <m/>
    <m/>
    <m/>
    <m/>
    <m/>
    <m/>
    <m/>
    <m/>
    <m/>
    <m/>
    <m/>
    <m/>
    <m/>
    <m/>
    <m/>
    <m/>
    <s v="Quick quote and frictionless process."/>
    <m/>
    <m/>
    <m/>
    <m/>
    <s v="Sending off gear without a guarantee of purchase value."/>
    <m/>
    <m/>
    <m/>
    <m/>
    <m/>
    <m/>
    <m/>
    <m/>
    <m/>
    <m/>
    <m/>
    <m/>
    <m/>
    <m/>
    <m/>
    <m/>
    <m/>
    <m/>
    <m/>
    <m/>
    <m/>
    <m/>
    <m/>
    <m/>
    <m/>
    <m/>
    <m/>
    <m/>
    <m/>
    <m/>
    <m/>
    <m/>
    <m/>
    <m/>
    <m/>
    <m/>
    <m/>
    <m/>
    <m/>
    <m/>
    <m/>
    <m/>
    <m/>
    <m/>
    <m/>
    <m/>
    <m/>
    <m/>
    <m/>
    <m/>
    <m/>
    <m/>
    <m/>
    <m/>
    <m/>
    <m/>
    <m/>
    <m/>
    <m/>
    <m/>
    <m/>
    <m/>
    <m/>
    <m/>
    <m/>
    <m/>
    <m/>
    <m/>
    <m/>
    <m/>
    <m/>
    <m/>
    <m/>
    <m/>
    <m/>
    <m/>
    <m/>
    <m/>
    <m/>
    <m/>
    <m/>
    <m/>
    <s v="Quick quote and frictionless process."/>
    <s v="Sending off gear without a guarantee of purchase valu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4"/>
    <m/>
    <m/>
    <m/>
    <m/>
    <m/>
    <m/>
    <m/>
    <m/>
    <m/>
    <m/>
    <m/>
    <m/>
    <m/>
    <m/>
    <m/>
    <m/>
    <m/>
    <m/>
    <m/>
    <m/>
    <m/>
    <m/>
    <m/>
    <m/>
    <m/>
    <m/>
    <m/>
    <m/>
    <m/>
    <m/>
    <m/>
    <m/>
    <m/>
    <m/>
    <m/>
    <m/>
    <m/>
    <m/>
    <m/>
    <m/>
    <m/>
    <m/>
    <m/>
    <m/>
    <m/>
    <m/>
    <m/>
    <m/>
    <m/>
    <m/>
    <m/>
    <m/>
    <m/>
    <m/>
    <m/>
    <m/>
    <m/>
    <m/>
    <m/>
    <m/>
    <m/>
    <m/>
    <m/>
    <m/>
    <m/>
    <m/>
    <m/>
    <m/>
    <m/>
    <m/>
    <m/>
    <m/>
    <m/>
    <m/>
    <m/>
    <m/>
    <m/>
    <m/>
    <m/>
    <m/>
    <m/>
    <m/>
    <m/>
    <m/>
    <m/>
    <m/>
    <m/>
    <m/>
    <m/>
    <m/>
    <m/>
    <m/>
    <m/>
    <m/>
    <m/>
    <m/>
    <m/>
    <m/>
    <m/>
    <m/>
    <m/>
    <s v="Trade In &gt; Overall Process &gt;, Trade In &gt; Timeliness of Quote &gt;"/>
    <s v="Trade In &gt; Overall Process &gt;, Trade In &gt; Timeliness of Quote &gt;"/>
    <m/>
    <m/>
    <s v="Trade In &gt; Overall Process &gt; (Positive), Trade In &gt; Timeliness of Quote &gt; (Positive)"/>
    <s v="Trade In &gt; Overall Process &gt; (Negative), Trade In &gt; Overall Process &gt; (Positive), Trade In &gt; Timeliness of Quote &gt; (Positive)"/>
    <s v="Yes"/>
    <s v="Yes"/>
    <m/>
    <x v="13"/>
    <x v="31"/>
    <x v="0"/>
    <m/>
    <x v="0"/>
    <x v="0"/>
  </r>
  <r>
    <s v="Daniel Laby - Used Trade-In Product"/>
    <n v="10"/>
    <n v="5"/>
    <d v="2026-01-12T10:28:02"/>
    <n v="5119956"/>
    <s v="Used Trade-In Product"/>
    <m/>
    <s v="Daniel Laby"/>
    <m/>
    <s v="danlaby@me.com"/>
    <m/>
    <m/>
    <m/>
    <s v="14 years 3 months"/>
    <s v="No"/>
    <m/>
    <m/>
    <s v="danlaby@me.com"/>
    <s v="171"/>
    <m/>
    <m/>
    <m/>
    <m/>
    <m/>
    <m/>
    <m/>
    <m/>
    <d v="2026-01-12T14:43:03"/>
    <d v="2026-01-12T12:54:31"/>
    <m/>
    <s v="1132717"/>
    <m/>
    <m/>
    <m/>
    <m/>
    <m/>
    <m/>
    <m/>
    <m/>
    <m/>
    <m/>
    <m/>
    <m/>
    <m/>
    <m/>
    <m/>
    <m/>
    <m/>
    <m/>
    <m/>
    <m/>
    <m/>
    <m/>
    <s v="https://bnh.lightning.force.com/0012L000014InAoQAK"/>
    <m/>
    <m/>
    <m/>
    <m/>
    <m/>
    <m/>
    <m/>
    <m/>
    <m/>
    <m/>
    <m/>
    <m/>
    <m/>
    <m/>
    <m/>
    <m/>
    <m/>
    <m/>
    <m/>
    <m/>
    <m/>
    <m/>
    <m/>
    <m/>
    <m/>
    <m/>
    <m/>
    <m/>
    <m/>
    <m/>
    <m/>
    <m/>
    <m/>
    <m/>
    <m/>
    <m/>
    <m/>
    <m/>
    <s v="CAD"/>
    <m/>
    <s v="No"/>
    <s v="Emily Schreier"/>
    <s v="Emily Schreier"/>
    <d v="2026-01-12T10:28:02"/>
    <s v="Promoter"/>
    <s v="Closed"/>
    <m/>
    <m/>
    <s v="Yes"/>
    <m/>
    <m/>
    <m/>
    <m/>
    <m/>
    <m/>
    <m/>
    <m/>
    <m/>
    <m/>
    <m/>
    <m/>
    <m/>
    <m/>
    <m/>
    <m/>
    <s v="ease of getting quote and sale"/>
    <m/>
    <m/>
    <m/>
    <m/>
    <s v="nothing"/>
    <m/>
    <m/>
    <m/>
    <m/>
    <m/>
    <m/>
    <m/>
    <m/>
    <m/>
    <m/>
    <m/>
    <m/>
    <m/>
    <m/>
    <m/>
    <m/>
    <m/>
    <m/>
    <m/>
    <m/>
    <m/>
    <m/>
    <m/>
    <m/>
    <m/>
    <m/>
    <m/>
    <m/>
    <m/>
    <m/>
    <m/>
    <m/>
    <m/>
    <m/>
    <m/>
    <m/>
    <m/>
    <m/>
    <m/>
    <m/>
    <m/>
    <m/>
    <m/>
    <m/>
    <m/>
    <m/>
    <m/>
    <m/>
    <m/>
    <m/>
    <m/>
    <m/>
    <m/>
    <m/>
    <m/>
    <m/>
    <m/>
    <m/>
    <m/>
    <m/>
    <m/>
    <m/>
    <m/>
    <m/>
    <m/>
    <m/>
    <m/>
    <m/>
    <m/>
    <m/>
    <m/>
    <m/>
    <m/>
    <m/>
    <m/>
    <m/>
    <m/>
    <m/>
    <m/>
    <m/>
    <m/>
    <m/>
    <s v="ease of getting quote and sal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No opinion)"/>
    <s v="Trade In &gt; Overall Process &gt; (Positive)"/>
    <s v="Yes"/>
    <s v="Yes"/>
    <m/>
    <x v="5"/>
    <x v="47"/>
    <x v="0"/>
    <m/>
    <x v="0"/>
    <x v="0"/>
  </r>
  <r>
    <s v="Richard Strong - Used Trade-In Product"/>
    <n v="10"/>
    <n v="5"/>
    <d v="2026-01-12T09:53:31"/>
    <n v="5119803"/>
    <s v="Used Trade-In Product"/>
    <m/>
    <s v="Richard Strong"/>
    <m/>
    <s v="carter.strong@gmail.com"/>
    <m/>
    <m/>
    <m/>
    <s v="2 years 11 months"/>
    <s v="No"/>
    <m/>
    <m/>
    <s v="carter.strong@gmail.com"/>
    <s v="35"/>
    <m/>
    <m/>
    <m/>
    <m/>
    <m/>
    <m/>
    <m/>
    <m/>
    <d v="2026-01-12T14:38:20"/>
    <d v="2025-12-30T12:58:28"/>
    <m/>
    <s v="1129815"/>
    <m/>
    <m/>
    <m/>
    <m/>
    <m/>
    <m/>
    <m/>
    <m/>
    <m/>
    <m/>
    <m/>
    <m/>
    <m/>
    <m/>
    <m/>
    <m/>
    <m/>
    <m/>
    <m/>
    <m/>
    <m/>
    <m/>
    <s v="https://bnh.lightning.force.com/0018X00003BSytMQAT"/>
    <m/>
    <m/>
    <m/>
    <m/>
    <m/>
    <m/>
    <m/>
    <m/>
    <m/>
    <m/>
    <m/>
    <m/>
    <m/>
    <m/>
    <m/>
    <m/>
    <m/>
    <m/>
    <m/>
    <m/>
    <m/>
    <m/>
    <m/>
    <m/>
    <m/>
    <m/>
    <m/>
    <m/>
    <m/>
    <m/>
    <m/>
    <m/>
    <m/>
    <m/>
    <m/>
    <m/>
    <m/>
    <m/>
    <s v="CAD"/>
    <m/>
    <s v="No"/>
    <s v="Emily Schreier"/>
    <s v="Emily Schreier"/>
    <d v="2026-01-12T09:51:10"/>
    <s v="Promoter"/>
    <s v="Closed"/>
    <m/>
    <m/>
    <s v="Yes"/>
    <m/>
    <m/>
    <m/>
    <m/>
    <m/>
    <m/>
    <m/>
    <m/>
    <m/>
    <m/>
    <m/>
    <m/>
    <m/>
    <m/>
    <m/>
    <m/>
    <s v="Clear instructions and pro-customer free shipping policies."/>
    <m/>
    <m/>
    <m/>
    <m/>
    <s v="Some Canon &quot;kit lenses&quot; that were available to purchase standalone were not shown in the Quote item search, rather those lenses would only appear alongside one or two camera body variants."/>
    <m/>
    <m/>
    <m/>
    <m/>
    <m/>
    <m/>
    <m/>
    <m/>
    <m/>
    <m/>
    <m/>
    <m/>
    <m/>
    <m/>
    <m/>
    <m/>
    <m/>
    <m/>
    <m/>
    <m/>
    <m/>
    <m/>
    <m/>
    <m/>
    <m/>
    <m/>
    <m/>
    <m/>
    <m/>
    <m/>
    <m/>
    <m/>
    <m/>
    <m/>
    <m/>
    <m/>
    <m/>
    <m/>
    <m/>
    <m/>
    <m/>
    <m/>
    <m/>
    <m/>
    <m/>
    <m/>
    <m/>
    <m/>
    <m/>
    <m/>
    <m/>
    <m/>
    <m/>
    <m/>
    <m/>
    <m/>
    <m/>
    <m/>
    <m/>
    <m/>
    <m/>
    <m/>
    <m/>
    <m/>
    <m/>
    <m/>
    <m/>
    <m/>
    <m/>
    <m/>
    <m/>
    <m/>
    <m/>
    <m/>
    <m/>
    <m/>
    <m/>
    <m/>
    <m/>
    <m/>
    <m/>
    <m/>
    <s v="Clear instructions and pro-customer free shipping policies."/>
    <s v="Some Canon &quot;kit lenses&quot; that were available to purchase standalone were not shown in the Quote item search, rather those lenses would only appear alongside one or two camera body variant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ricing &gt; Delivery Fees &gt;, Pricing &gt; Value for Money &gt;, Product &gt; Selection / Variety &gt;, Trade In &gt; Overall Process &gt;"/>
    <s v="Pricing &gt; Delivery Fees &gt;, Trade In &gt; Overall Process &gt;, Website &gt; Overall Satisfaction &gt;"/>
    <m/>
    <m/>
    <s v="Pricing &gt; Delivery Fees &gt; (Positive), Pricing &gt; Value for Money &gt; (Negative), Product &gt; Selection / Variety &gt; (Negative), Trade In &gt; Overall Process &gt; (Negative)"/>
    <s v="Pricing &gt; Delivery Fees &gt; (Positive), Trade In &gt; Overall Process &gt; (Negative), Trade In &gt; Overall Process &gt; (Positive), Website &gt; Overall Satisfaction &gt; (Negative)"/>
    <s v="Yes"/>
    <s v="No"/>
    <m/>
    <x v="44"/>
    <x v="31"/>
    <x v="25"/>
    <m/>
    <x v="0"/>
    <x v="0"/>
  </r>
  <r>
    <s v="Jillian Regan - Used Trade-In Product"/>
    <n v="10"/>
    <n v="5"/>
    <d v="2026-01-11T17:44:47"/>
    <n v="5118429"/>
    <s v="Used Trade-In Product"/>
    <m/>
    <s v="Jillian Regan"/>
    <m/>
    <s v="jillian.regan.photography@gmail.com"/>
    <m/>
    <m/>
    <m/>
    <s v="1 years 10 months"/>
    <s v="No"/>
    <m/>
    <m/>
    <s v="jillian.regan.photography@gmail.com"/>
    <s v="22"/>
    <m/>
    <m/>
    <m/>
    <m/>
    <m/>
    <m/>
    <m/>
    <m/>
    <d v="2026-01-12T09:10:54"/>
    <d v="2025-12-31T12:54:49"/>
    <m/>
    <s v="1128752"/>
    <m/>
    <m/>
    <m/>
    <m/>
    <m/>
    <m/>
    <m/>
    <m/>
    <m/>
    <m/>
    <m/>
    <m/>
    <m/>
    <m/>
    <m/>
    <m/>
    <m/>
    <m/>
    <m/>
    <m/>
    <m/>
    <m/>
    <s v="https://bnh.lightning.force.com/0018X000038DGqpQAG"/>
    <m/>
    <m/>
    <m/>
    <m/>
    <m/>
    <m/>
    <m/>
    <m/>
    <m/>
    <m/>
    <m/>
    <m/>
    <m/>
    <m/>
    <m/>
    <m/>
    <m/>
    <m/>
    <m/>
    <m/>
    <m/>
    <m/>
    <m/>
    <m/>
    <m/>
    <m/>
    <m/>
    <m/>
    <m/>
    <m/>
    <m/>
    <m/>
    <m/>
    <m/>
    <m/>
    <m/>
    <m/>
    <m/>
    <s v="CAD"/>
    <m/>
    <s v="No"/>
    <s v="Sergio Jonusas,Andrea Garcia"/>
    <s v="Andrea Garcia"/>
    <d v="2026-01-11T17:44:17"/>
    <s v="Promoter"/>
    <s v="Closed"/>
    <m/>
    <m/>
    <s v="Yes"/>
    <m/>
    <m/>
    <m/>
    <m/>
    <m/>
    <m/>
    <m/>
    <m/>
    <m/>
    <m/>
    <m/>
    <m/>
    <m/>
    <m/>
    <m/>
    <m/>
    <s v="Easy, quick"/>
    <m/>
    <m/>
    <m/>
    <m/>
    <s v="Sorry I didn't thoroughly check the condition of those 2 lenses that got rejected before I sent them, that was totally my fault!"/>
    <m/>
    <m/>
    <m/>
    <m/>
    <m/>
    <m/>
    <m/>
    <m/>
    <m/>
    <m/>
    <m/>
    <m/>
    <m/>
    <m/>
    <m/>
    <m/>
    <m/>
    <m/>
    <m/>
    <m/>
    <m/>
    <m/>
    <m/>
    <m/>
    <m/>
    <m/>
    <m/>
    <m/>
    <m/>
    <m/>
    <m/>
    <m/>
    <m/>
    <m/>
    <m/>
    <m/>
    <m/>
    <m/>
    <m/>
    <m/>
    <m/>
    <m/>
    <m/>
    <m/>
    <m/>
    <m/>
    <m/>
    <m/>
    <m/>
    <m/>
    <m/>
    <m/>
    <m/>
    <m/>
    <m/>
    <m/>
    <m/>
    <m/>
    <m/>
    <m/>
    <m/>
    <m/>
    <m/>
    <m/>
    <m/>
    <m/>
    <m/>
    <m/>
    <m/>
    <m/>
    <m/>
    <m/>
    <m/>
    <m/>
    <m/>
    <m/>
    <m/>
    <m/>
    <m/>
    <m/>
    <m/>
    <m/>
    <s v="Easy, quick"/>
    <s v="Sorry I didn't thoroughly check the condition of those 2 lenses that got rejected before I sent them, that was totally my faul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Website &gt; User Error &gt;"/>
    <s v="Trade In &gt; Overall Process &gt;"/>
    <m/>
    <m/>
    <s v="Website &gt; User Error &gt; (No opinion)"/>
    <s v="Trade In &gt; Overall Process &gt; (Positive)"/>
    <s v="Yes"/>
    <s v="Yes"/>
    <m/>
    <x v="0"/>
    <x v="0"/>
    <x v="0"/>
    <m/>
    <x v="0"/>
    <x v="0"/>
  </r>
  <r>
    <s v="Paul Barr - Used Trade-In Product"/>
    <n v="10"/>
    <n v="5"/>
    <d v="2026-01-11T13:25:58"/>
    <n v="5117959"/>
    <s v="Used Trade-In Product"/>
    <m/>
    <s v="Paul Barr"/>
    <m/>
    <s v="dqpauljr@comcast.net"/>
    <m/>
    <m/>
    <m/>
    <s v="1 months"/>
    <s v="No"/>
    <m/>
    <m/>
    <s v="dqpauljr@comcast.net"/>
    <s v="1"/>
    <m/>
    <m/>
    <m/>
    <m/>
    <m/>
    <m/>
    <m/>
    <m/>
    <d v="2026-01-12T08:41:25"/>
    <d v="2025-12-31T12:55:37"/>
    <m/>
    <s v="1126075"/>
    <m/>
    <m/>
    <m/>
    <m/>
    <m/>
    <m/>
    <m/>
    <m/>
    <m/>
    <m/>
    <m/>
    <m/>
    <m/>
    <m/>
    <m/>
    <m/>
    <m/>
    <m/>
    <m/>
    <m/>
    <m/>
    <m/>
    <s v="https://bnh.lightning.force.com/001WP00000kJdMaYAK"/>
    <m/>
    <m/>
    <m/>
    <m/>
    <m/>
    <m/>
    <m/>
    <m/>
    <m/>
    <m/>
    <m/>
    <m/>
    <m/>
    <m/>
    <m/>
    <m/>
    <m/>
    <m/>
    <m/>
    <m/>
    <m/>
    <m/>
    <m/>
    <m/>
    <m/>
    <m/>
    <m/>
    <m/>
    <m/>
    <m/>
    <m/>
    <m/>
    <m/>
    <m/>
    <m/>
    <m/>
    <m/>
    <m/>
    <s v="CAD"/>
    <m/>
    <s v="No"/>
    <s v="Zane Bohnert"/>
    <s v="Zane Bohnert"/>
    <d v="2026-01-11T13:25:58"/>
    <s v="Promoter"/>
    <s v="Closed"/>
    <m/>
    <m/>
    <s v="Yes"/>
    <m/>
    <m/>
    <m/>
    <m/>
    <m/>
    <m/>
    <m/>
    <m/>
    <m/>
    <m/>
    <m/>
    <m/>
    <m/>
    <m/>
    <m/>
    <m/>
    <s v="Prompt responses!"/>
    <m/>
    <m/>
    <m/>
    <m/>
    <m/>
    <m/>
    <m/>
    <m/>
    <m/>
    <m/>
    <m/>
    <m/>
    <m/>
    <m/>
    <m/>
    <m/>
    <m/>
    <m/>
    <m/>
    <m/>
    <m/>
    <m/>
    <m/>
    <m/>
    <m/>
    <m/>
    <m/>
    <m/>
    <m/>
    <m/>
    <m/>
    <m/>
    <m/>
    <m/>
    <m/>
    <m/>
    <m/>
    <m/>
    <m/>
    <m/>
    <m/>
    <m/>
    <m/>
    <m/>
    <m/>
    <m/>
    <m/>
    <m/>
    <m/>
    <m/>
    <m/>
    <m/>
    <m/>
    <m/>
    <m/>
    <m/>
    <m/>
    <m/>
    <m/>
    <m/>
    <m/>
    <m/>
    <m/>
    <m/>
    <m/>
    <m/>
    <m/>
    <m/>
    <m/>
    <m/>
    <m/>
    <m/>
    <m/>
    <m/>
    <m/>
    <m/>
    <m/>
    <m/>
    <m/>
    <m/>
    <m/>
    <m/>
    <m/>
    <m/>
    <m/>
    <m/>
    <m/>
    <s v="Prompt response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People &gt; Follow Up &gt;"/>
    <m/>
    <m/>
    <m/>
    <s v="People &gt; Follow Up &gt; (Positive)"/>
    <s v="Yes"/>
    <s v="No"/>
    <m/>
    <x v="7"/>
    <x v="0"/>
    <x v="0"/>
    <m/>
    <x v="0"/>
    <x v="0"/>
  </r>
  <r>
    <s v="Michael Turner - Used Trade-In Product"/>
    <n v="10"/>
    <n v="5"/>
    <d v="2026-01-11T09:44:33"/>
    <n v="5117383"/>
    <s v="Used Trade-In Product"/>
    <m/>
    <s v="Michael Turner"/>
    <m/>
    <s v="m_turner@mac.com"/>
    <m/>
    <m/>
    <m/>
    <s v="5 years 1 months"/>
    <s v="No"/>
    <m/>
    <m/>
    <s v="m_turner@mac.com"/>
    <s v="61"/>
    <m/>
    <m/>
    <m/>
    <m/>
    <m/>
    <m/>
    <m/>
    <m/>
    <d v="2026-01-12T12:41:26"/>
    <d v="2026-01-09T14:16:51"/>
    <m/>
    <s v="1131846"/>
    <m/>
    <m/>
    <m/>
    <m/>
    <m/>
    <m/>
    <m/>
    <m/>
    <m/>
    <m/>
    <m/>
    <m/>
    <m/>
    <m/>
    <m/>
    <m/>
    <m/>
    <m/>
    <m/>
    <m/>
    <m/>
    <m/>
    <s v="https://bnh.lightning.force.com/0012L00001BN9FQQA1"/>
    <m/>
    <m/>
    <m/>
    <m/>
    <m/>
    <m/>
    <m/>
    <m/>
    <m/>
    <m/>
    <m/>
    <m/>
    <m/>
    <m/>
    <m/>
    <m/>
    <m/>
    <m/>
    <m/>
    <m/>
    <m/>
    <m/>
    <m/>
    <m/>
    <m/>
    <m/>
    <m/>
    <m/>
    <m/>
    <m/>
    <m/>
    <m/>
    <m/>
    <m/>
    <m/>
    <m/>
    <m/>
    <m/>
    <s v="CAD"/>
    <m/>
    <s v="No"/>
    <s v="Gershon Orenstein"/>
    <s v="Gershon Orenstein"/>
    <d v="2026-01-11T09:44:10"/>
    <s v="Promoter"/>
    <s v="Closed"/>
    <m/>
    <m/>
    <s v="Yes"/>
    <m/>
    <m/>
    <m/>
    <m/>
    <m/>
    <m/>
    <m/>
    <m/>
    <m/>
    <m/>
    <m/>
    <m/>
    <m/>
    <m/>
    <m/>
    <m/>
    <s v="These scores reflect the reason that I have done business with B&amp;H Photo for over 30 years."/>
    <m/>
    <m/>
    <m/>
    <m/>
    <m/>
    <m/>
    <m/>
    <m/>
    <m/>
    <m/>
    <m/>
    <m/>
    <m/>
    <m/>
    <m/>
    <m/>
    <m/>
    <m/>
    <m/>
    <m/>
    <m/>
    <m/>
    <m/>
    <m/>
    <m/>
    <m/>
    <m/>
    <m/>
    <m/>
    <m/>
    <m/>
    <m/>
    <m/>
    <m/>
    <m/>
    <m/>
    <m/>
    <m/>
    <m/>
    <m/>
    <m/>
    <m/>
    <m/>
    <m/>
    <m/>
    <m/>
    <m/>
    <m/>
    <m/>
    <m/>
    <m/>
    <m/>
    <m/>
    <m/>
    <m/>
    <m/>
    <m/>
    <m/>
    <m/>
    <m/>
    <m/>
    <m/>
    <m/>
    <m/>
    <m/>
    <m/>
    <m/>
    <m/>
    <m/>
    <m/>
    <m/>
    <m/>
    <m/>
    <m/>
    <m/>
    <m/>
    <m/>
    <m/>
    <m/>
    <m/>
    <m/>
    <m/>
    <m/>
    <m/>
    <m/>
    <m/>
    <m/>
    <s v="These scores reflect the reason that I have done business with B&amp;H Photo for over 30 year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Loyalty &gt;"/>
    <m/>
    <m/>
    <m/>
    <s v="B&amp;H &gt; Loyalty &gt; (Positive)"/>
    <s v="Yes"/>
    <s v="Yes"/>
    <m/>
    <x v="17"/>
    <x v="0"/>
    <x v="0"/>
    <m/>
    <x v="0"/>
    <x v="0"/>
  </r>
  <r>
    <s v="Chase Fallucco - Used Trade-In Product"/>
    <n v="10"/>
    <n v="4"/>
    <d v="2026-01-10T17:28:28"/>
    <n v="5116959"/>
    <s v="Used Trade-In Product"/>
    <m/>
    <s v="Chase Fallucco"/>
    <m/>
    <s v="179970@esj.org"/>
    <m/>
    <m/>
    <m/>
    <s v="6 months"/>
    <s v="No"/>
    <m/>
    <m/>
    <s v="179970@esj.org"/>
    <s v="6"/>
    <m/>
    <m/>
    <m/>
    <m/>
    <m/>
    <m/>
    <m/>
    <m/>
    <d v="2026-01-12T12:06:53"/>
    <d v="2026-01-09T14:16:43"/>
    <m/>
    <s v="1132598"/>
    <m/>
    <m/>
    <m/>
    <m/>
    <m/>
    <m/>
    <m/>
    <m/>
    <m/>
    <m/>
    <m/>
    <m/>
    <m/>
    <m/>
    <m/>
    <m/>
    <m/>
    <m/>
    <m/>
    <m/>
    <m/>
    <m/>
    <s v="https://bnh.lightning.force.com/001Hs00005WeLxfIAF"/>
    <m/>
    <m/>
    <m/>
    <m/>
    <m/>
    <m/>
    <m/>
    <m/>
    <m/>
    <m/>
    <m/>
    <m/>
    <m/>
    <m/>
    <m/>
    <m/>
    <m/>
    <m/>
    <m/>
    <m/>
    <m/>
    <m/>
    <m/>
    <m/>
    <m/>
    <m/>
    <m/>
    <m/>
    <m/>
    <m/>
    <m/>
    <m/>
    <m/>
    <m/>
    <m/>
    <m/>
    <m/>
    <m/>
    <s v="CAD"/>
    <m/>
    <s v="No"/>
    <s v="Gershon Orenstein"/>
    <s v="Gershon Orenstein"/>
    <d v="2026-01-10T17:25:46"/>
    <s v="Promoter"/>
    <s v="Closed"/>
    <m/>
    <m/>
    <s v="Yes"/>
    <m/>
    <m/>
    <m/>
    <m/>
    <m/>
    <m/>
    <m/>
    <m/>
    <m/>
    <m/>
    <m/>
    <m/>
    <m/>
    <m/>
    <m/>
    <m/>
    <s v="Good communication and overall straightforward to use."/>
    <m/>
    <m/>
    <m/>
    <m/>
    <s v="I would have liked the original quote to be a bit higher for the gear I was selling to B&amp;H."/>
    <m/>
    <m/>
    <m/>
    <m/>
    <m/>
    <m/>
    <m/>
    <m/>
    <m/>
    <m/>
    <m/>
    <m/>
    <m/>
    <m/>
    <m/>
    <m/>
    <m/>
    <m/>
    <m/>
    <m/>
    <m/>
    <m/>
    <m/>
    <m/>
    <m/>
    <m/>
    <m/>
    <m/>
    <m/>
    <m/>
    <m/>
    <m/>
    <m/>
    <m/>
    <m/>
    <m/>
    <m/>
    <m/>
    <m/>
    <m/>
    <m/>
    <m/>
    <m/>
    <m/>
    <m/>
    <m/>
    <m/>
    <m/>
    <m/>
    <m/>
    <m/>
    <m/>
    <m/>
    <m/>
    <m/>
    <m/>
    <m/>
    <m/>
    <m/>
    <m/>
    <m/>
    <m/>
    <m/>
    <m/>
    <m/>
    <m/>
    <m/>
    <m/>
    <m/>
    <m/>
    <m/>
    <m/>
    <m/>
    <m/>
    <m/>
    <m/>
    <m/>
    <m/>
    <m/>
    <m/>
    <m/>
    <m/>
    <s v="Good communication and overall straightforward to use."/>
    <s v="I would have liked the original quote to be a bit higher for the gear I was selling to B&amp;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3"/>
    <n v="5"/>
    <m/>
    <m/>
    <m/>
    <m/>
    <m/>
    <m/>
    <n v="5"/>
    <n v="5"/>
    <n v="5"/>
    <n v="3"/>
    <m/>
    <m/>
    <m/>
    <m/>
    <m/>
    <m/>
    <m/>
    <m/>
    <m/>
    <m/>
    <m/>
    <m/>
    <m/>
    <m/>
    <m/>
    <m/>
    <m/>
    <m/>
    <m/>
    <m/>
    <m/>
    <m/>
    <m/>
    <m/>
    <m/>
    <m/>
    <m/>
    <m/>
    <m/>
    <m/>
    <m/>
    <m/>
    <m/>
    <m/>
    <m/>
    <m/>
    <m/>
    <m/>
    <m/>
    <m/>
    <m/>
    <m/>
    <m/>
    <m/>
    <m/>
    <m/>
    <m/>
    <m/>
    <m/>
    <m/>
    <m/>
    <m/>
    <m/>
    <m/>
    <m/>
    <m/>
    <m/>
    <m/>
    <m/>
    <m/>
    <m/>
    <m/>
    <m/>
    <m/>
    <m/>
    <m/>
    <m/>
    <m/>
    <m/>
    <m/>
    <m/>
    <m/>
    <m/>
    <m/>
    <m/>
    <m/>
    <m/>
    <m/>
    <m/>
    <m/>
    <m/>
    <m/>
    <m/>
    <m/>
    <m/>
    <m/>
    <m/>
    <m/>
    <m/>
    <m/>
    <m/>
    <m/>
    <m/>
    <m/>
    <m/>
    <m/>
    <m/>
    <m/>
    <m/>
    <m/>
    <m/>
    <s v="Trade In &gt; Overall Process &gt;, Trade In &gt; Quote Price &gt;, Used &gt; Description &gt;"/>
    <s v="Trade In &gt; Overall Process &gt;, Trade In &gt; Quote Price &gt;"/>
    <m/>
    <m/>
    <s v="Trade In &gt; Overall Process &gt; (Negative), Trade In &gt; Quote Price &gt; (Negative), Used &gt; Description &gt; (Positive)"/>
    <s v="Trade In &gt; Overall Process &gt; (Positive), Trade In &gt; Quote Price &gt; (Negative)"/>
    <s v="Yes"/>
    <s v="No"/>
    <m/>
    <x v="25"/>
    <x v="21"/>
    <x v="0"/>
    <m/>
    <x v="0"/>
    <x v="0"/>
  </r>
  <r>
    <s v="Scott Socolofsky - Used Trade-In Product"/>
    <n v="10"/>
    <n v="5"/>
    <d v="2026-01-10T12:13:43"/>
    <n v="5116841"/>
    <s v="Used Trade-In Product"/>
    <m/>
    <s v="Scott Socolofsky"/>
    <m/>
    <s v="socolofs@tamu.edu"/>
    <m/>
    <m/>
    <m/>
    <s v="1 months"/>
    <s v="No"/>
    <m/>
    <m/>
    <s v="socolofs@tamu.edu"/>
    <s v="1"/>
    <m/>
    <m/>
    <m/>
    <m/>
    <m/>
    <m/>
    <m/>
    <m/>
    <d v="2026-01-12T12:02:26"/>
    <d v="2026-01-08T18:19:32"/>
    <m/>
    <s v="1132371"/>
    <m/>
    <m/>
    <m/>
    <m/>
    <m/>
    <m/>
    <m/>
    <m/>
    <m/>
    <m/>
    <m/>
    <m/>
    <m/>
    <m/>
    <m/>
    <m/>
    <m/>
    <m/>
    <m/>
    <m/>
    <m/>
    <m/>
    <s v="https://bnh.lightning.force.com/001WP00000nqBBPYA2"/>
    <m/>
    <m/>
    <m/>
    <m/>
    <m/>
    <m/>
    <m/>
    <m/>
    <m/>
    <m/>
    <m/>
    <m/>
    <m/>
    <m/>
    <m/>
    <m/>
    <m/>
    <m/>
    <m/>
    <m/>
    <m/>
    <m/>
    <m/>
    <m/>
    <m/>
    <m/>
    <m/>
    <m/>
    <m/>
    <m/>
    <m/>
    <m/>
    <m/>
    <m/>
    <m/>
    <m/>
    <m/>
    <m/>
    <s v="CAD"/>
    <m/>
    <s v="No"/>
    <s v="Gershon Orenstein"/>
    <s v="Gershon Orenstein"/>
    <d v="2026-01-10T12:12:12"/>
    <s v="Promoter"/>
    <s v="Closed"/>
    <m/>
    <m/>
    <s v="Yes"/>
    <m/>
    <m/>
    <m/>
    <m/>
    <m/>
    <m/>
    <m/>
    <m/>
    <m/>
    <m/>
    <m/>
    <m/>
    <m/>
    <m/>
    <m/>
    <m/>
    <s v="The online quote system was very easy to use, and B&amp;H evaluated our equipment exactly as quoted online."/>
    <m/>
    <m/>
    <m/>
    <m/>
    <s v="It was not clear on the website whether I would receive a different amount if I select &quot;cash&quot; or &quot;gift card&quot;.  It did turn out that the gift-card option included a 10% bonus.  I was happy about that, but I would have been more confident in my decision to go with the gift card if the quote system made this difference obvious."/>
    <m/>
    <m/>
    <m/>
    <m/>
    <m/>
    <m/>
    <m/>
    <m/>
    <m/>
    <m/>
    <m/>
    <m/>
    <m/>
    <m/>
    <m/>
    <m/>
    <m/>
    <m/>
    <m/>
    <m/>
    <m/>
    <m/>
    <m/>
    <m/>
    <m/>
    <m/>
    <m/>
    <m/>
    <m/>
    <m/>
    <m/>
    <m/>
    <m/>
    <m/>
    <m/>
    <m/>
    <m/>
    <m/>
    <m/>
    <m/>
    <m/>
    <m/>
    <m/>
    <m/>
    <m/>
    <m/>
    <m/>
    <m/>
    <m/>
    <m/>
    <m/>
    <m/>
    <m/>
    <m/>
    <m/>
    <m/>
    <m/>
    <m/>
    <m/>
    <m/>
    <m/>
    <m/>
    <m/>
    <m/>
    <m/>
    <m/>
    <m/>
    <m/>
    <m/>
    <m/>
    <m/>
    <m/>
    <m/>
    <m/>
    <m/>
    <m/>
    <m/>
    <m/>
    <m/>
    <m/>
    <m/>
    <m/>
    <s v="The online quote system was very easy to use, and B&amp;H evaluated our equipment exactly as quoted online."/>
    <s v="It was not clear on the website whether I would receive a different amount if I select &quot;cash&quot; or &quot;gift card&quot;.  It did turn out that the gift-card option included a 10% bonus.  I was happy about that, but I would have been more confident in my decision to go with the gift card if the quote system made this difference obviou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Website &gt; Content Product Details / Information &gt;"/>
    <s v="Trade In &gt; Overall Process &gt;, Trade In &gt; Timeliness of Quote &gt;"/>
    <m/>
    <m/>
    <s v="Trade In &gt; Overall Process &gt; (Negative), Trade In &gt; Overall Process &gt; (Positive), Website &gt; Content Product Details / Information &gt; (Negative)"/>
    <s v="Trade In &gt; Overall Process &gt; (Negative), Trade In &gt; Overall Process &gt; (Positive), Trade In &gt; Timeliness of Quote &gt; (Positive)"/>
    <s v="Yes"/>
    <s v="No"/>
    <m/>
    <x v="13"/>
    <x v="9"/>
    <x v="34"/>
    <m/>
    <x v="0"/>
    <x v="0"/>
  </r>
  <r>
    <s v="Ryan Curran - Used Trade-In Product"/>
    <n v="10"/>
    <n v="5"/>
    <d v="2026-01-09T20:58:59"/>
    <n v="5116537"/>
    <s v="Used Trade-In Product"/>
    <m/>
    <s v="Ryan Curran"/>
    <m/>
    <s v="rcurran007@gmail.com"/>
    <m/>
    <m/>
    <m/>
    <s v="1 months"/>
    <s v="Yes"/>
    <m/>
    <m/>
    <s v="rcurran007@gmail.com"/>
    <s v="1"/>
    <m/>
    <m/>
    <m/>
    <m/>
    <m/>
    <m/>
    <m/>
    <m/>
    <d v="2026-01-12T10:36:27"/>
    <d v="2026-01-06T15:18:53"/>
    <m/>
    <s v="1131658"/>
    <m/>
    <m/>
    <m/>
    <m/>
    <m/>
    <m/>
    <m/>
    <m/>
    <m/>
    <m/>
    <m/>
    <m/>
    <m/>
    <m/>
    <m/>
    <m/>
    <m/>
    <m/>
    <m/>
    <m/>
    <m/>
    <m/>
    <s v="https://bnh.lightning.force.com/0018X00003W9AatQAF"/>
    <m/>
    <m/>
    <m/>
    <m/>
    <m/>
    <m/>
    <m/>
    <m/>
    <m/>
    <m/>
    <m/>
    <m/>
    <m/>
    <m/>
    <m/>
    <m/>
    <m/>
    <m/>
    <m/>
    <m/>
    <m/>
    <m/>
    <m/>
    <m/>
    <m/>
    <m/>
    <m/>
    <m/>
    <m/>
    <m/>
    <m/>
    <m/>
    <m/>
    <m/>
    <m/>
    <m/>
    <m/>
    <m/>
    <s v="CAD"/>
    <m/>
    <s v="No"/>
    <s v="Gershon Orenstein"/>
    <s v="Gershon Orenstein"/>
    <d v="2026-01-09T20:58:39"/>
    <s v="Promoter"/>
    <s v="Closed"/>
    <m/>
    <m/>
    <s v="Yes"/>
    <m/>
    <m/>
    <m/>
    <m/>
    <m/>
    <m/>
    <m/>
    <m/>
    <m/>
    <m/>
    <m/>
    <m/>
    <m/>
    <m/>
    <m/>
    <m/>
    <s v="Browsing the website and comparing gear is easy"/>
    <m/>
    <m/>
    <m/>
    <m/>
    <s v="My trade in credit had to be applied over the phone. Seems like it should be redeemable via the web as well."/>
    <m/>
    <m/>
    <m/>
    <m/>
    <m/>
    <m/>
    <m/>
    <m/>
    <m/>
    <m/>
    <m/>
    <m/>
    <m/>
    <m/>
    <m/>
    <m/>
    <m/>
    <m/>
    <m/>
    <m/>
    <m/>
    <m/>
    <m/>
    <m/>
    <m/>
    <m/>
    <m/>
    <m/>
    <m/>
    <m/>
    <m/>
    <m/>
    <m/>
    <m/>
    <m/>
    <m/>
    <m/>
    <m/>
    <m/>
    <m/>
    <m/>
    <m/>
    <m/>
    <m/>
    <m/>
    <m/>
    <m/>
    <m/>
    <m/>
    <m/>
    <m/>
    <m/>
    <m/>
    <m/>
    <m/>
    <m/>
    <m/>
    <m/>
    <m/>
    <m/>
    <m/>
    <m/>
    <m/>
    <m/>
    <m/>
    <m/>
    <m/>
    <m/>
    <m/>
    <m/>
    <m/>
    <m/>
    <m/>
    <m/>
    <m/>
    <m/>
    <m/>
    <m/>
    <m/>
    <m/>
    <m/>
    <m/>
    <s v="Browsing the website and comparing gear is easy"/>
    <s v="My trade in credit had to be applied over the phone. Seems like it should be redeemable via the web as well."/>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Website &gt; Navigation &gt;"/>
    <s v="Trade In &gt; Overall Process &gt;, Website &gt; Comparison / Compatibility Feature &gt;, Website &gt; Navigation &gt;"/>
    <m/>
    <m/>
    <s v="Website &gt; Navigation &gt; (Positive)"/>
    <s v="Trade In &gt; Overall Process &gt; (Negative), Website &gt; Comparison / Compatibility Feature &gt; (Positive), Website &gt; Navigation &gt; (Positive)"/>
    <s v="Yes"/>
    <s v="Yes"/>
    <m/>
    <x v="26"/>
    <x v="29"/>
    <x v="0"/>
    <m/>
    <x v="0"/>
    <x v="0"/>
  </r>
  <r>
    <s v="Tanya Poeggel - Used Trade-In Product"/>
    <n v="10"/>
    <n v="5"/>
    <d v="2026-01-09T11:58:40"/>
    <n v="5115755"/>
    <s v="Used Trade-In Product"/>
    <m/>
    <s v="Tanya Poeggel"/>
    <m/>
    <s v="trpoeggel@aol.com"/>
    <m/>
    <m/>
    <m/>
    <s v="1 months"/>
    <s v="No"/>
    <m/>
    <m/>
    <s v="trpoeggel@aol.com"/>
    <s v="1"/>
    <m/>
    <m/>
    <m/>
    <m/>
    <m/>
    <m/>
    <m/>
    <m/>
    <d v="2026-01-12T08:47:49"/>
    <d v="2026-01-09T14:16:52"/>
    <m/>
    <s v="1132407"/>
    <m/>
    <m/>
    <m/>
    <m/>
    <m/>
    <m/>
    <m/>
    <m/>
    <m/>
    <m/>
    <m/>
    <m/>
    <m/>
    <m/>
    <m/>
    <m/>
    <m/>
    <m/>
    <m/>
    <m/>
    <m/>
    <m/>
    <s v="https://bnh.lightning.force.com/001WP00000nrYCIYA2"/>
    <m/>
    <m/>
    <m/>
    <m/>
    <m/>
    <m/>
    <m/>
    <m/>
    <m/>
    <m/>
    <m/>
    <m/>
    <m/>
    <m/>
    <m/>
    <m/>
    <m/>
    <m/>
    <m/>
    <m/>
    <m/>
    <m/>
    <m/>
    <m/>
    <m/>
    <m/>
    <m/>
    <m/>
    <m/>
    <m/>
    <m/>
    <m/>
    <m/>
    <m/>
    <m/>
    <m/>
    <m/>
    <m/>
    <s v="CAD"/>
    <m/>
    <s v="No"/>
    <s v="Sergio Jonusas,Emily Schreier"/>
    <s v="Emily Schreier"/>
    <d v="2026-01-09T12:11:54"/>
    <s v="Promoter"/>
    <s v="Closed"/>
    <m/>
    <m/>
    <s v="Yes"/>
    <m/>
    <m/>
    <m/>
    <m/>
    <m/>
    <m/>
    <m/>
    <m/>
    <m/>
    <m/>
    <m/>
    <m/>
    <m/>
    <m/>
    <m/>
    <m/>
    <s v="Such an easy process, communication was excellent, encourages me to use B&amp;H for my photography purchases in the future. Thank you!"/>
    <m/>
    <m/>
    <m/>
    <m/>
    <s v="There is not one think I can think of that I would improve on with this experience."/>
    <m/>
    <m/>
    <m/>
    <m/>
    <m/>
    <m/>
    <m/>
    <m/>
    <m/>
    <m/>
    <m/>
    <m/>
    <m/>
    <m/>
    <m/>
    <m/>
    <m/>
    <m/>
    <m/>
    <m/>
    <m/>
    <m/>
    <m/>
    <m/>
    <m/>
    <m/>
    <m/>
    <m/>
    <m/>
    <m/>
    <m/>
    <m/>
    <m/>
    <m/>
    <m/>
    <m/>
    <m/>
    <m/>
    <m/>
    <m/>
    <m/>
    <m/>
    <m/>
    <m/>
    <m/>
    <m/>
    <m/>
    <m/>
    <m/>
    <m/>
    <m/>
    <m/>
    <m/>
    <m/>
    <m/>
    <m/>
    <m/>
    <m/>
    <m/>
    <m/>
    <m/>
    <m/>
    <m/>
    <m/>
    <m/>
    <m/>
    <m/>
    <m/>
    <m/>
    <m/>
    <m/>
    <m/>
    <m/>
    <m/>
    <m/>
    <m/>
    <m/>
    <m/>
    <m/>
    <m/>
    <m/>
    <m/>
    <s v="Such an easy process, communication was excellent, encourages me to use B&amp;H for my photography purchases in the future. Thank you!"/>
    <s v="There is not one think I can think of that I would improve on with this experienc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n v="5"/>
    <m/>
    <m/>
    <m/>
    <m/>
    <m/>
    <m/>
    <m/>
    <m/>
    <m/>
    <m/>
    <m/>
    <m/>
    <m/>
    <m/>
    <m/>
    <m/>
    <m/>
    <m/>
    <m/>
    <m/>
    <m/>
    <m/>
    <m/>
    <m/>
    <m/>
    <m/>
    <m/>
    <m/>
    <m/>
    <m/>
    <m/>
    <m/>
    <m/>
    <m/>
    <m/>
    <m/>
    <m/>
    <m/>
    <m/>
    <m/>
    <m/>
    <m/>
    <m/>
    <m/>
    <m/>
    <m/>
    <m/>
    <m/>
    <m/>
    <m/>
    <m/>
    <m/>
    <m/>
    <m/>
    <m/>
    <m/>
    <m/>
    <m/>
    <m/>
    <m/>
    <m/>
    <m/>
    <m/>
    <m/>
    <m/>
    <m/>
    <m/>
    <m/>
    <m/>
    <m/>
    <m/>
    <m/>
    <m/>
    <m/>
    <m/>
    <m/>
    <m/>
    <m/>
    <m/>
    <m/>
    <m/>
    <m/>
    <m/>
    <m/>
    <m/>
    <m/>
    <m/>
    <m/>
    <m/>
    <m/>
    <m/>
    <m/>
    <m/>
    <m/>
    <m/>
    <m/>
    <m/>
    <m/>
    <m/>
    <m/>
    <m/>
    <s v="Trade In &gt; Overall Process &gt;, Used &gt; Description &gt;"/>
    <s v="Trade In &gt; Overall Process &gt;"/>
    <m/>
    <m/>
    <s v="Trade In &gt; Overall Process &gt; (Positive), Used &gt; Description &gt; (Positive)"/>
    <s v="Trade In &gt; Overall Process &gt; (Positive)"/>
    <s v="Yes"/>
    <s v="Yes"/>
    <m/>
    <x v="0"/>
    <x v="21"/>
    <x v="0"/>
    <m/>
    <x v="0"/>
    <x v="0"/>
  </r>
  <r>
    <s v="Yajaira Valle - Used Trade-In Product"/>
    <n v="9"/>
    <n v="4"/>
    <d v="2026-01-09T09:35:26"/>
    <n v="5115321"/>
    <s v="Used Trade-In Product"/>
    <m/>
    <s v="Yajaira Valle"/>
    <m/>
    <s v="yajairavalle81@gmail.com"/>
    <m/>
    <m/>
    <m/>
    <s v="6 months"/>
    <s v="No"/>
    <m/>
    <m/>
    <s v="yajairavalle81@gmail.com"/>
    <s v="6"/>
    <m/>
    <m/>
    <m/>
    <m/>
    <m/>
    <m/>
    <m/>
    <m/>
    <d v="2026-01-09T11:20:16"/>
    <d v="2025-08-15T12:41:44"/>
    <m/>
    <s v="1088842"/>
    <m/>
    <m/>
    <m/>
    <m/>
    <m/>
    <m/>
    <m/>
    <m/>
    <m/>
    <m/>
    <m/>
    <m/>
    <m/>
    <m/>
    <m/>
    <m/>
    <m/>
    <m/>
    <m/>
    <m/>
    <m/>
    <m/>
    <s v="https://bnh.lightning.force.com/001Hs00005NSe0JIAT"/>
    <m/>
    <m/>
    <m/>
    <m/>
    <m/>
    <m/>
    <m/>
    <m/>
    <m/>
    <m/>
    <m/>
    <m/>
    <m/>
    <m/>
    <m/>
    <m/>
    <m/>
    <m/>
    <m/>
    <m/>
    <m/>
    <m/>
    <m/>
    <m/>
    <m/>
    <m/>
    <m/>
    <m/>
    <m/>
    <m/>
    <m/>
    <m/>
    <m/>
    <m/>
    <m/>
    <m/>
    <m/>
    <m/>
    <s v="CAD"/>
    <m/>
    <s v="No"/>
    <s v="Sergio Jonusas"/>
    <s v="Sergio Jonusas"/>
    <d v="2026-01-09T09:45:54"/>
    <s v="Promoter"/>
    <s v="Closed"/>
    <m/>
    <m/>
    <s v="Yes"/>
    <m/>
    <m/>
    <m/>
    <m/>
    <m/>
    <m/>
    <m/>
    <m/>
    <m/>
    <m/>
    <m/>
    <m/>
    <m/>
    <m/>
    <m/>
    <m/>
    <s v="Everything"/>
    <m/>
    <m/>
    <m/>
    <m/>
    <s v="I liked everything"/>
    <m/>
    <m/>
    <m/>
    <m/>
    <m/>
    <m/>
    <m/>
    <m/>
    <m/>
    <m/>
    <m/>
    <m/>
    <m/>
    <m/>
    <m/>
    <m/>
    <m/>
    <m/>
    <m/>
    <m/>
    <m/>
    <m/>
    <m/>
    <m/>
    <m/>
    <m/>
    <m/>
    <m/>
    <m/>
    <m/>
    <m/>
    <m/>
    <m/>
    <m/>
    <m/>
    <m/>
    <m/>
    <m/>
    <m/>
    <m/>
    <m/>
    <m/>
    <m/>
    <m/>
    <m/>
    <m/>
    <m/>
    <m/>
    <m/>
    <m/>
    <m/>
    <m/>
    <m/>
    <m/>
    <m/>
    <m/>
    <m/>
    <m/>
    <m/>
    <m/>
    <m/>
    <m/>
    <m/>
    <m/>
    <m/>
    <m/>
    <m/>
    <m/>
    <m/>
    <m/>
    <m/>
    <m/>
    <m/>
    <m/>
    <m/>
    <m/>
    <m/>
    <m/>
    <m/>
    <m/>
    <m/>
    <m/>
    <s v="Everything"/>
    <s v="I liked every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s v="N/A"/>
    <s v="N/A"/>
    <n v="4"/>
    <n v="5"/>
    <m/>
    <m/>
    <m/>
    <m/>
    <m/>
    <m/>
    <m/>
    <m/>
    <m/>
    <m/>
    <m/>
    <m/>
    <m/>
    <m/>
    <m/>
    <m/>
    <m/>
    <m/>
    <m/>
    <m/>
    <m/>
    <m/>
    <m/>
    <m/>
    <m/>
    <m/>
    <m/>
    <m/>
    <m/>
    <m/>
    <m/>
    <m/>
    <m/>
    <m/>
    <m/>
    <m/>
    <m/>
    <m/>
    <m/>
    <m/>
    <m/>
    <m/>
    <m/>
    <m/>
    <m/>
    <m/>
    <m/>
    <m/>
    <m/>
    <m/>
    <m/>
    <m/>
    <m/>
    <m/>
    <m/>
    <m/>
    <m/>
    <m/>
    <m/>
    <m/>
    <m/>
    <m/>
    <m/>
    <m/>
    <m/>
    <m/>
    <m/>
    <m/>
    <m/>
    <m/>
    <m/>
    <m/>
    <m/>
    <m/>
    <m/>
    <m/>
    <m/>
    <m/>
    <m/>
    <m/>
    <m/>
    <m/>
    <m/>
    <m/>
    <m/>
    <m/>
    <m/>
    <m/>
    <m/>
    <m/>
    <m/>
    <m/>
    <m/>
    <m/>
    <m/>
    <m/>
    <m/>
    <m/>
    <m/>
    <m/>
    <m/>
    <s v="B&amp;H &gt; Satisfaction &gt;"/>
    <s v="B&amp;H &gt; Satisfaction &gt;"/>
    <m/>
    <m/>
    <s v="B&amp;H &gt; Satisfaction &gt; (Positive)"/>
    <s v="B&amp;H &gt; Satisfaction &gt; (Positive)"/>
    <s v="No"/>
    <s v="No"/>
    <m/>
    <x v="25"/>
    <x v="0"/>
    <x v="0"/>
    <m/>
    <x v="0"/>
    <x v="0"/>
  </r>
  <r>
    <s v="Eric Davis - Used Trade-In Product"/>
    <n v="10"/>
    <n v="5"/>
    <d v="2026-01-09T09:24:55"/>
    <n v="5115239"/>
    <s v="Used Trade-In Product"/>
    <m/>
    <s v="Eric Davis"/>
    <m/>
    <s v="eric.davis@alpa.org"/>
    <m/>
    <m/>
    <m/>
    <s v="9 years 7 months"/>
    <s v="No"/>
    <m/>
    <m/>
    <s v="eric.davis@alpa.org"/>
    <s v="115"/>
    <m/>
    <m/>
    <m/>
    <m/>
    <m/>
    <m/>
    <m/>
    <m/>
    <d v="2026-01-09T09:59:07"/>
    <d v="2026-01-08T20:24:06"/>
    <m/>
    <s v="1114842"/>
    <m/>
    <m/>
    <m/>
    <m/>
    <m/>
    <m/>
    <m/>
    <m/>
    <m/>
    <m/>
    <m/>
    <m/>
    <m/>
    <m/>
    <m/>
    <m/>
    <m/>
    <m/>
    <m/>
    <m/>
    <m/>
    <m/>
    <s v="https://bnh.lightning.force.com/0011a00000UawxfAAB"/>
    <m/>
    <m/>
    <m/>
    <m/>
    <m/>
    <m/>
    <m/>
    <m/>
    <m/>
    <m/>
    <m/>
    <m/>
    <m/>
    <m/>
    <m/>
    <m/>
    <m/>
    <m/>
    <m/>
    <m/>
    <m/>
    <m/>
    <m/>
    <m/>
    <m/>
    <m/>
    <m/>
    <m/>
    <m/>
    <m/>
    <m/>
    <m/>
    <m/>
    <m/>
    <m/>
    <m/>
    <m/>
    <m/>
    <s v="CAD"/>
    <m/>
    <s v="No"/>
    <s v="Sergio Jonusas"/>
    <s v="Sergio Jonusas"/>
    <d v="2026-01-09T09:30:11"/>
    <s v="Promoter"/>
    <s v="Closed"/>
    <m/>
    <m/>
    <s v="Yes"/>
    <m/>
    <m/>
    <m/>
    <m/>
    <m/>
    <m/>
    <m/>
    <m/>
    <m/>
    <m/>
    <m/>
    <m/>
    <m/>
    <m/>
    <m/>
    <m/>
    <s v="Selling back was much less painful than I had expected. You all made the experience easy."/>
    <m/>
    <m/>
    <m/>
    <m/>
    <s v="I wish we had gotten more for the gear, but feel the trade-off for making the experience easy was worth it."/>
    <m/>
    <m/>
    <m/>
    <m/>
    <m/>
    <m/>
    <m/>
    <m/>
    <m/>
    <m/>
    <m/>
    <m/>
    <m/>
    <m/>
    <m/>
    <m/>
    <m/>
    <m/>
    <m/>
    <m/>
    <m/>
    <m/>
    <m/>
    <m/>
    <m/>
    <m/>
    <m/>
    <m/>
    <m/>
    <m/>
    <m/>
    <m/>
    <m/>
    <m/>
    <m/>
    <m/>
    <m/>
    <m/>
    <m/>
    <m/>
    <m/>
    <m/>
    <m/>
    <m/>
    <m/>
    <m/>
    <m/>
    <m/>
    <m/>
    <m/>
    <m/>
    <m/>
    <m/>
    <m/>
    <m/>
    <m/>
    <m/>
    <m/>
    <m/>
    <m/>
    <m/>
    <m/>
    <m/>
    <m/>
    <m/>
    <m/>
    <m/>
    <m/>
    <m/>
    <m/>
    <m/>
    <m/>
    <m/>
    <m/>
    <m/>
    <m/>
    <m/>
    <m/>
    <m/>
    <m/>
    <m/>
    <m/>
    <s v="Selling back was much less painful than I had expected. You all made the experience easy."/>
    <s v="I wish we had gotten more for the gear, but feel the trade-off for making the experience easy was worth i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s v="N/A"/>
    <n v="5"/>
    <m/>
    <m/>
    <m/>
    <m/>
    <m/>
    <m/>
    <n v="5"/>
    <n v="4"/>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Quote Price &gt;"/>
    <m/>
    <m/>
    <s v="Trade In &gt; Overall Process &gt; (Positive)"/>
    <s v="Trade In &gt; Overall Process &gt; (Positive), Trade In &gt; Quote Price &gt; (Negative)"/>
    <s v="Yes"/>
    <s v="No"/>
    <m/>
    <x v="0"/>
    <x v="8"/>
    <x v="0"/>
    <m/>
    <x v="0"/>
    <x v="0"/>
  </r>
  <r>
    <s v="Eldon Thomason - Used Trade-In Product"/>
    <n v="10"/>
    <n v="5"/>
    <d v="2026-01-08T20:23:49"/>
    <n v="5114605"/>
    <s v="Used Trade-In Product"/>
    <m/>
    <s v="Eldon Thomason"/>
    <m/>
    <s v="tom_347@yahoo.com"/>
    <m/>
    <m/>
    <m/>
    <s v="1 months"/>
    <s v="No"/>
    <m/>
    <m/>
    <s v="tom_347@yahoo.com"/>
    <s v="1"/>
    <m/>
    <m/>
    <m/>
    <m/>
    <m/>
    <m/>
    <m/>
    <m/>
    <d v="2026-01-09T08:58:24"/>
    <d v="2026-01-07T12:48:24"/>
    <m/>
    <s v="1129434"/>
    <m/>
    <m/>
    <m/>
    <m/>
    <m/>
    <m/>
    <m/>
    <m/>
    <m/>
    <m/>
    <m/>
    <m/>
    <m/>
    <m/>
    <m/>
    <m/>
    <m/>
    <m/>
    <m/>
    <m/>
    <m/>
    <m/>
    <s v="https://bnh.lightning.force.com/001WP00000mBLTxYAO"/>
    <m/>
    <m/>
    <m/>
    <m/>
    <m/>
    <m/>
    <m/>
    <m/>
    <m/>
    <m/>
    <m/>
    <m/>
    <m/>
    <m/>
    <m/>
    <m/>
    <m/>
    <m/>
    <m/>
    <m/>
    <m/>
    <m/>
    <m/>
    <m/>
    <m/>
    <m/>
    <m/>
    <m/>
    <m/>
    <m/>
    <m/>
    <m/>
    <m/>
    <m/>
    <m/>
    <m/>
    <m/>
    <m/>
    <s v="CAD"/>
    <m/>
    <s v="No"/>
    <s v="Gershon Orenstein"/>
    <s v="Gershon Orenstein"/>
    <d v="2026-01-08T20:27:27"/>
    <s v="Promoter"/>
    <s v="Closed"/>
    <m/>
    <m/>
    <s v="Yes"/>
    <m/>
    <m/>
    <m/>
    <m/>
    <m/>
    <m/>
    <m/>
    <m/>
    <m/>
    <m/>
    <m/>
    <m/>
    <m/>
    <m/>
    <m/>
    <m/>
    <s v="Great communication! Very fair evaluation of my camera and gave me a good price for it. A very good experience."/>
    <m/>
    <m/>
    <m/>
    <m/>
    <s v="Nothing."/>
    <m/>
    <m/>
    <m/>
    <m/>
    <m/>
    <m/>
    <m/>
    <m/>
    <m/>
    <m/>
    <m/>
    <m/>
    <m/>
    <m/>
    <m/>
    <m/>
    <m/>
    <m/>
    <m/>
    <m/>
    <m/>
    <m/>
    <m/>
    <m/>
    <m/>
    <m/>
    <m/>
    <m/>
    <m/>
    <m/>
    <m/>
    <m/>
    <m/>
    <m/>
    <m/>
    <m/>
    <m/>
    <m/>
    <m/>
    <m/>
    <m/>
    <m/>
    <m/>
    <m/>
    <m/>
    <m/>
    <m/>
    <m/>
    <m/>
    <m/>
    <m/>
    <m/>
    <m/>
    <m/>
    <m/>
    <m/>
    <m/>
    <m/>
    <m/>
    <m/>
    <m/>
    <m/>
    <m/>
    <m/>
    <m/>
    <m/>
    <m/>
    <m/>
    <m/>
    <m/>
    <m/>
    <m/>
    <m/>
    <m/>
    <m/>
    <m/>
    <m/>
    <m/>
    <m/>
    <m/>
    <m/>
    <m/>
    <s v="Great communication! Very fair evaluation of my camera and gave me a good price for it. A very good experience."/>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Pricing &gt; Value for Money &gt;, Trade In &gt; Quote Price &gt;, Used &gt; Pricing &gt;"/>
    <s v="B&amp;H &gt; Satisfaction &gt;, People &gt; Communication Skills &gt;, Trade In &gt; Quote Price &gt;"/>
    <m/>
    <m/>
    <s v="B&amp;H &gt; Satisfaction &gt; (Positive), Pricing &gt; Value for Money &gt; (Positive), Trade In &gt; Quote Price &gt; (Positive), Used &gt; Pricing &gt; (Positive)"/>
    <s v="B&amp;H &gt; Satisfaction &gt; (Positive), People &gt; Communication Skills &gt; (Positive), Trade In &gt; Quote Price &gt; (Positive)"/>
    <s v="Yes"/>
    <s v="No"/>
    <m/>
    <x v="31"/>
    <x v="0"/>
    <x v="0"/>
    <m/>
    <x v="0"/>
    <x v="0"/>
  </r>
  <r>
    <s v="Nick Shirghio - Used Trade-In Product"/>
    <n v="10"/>
    <n v="5"/>
    <d v="2026-01-08T17:38:12"/>
    <n v="5114175"/>
    <s v="Used Trade-In Product"/>
    <m/>
    <s v="Nick Shirghio"/>
    <m/>
    <s v="nickphoto@gmail.com"/>
    <m/>
    <m/>
    <m/>
    <s v="15 years 1 months"/>
    <s v="Yes"/>
    <m/>
    <m/>
    <s v="nickphoto@gmail.com"/>
    <s v="181"/>
    <m/>
    <m/>
    <m/>
    <m/>
    <m/>
    <m/>
    <m/>
    <m/>
    <d v="2026-01-09T08:37:58"/>
    <d v="2026-01-08T12:42:00"/>
    <m/>
    <s v="1131117"/>
    <m/>
    <m/>
    <m/>
    <m/>
    <m/>
    <m/>
    <m/>
    <m/>
    <m/>
    <m/>
    <m/>
    <m/>
    <m/>
    <m/>
    <m/>
    <m/>
    <m/>
    <m/>
    <m/>
    <m/>
    <m/>
    <m/>
    <s v="https://bnh.lightning.force.com/0011a00000FmWZsAAN"/>
    <m/>
    <m/>
    <m/>
    <m/>
    <m/>
    <m/>
    <m/>
    <m/>
    <m/>
    <m/>
    <m/>
    <m/>
    <m/>
    <m/>
    <m/>
    <m/>
    <m/>
    <m/>
    <m/>
    <m/>
    <m/>
    <m/>
    <m/>
    <m/>
    <m/>
    <m/>
    <m/>
    <m/>
    <m/>
    <m/>
    <m/>
    <m/>
    <m/>
    <m/>
    <m/>
    <m/>
    <m/>
    <m/>
    <s v="CAD"/>
    <m/>
    <s v="No"/>
    <s v="Aine Hoye"/>
    <s v="Aine Hoye"/>
    <d v="2026-01-08T17:46:23"/>
    <s v="Promoter"/>
    <s v="Closed"/>
    <m/>
    <m/>
    <s v="Yes"/>
    <m/>
    <m/>
    <m/>
    <m/>
    <m/>
    <m/>
    <m/>
    <m/>
    <m/>
    <m/>
    <m/>
    <m/>
    <m/>
    <m/>
    <m/>
    <m/>
    <s v="Quick shipping and Quote!!"/>
    <m/>
    <m/>
    <m/>
    <m/>
    <s v="Still waiting for my check."/>
    <m/>
    <m/>
    <m/>
    <m/>
    <m/>
    <m/>
    <m/>
    <m/>
    <m/>
    <m/>
    <m/>
    <m/>
    <m/>
    <m/>
    <m/>
    <m/>
    <m/>
    <m/>
    <m/>
    <m/>
    <m/>
    <m/>
    <m/>
    <m/>
    <m/>
    <m/>
    <m/>
    <m/>
    <m/>
    <m/>
    <m/>
    <m/>
    <m/>
    <m/>
    <m/>
    <m/>
    <m/>
    <m/>
    <m/>
    <m/>
    <m/>
    <m/>
    <m/>
    <m/>
    <m/>
    <m/>
    <m/>
    <m/>
    <m/>
    <m/>
    <m/>
    <m/>
    <m/>
    <m/>
    <m/>
    <m/>
    <m/>
    <m/>
    <m/>
    <m/>
    <m/>
    <m/>
    <m/>
    <m/>
    <m/>
    <m/>
    <m/>
    <m/>
    <m/>
    <m/>
    <m/>
    <m/>
    <m/>
    <m/>
    <m/>
    <m/>
    <m/>
    <m/>
    <m/>
    <m/>
    <m/>
    <m/>
    <s v="Quick shipping and Quote!!"/>
    <s v="Still waiting for my check."/>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4"/>
    <n v="5"/>
    <m/>
    <m/>
    <m/>
    <m/>
    <m/>
    <m/>
    <n v="4"/>
    <n v="4"/>
    <n v="4"/>
    <n v="3"/>
    <m/>
    <m/>
    <m/>
    <m/>
    <m/>
    <m/>
    <m/>
    <m/>
    <m/>
    <m/>
    <m/>
    <m/>
    <m/>
    <m/>
    <m/>
    <m/>
    <m/>
    <m/>
    <m/>
    <m/>
    <m/>
    <m/>
    <m/>
    <m/>
    <m/>
    <m/>
    <m/>
    <m/>
    <m/>
    <m/>
    <m/>
    <m/>
    <m/>
    <m/>
    <m/>
    <m/>
    <m/>
    <m/>
    <m/>
    <m/>
    <m/>
    <m/>
    <m/>
    <m/>
    <m/>
    <m/>
    <m/>
    <m/>
    <m/>
    <m/>
    <m/>
    <m/>
    <m/>
    <m/>
    <m/>
    <m/>
    <m/>
    <m/>
    <m/>
    <m/>
    <m/>
    <m/>
    <m/>
    <m/>
    <m/>
    <m/>
    <m/>
    <m/>
    <m/>
    <m/>
    <m/>
    <m/>
    <m/>
    <m/>
    <m/>
    <m/>
    <m/>
    <m/>
    <m/>
    <m/>
    <m/>
    <m/>
    <m/>
    <m/>
    <m/>
    <m/>
    <m/>
    <m/>
    <m/>
    <m/>
    <m/>
    <m/>
    <m/>
    <m/>
    <m/>
    <m/>
    <m/>
    <m/>
    <m/>
    <m/>
    <m/>
    <s v="Trade In &gt; Overall Process &gt;, Trade In &gt; Timeliness of Quote &gt;, Warehouse Fulfillment &gt; Timeliness &gt;"/>
    <s v="Trade In &gt; Timeliness of Payment &gt;, Trade In &gt; Timeliness of Quote &gt;, Warehouse Fulfillment &gt; Timeliness &gt;"/>
    <m/>
    <m/>
    <s v="Trade In &gt; Overall Process &gt; (Positive), Trade In &gt; Timeliness of Quote &gt; (Positive), Warehouse Fulfillment &gt; Timeliness &gt; (Positive)"/>
    <s v="Trade In &gt; Timeliness of Payment &gt; (Negative), Trade In &gt; Timeliness of Quote &gt; (Positive), Warehouse Fulfillment &gt; Timeliness &gt; (Positive)"/>
    <s v="Yes"/>
    <s v="No"/>
    <m/>
    <x v="13"/>
    <x v="44"/>
    <x v="9"/>
    <m/>
    <x v="0"/>
    <x v="0"/>
  </r>
  <r>
    <s v="Ed Wegryn - Used Trade-In Product"/>
    <n v="10"/>
    <n v="5"/>
    <d v="2026-01-08T16:17:28"/>
    <n v="5113969"/>
    <s v="Used Trade-In Product"/>
    <m/>
    <s v="Ed Wegryn"/>
    <m/>
    <s v="ewegryn@live.com"/>
    <m/>
    <m/>
    <m/>
    <s v="5 years 2 months"/>
    <s v="No"/>
    <m/>
    <m/>
    <s v="ewegryn@live.com"/>
    <s v="62"/>
    <m/>
    <m/>
    <m/>
    <m/>
    <m/>
    <m/>
    <m/>
    <m/>
    <d v="2026-01-08T16:47:53"/>
    <d v="2026-01-08T18:19:39"/>
    <m/>
    <s v="1132789"/>
    <m/>
    <m/>
    <m/>
    <m/>
    <m/>
    <m/>
    <m/>
    <m/>
    <m/>
    <m/>
    <m/>
    <m/>
    <m/>
    <m/>
    <m/>
    <m/>
    <m/>
    <m/>
    <m/>
    <m/>
    <m/>
    <m/>
    <s v="https://bnh.lightning.force.com/0012L000019Eb8tQAC"/>
    <m/>
    <m/>
    <m/>
    <m/>
    <m/>
    <m/>
    <m/>
    <m/>
    <m/>
    <m/>
    <m/>
    <m/>
    <m/>
    <m/>
    <m/>
    <m/>
    <m/>
    <m/>
    <m/>
    <m/>
    <m/>
    <m/>
    <m/>
    <m/>
    <m/>
    <m/>
    <m/>
    <m/>
    <m/>
    <m/>
    <m/>
    <m/>
    <m/>
    <m/>
    <m/>
    <m/>
    <m/>
    <m/>
    <s v="CAD"/>
    <m/>
    <s v="No"/>
    <s v="Aine Hoye"/>
    <s v="Aine Hoye"/>
    <d v="2026-01-08T16:29:46"/>
    <s v="Promoter"/>
    <s v="Closed"/>
    <m/>
    <m/>
    <s v="Yes"/>
    <m/>
    <m/>
    <m/>
    <m/>
    <m/>
    <m/>
    <m/>
    <m/>
    <m/>
    <m/>
    <m/>
    <m/>
    <m/>
    <m/>
    <m/>
    <m/>
    <s v="It seemed very on the level and organized - not shady in any way."/>
    <m/>
    <m/>
    <m/>
    <m/>
    <s v="Although I would have said Yes, it would have been nice to have had an email that confirmed the final price and asked Yes/No if I wanted to proceed."/>
    <m/>
    <m/>
    <m/>
    <m/>
    <m/>
    <m/>
    <m/>
    <m/>
    <m/>
    <m/>
    <m/>
    <m/>
    <m/>
    <m/>
    <m/>
    <m/>
    <m/>
    <m/>
    <m/>
    <m/>
    <m/>
    <m/>
    <m/>
    <m/>
    <m/>
    <m/>
    <m/>
    <m/>
    <m/>
    <m/>
    <m/>
    <m/>
    <m/>
    <m/>
    <m/>
    <m/>
    <m/>
    <m/>
    <m/>
    <m/>
    <m/>
    <m/>
    <m/>
    <m/>
    <m/>
    <m/>
    <m/>
    <m/>
    <m/>
    <m/>
    <m/>
    <m/>
    <m/>
    <m/>
    <m/>
    <m/>
    <m/>
    <m/>
    <m/>
    <m/>
    <m/>
    <m/>
    <m/>
    <m/>
    <m/>
    <m/>
    <m/>
    <m/>
    <m/>
    <m/>
    <m/>
    <m/>
    <m/>
    <m/>
    <m/>
    <m/>
    <m/>
    <m/>
    <m/>
    <m/>
    <m/>
    <m/>
    <s v="It seemed very on the level and organized - not shady in any way."/>
    <s v="Although I would have said Yes, it would have been nice to have had an email that confirmed the final price and asked Yes/No if I wanted to proce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Used &gt; Pricing &gt;"/>
    <s v="People &gt; Follow Up &gt;, Trade In &gt; Overall Process &gt;"/>
    <m/>
    <m/>
    <s v="Used &gt; Pricing &gt; (Negative)"/>
    <s v="People &gt; Follow Up &gt; (Negative), Trade In &gt; Overall Process &gt; (Positive)"/>
    <s v="Yes"/>
    <s v="No"/>
    <m/>
    <x v="25"/>
    <x v="63"/>
    <x v="17"/>
    <m/>
    <x v="0"/>
    <x v="0"/>
  </r>
  <r>
    <s v="Susan Warrington - Used Trade-In Product"/>
    <n v="10"/>
    <n v="5"/>
    <d v="2026-01-08T12:37:46"/>
    <n v="5113417"/>
    <s v="Used Trade-In Product"/>
    <m/>
    <s v="Susan Warrington"/>
    <m/>
    <s v="sfwarrington24@gmail.com"/>
    <m/>
    <m/>
    <m/>
    <s v="1 months"/>
    <s v="No"/>
    <m/>
    <m/>
    <s v="sfwarrington24@gmail.com"/>
    <s v="1"/>
    <m/>
    <m/>
    <m/>
    <m/>
    <m/>
    <m/>
    <m/>
    <m/>
    <d v="2026-01-08T13:17:00"/>
    <d v="2026-01-08T15:17:34"/>
    <m/>
    <s v="1131329"/>
    <m/>
    <m/>
    <m/>
    <m/>
    <m/>
    <m/>
    <m/>
    <m/>
    <m/>
    <m/>
    <m/>
    <m/>
    <m/>
    <m/>
    <m/>
    <m/>
    <m/>
    <m/>
    <m/>
    <m/>
    <m/>
    <m/>
    <s v="https://bnh.lightning.force.com/001WP00000mpK7rYAE"/>
    <m/>
    <m/>
    <m/>
    <m/>
    <m/>
    <m/>
    <m/>
    <m/>
    <m/>
    <m/>
    <m/>
    <m/>
    <m/>
    <m/>
    <m/>
    <m/>
    <m/>
    <m/>
    <m/>
    <m/>
    <m/>
    <m/>
    <m/>
    <m/>
    <m/>
    <m/>
    <m/>
    <m/>
    <m/>
    <m/>
    <m/>
    <m/>
    <m/>
    <m/>
    <m/>
    <m/>
    <m/>
    <m/>
    <s v="CAD"/>
    <m/>
    <s v="No"/>
    <s v="Sergio Jonusas"/>
    <s v="Sergio Jonusas"/>
    <d v="2026-01-08T12:49:01"/>
    <s v="Promoter"/>
    <s v="Closed"/>
    <m/>
    <m/>
    <s v="Yes"/>
    <m/>
    <m/>
    <m/>
    <m/>
    <m/>
    <m/>
    <m/>
    <m/>
    <m/>
    <m/>
    <m/>
    <m/>
    <m/>
    <m/>
    <m/>
    <m/>
    <s v="Easy and quick"/>
    <m/>
    <m/>
    <m/>
    <m/>
    <s v="N/A"/>
    <m/>
    <m/>
    <m/>
    <m/>
    <m/>
    <m/>
    <m/>
    <m/>
    <m/>
    <m/>
    <m/>
    <m/>
    <m/>
    <m/>
    <m/>
    <m/>
    <m/>
    <m/>
    <m/>
    <m/>
    <m/>
    <m/>
    <m/>
    <m/>
    <m/>
    <m/>
    <m/>
    <m/>
    <m/>
    <m/>
    <m/>
    <m/>
    <m/>
    <m/>
    <m/>
    <m/>
    <m/>
    <m/>
    <m/>
    <m/>
    <m/>
    <m/>
    <m/>
    <m/>
    <m/>
    <m/>
    <m/>
    <m/>
    <m/>
    <m/>
    <m/>
    <m/>
    <m/>
    <m/>
    <m/>
    <m/>
    <m/>
    <m/>
    <m/>
    <m/>
    <m/>
    <m/>
    <m/>
    <m/>
    <m/>
    <m/>
    <m/>
    <m/>
    <m/>
    <m/>
    <m/>
    <m/>
    <m/>
    <m/>
    <m/>
    <m/>
    <m/>
    <m/>
    <m/>
    <m/>
    <m/>
    <m/>
    <s v="Easy and quick"/>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s v="N/A"/>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No"/>
    <m/>
    <x v="0"/>
    <x v="0"/>
    <x v="0"/>
    <m/>
    <x v="0"/>
    <x v="0"/>
  </r>
  <r>
    <s v="Warren Talley - Used Trade-In Product"/>
    <n v="10"/>
    <n v="5"/>
    <d v="2026-01-08T11:56:32"/>
    <n v="5113304"/>
    <s v="Used Trade-In Product"/>
    <m/>
    <s v="Warren Talley"/>
    <m/>
    <s v="warren.talley@icloud.com"/>
    <m/>
    <m/>
    <m/>
    <s v="6 years 5 months"/>
    <s v="No"/>
    <m/>
    <m/>
    <s v="warren.talley@icloud.com"/>
    <s v="77"/>
    <m/>
    <m/>
    <m/>
    <m/>
    <m/>
    <m/>
    <m/>
    <m/>
    <d v="2026-01-16T11:39:27"/>
    <d v="2026-01-08T12:41:58"/>
    <m/>
    <s v="1129552"/>
    <m/>
    <m/>
    <m/>
    <m/>
    <m/>
    <m/>
    <m/>
    <m/>
    <m/>
    <m/>
    <m/>
    <m/>
    <m/>
    <m/>
    <m/>
    <m/>
    <m/>
    <m/>
    <m/>
    <m/>
    <m/>
    <m/>
    <s v="https://bnh.lightning.force.com/0012L0000102jE1QAI"/>
    <m/>
    <m/>
    <m/>
    <m/>
    <m/>
    <m/>
    <m/>
    <m/>
    <m/>
    <m/>
    <m/>
    <m/>
    <m/>
    <m/>
    <m/>
    <m/>
    <m/>
    <m/>
    <m/>
    <m/>
    <m/>
    <m/>
    <m/>
    <m/>
    <m/>
    <m/>
    <m/>
    <m/>
    <m/>
    <m/>
    <m/>
    <m/>
    <m/>
    <m/>
    <m/>
    <m/>
    <m/>
    <m/>
    <s v="CAD"/>
    <m/>
    <s v="No"/>
    <s v="Sergio Jonusas,Nick Badame,Avraham Schwartz,Reina Caba"/>
    <s v="Reina Caba"/>
    <d v="2026-01-08T12:02:47"/>
    <s v="Promoter"/>
    <s v="Closed"/>
    <d v="2026-01-16T11:39:24"/>
    <s v="Reina Caba (reinac@bhphoto.com)"/>
    <s v="Yes"/>
    <m/>
    <m/>
    <m/>
    <m/>
    <m/>
    <m/>
    <m/>
    <m/>
    <m/>
    <m/>
    <m/>
    <m/>
    <m/>
    <m/>
    <m/>
    <m/>
    <s v="The low-friction process"/>
    <m/>
    <m/>
    <m/>
    <m/>
    <s v="Not finding a few components on the drop down lists.  It would be nice to be able to write in what the items are and request a quote rather than emailing."/>
    <m/>
    <m/>
    <m/>
    <m/>
    <m/>
    <m/>
    <m/>
    <m/>
    <m/>
    <m/>
    <m/>
    <m/>
    <m/>
    <m/>
    <m/>
    <m/>
    <m/>
    <m/>
    <m/>
    <m/>
    <m/>
    <m/>
    <m/>
    <m/>
    <m/>
    <m/>
    <m/>
    <m/>
    <m/>
    <m/>
    <m/>
    <m/>
    <m/>
    <m/>
    <m/>
    <m/>
    <m/>
    <m/>
    <m/>
    <m/>
    <m/>
    <m/>
    <m/>
    <m/>
    <m/>
    <m/>
    <m/>
    <m/>
    <m/>
    <m/>
    <m/>
    <m/>
    <m/>
    <m/>
    <m/>
    <m/>
    <m/>
    <m/>
    <m/>
    <m/>
    <m/>
    <m/>
    <m/>
    <m/>
    <m/>
    <m/>
    <m/>
    <m/>
    <m/>
    <m/>
    <m/>
    <m/>
    <m/>
    <m/>
    <m/>
    <m/>
    <m/>
    <m/>
    <m/>
    <m/>
    <m/>
    <m/>
    <s v="The low-friction process"/>
    <s v="Not finding a few components on the drop down lists.  It would be nice to be able to write in what the items are and request a quote rather than email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s v="Pricing &gt; Value for Money &gt;, Trade In &gt; Overall Process &gt;"/>
    <s v="Trade In &gt; Overall Process &gt;"/>
    <m/>
    <m/>
    <s v="Pricing &gt; Value for Money &gt; (Negative), Trade In &gt; Overall Process &gt; (Negative), Trade In &gt; Overall Process &gt; (No opinion)"/>
    <s v="Trade In &gt; Overall Process &gt; (Negative), Trade In &gt; Overall Process &gt; (Positive)"/>
    <s v="Yes"/>
    <s v="Yes"/>
    <m/>
    <x v="25"/>
    <x v="0"/>
    <x v="0"/>
    <m/>
    <x v="0"/>
    <x v="0"/>
  </r>
  <r>
    <s v="Marian Wyse - Used Trade-In Product"/>
    <n v="10"/>
    <n v="5"/>
    <d v="2026-01-08T11:52:35"/>
    <n v="5113303"/>
    <s v="Used Trade-In Product"/>
    <m/>
    <s v="Marian Wyse"/>
    <m/>
    <s v="fugu8201@me.com"/>
    <m/>
    <m/>
    <m/>
    <s v="5 years 1 months"/>
    <s v="Yes"/>
    <m/>
    <m/>
    <s v="fugu8201@me.com"/>
    <s v="61"/>
    <m/>
    <m/>
    <m/>
    <m/>
    <m/>
    <m/>
    <m/>
    <m/>
    <d v="2026-01-08T15:57:12"/>
    <d v="2026-01-08T12:42:55"/>
    <m/>
    <s v="1130022"/>
    <m/>
    <m/>
    <m/>
    <m/>
    <m/>
    <m/>
    <m/>
    <m/>
    <m/>
    <m/>
    <m/>
    <m/>
    <m/>
    <m/>
    <m/>
    <m/>
    <m/>
    <m/>
    <m/>
    <m/>
    <m/>
    <m/>
    <s v="https://bnh.lightning.force.com/0012L000019GYDpQAO"/>
    <m/>
    <m/>
    <m/>
    <m/>
    <m/>
    <m/>
    <m/>
    <m/>
    <m/>
    <m/>
    <m/>
    <m/>
    <m/>
    <m/>
    <m/>
    <m/>
    <m/>
    <m/>
    <m/>
    <m/>
    <m/>
    <m/>
    <m/>
    <m/>
    <m/>
    <m/>
    <m/>
    <m/>
    <m/>
    <m/>
    <m/>
    <m/>
    <m/>
    <m/>
    <m/>
    <m/>
    <m/>
    <m/>
    <s v="CAD"/>
    <m/>
    <s v="No"/>
    <s v="Sergio Jonusas"/>
    <s v="Sergio Jonusas"/>
    <d v="2026-01-08T12:02:47"/>
    <s v="Promoter"/>
    <s v="Closed"/>
    <m/>
    <m/>
    <s v="Yes"/>
    <m/>
    <m/>
    <m/>
    <m/>
    <m/>
    <m/>
    <m/>
    <m/>
    <m/>
    <m/>
    <m/>
    <m/>
    <m/>
    <m/>
    <m/>
    <m/>
    <s v="Very fair offer; provides shipping lanes; prompt payment."/>
    <m/>
    <m/>
    <m/>
    <m/>
    <s v="N/A"/>
    <m/>
    <m/>
    <m/>
    <m/>
    <m/>
    <m/>
    <m/>
    <m/>
    <m/>
    <m/>
    <m/>
    <m/>
    <m/>
    <m/>
    <m/>
    <m/>
    <m/>
    <m/>
    <m/>
    <m/>
    <m/>
    <m/>
    <m/>
    <m/>
    <m/>
    <m/>
    <m/>
    <m/>
    <m/>
    <m/>
    <m/>
    <m/>
    <m/>
    <m/>
    <m/>
    <m/>
    <m/>
    <m/>
    <m/>
    <m/>
    <m/>
    <m/>
    <m/>
    <m/>
    <m/>
    <m/>
    <m/>
    <m/>
    <m/>
    <m/>
    <m/>
    <m/>
    <m/>
    <m/>
    <m/>
    <m/>
    <m/>
    <m/>
    <m/>
    <m/>
    <m/>
    <m/>
    <m/>
    <m/>
    <m/>
    <m/>
    <m/>
    <m/>
    <m/>
    <m/>
    <m/>
    <m/>
    <m/>
    <m/>
    <m/>
    <m/>
    <m/>
    <m/>
    <m/>
    <m/>
    <m/>
    <m/>
    <s v="Very fair offer; provides shipping lanes; prompt payment."/>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Timeliness of Payment &gt;"/>
    <s v="Trade In &gt; Quote Price &gt;, Trade In &gt; Timeliness of Payment &gt;"/>
    <m/>
    <m/>
    <s v="Trade In &gt; Timeliness of Payment &gt; (Positive)"/>
    <s v="Trade In &gt; Quote Price &gt; (Positive), Trade In &gt; Timeliness of Payment &gt; (Positive)"/>
    <s v="Yes"/>
    <s v="No"/>
    <m/>
    <x v="3"/>
    <x v="26"/>
    <x v="22"/>
    <m/>
    <x v="0"/>
    <x v="0"/>
  </r>
  <r>
    <s v="James Stach - Used Trade-In Product"/>
    <n v="10"/>
    <n v="5"/>
    <d v="2026-01-08T11:41:08"/>
    <n v="5113148"/>
    <s v="Used Trade-In Product"/>
    <m/>
    <s v="James Stach"/>
    <m/>
    <s v="jhs3104@mac.com"/>
    <m/>
    <m/>
    <m/>
    <s v="0 months"/>
    <s v="No"/>
    <m/>
    <m/>
    <s v="jhs3104@mac.com"/>
    <s v="0"/>
    <m/>
    <m/>
    <m/>
    <m/>
    <m/>
    <m/>
    <m/>
    <m/>
    <d v="2026-01-16T11:25:26"/>
    <d v="2026-01-08T12:45:17"/>
    <m/>
    <s v="1132188"/>
    <m/>
    <m/>
    <m/>
    <m/>
    <m/>
    <m/>
    <m/>
    <m/>
    <m/>
    <m/>
    <m/>
    <m/>
    <m/>
    <m/>
    <m/>
    <m/>
    <m/>
    <m/>
    <m/>
    <m/>
    <m/>
    <m/>
    <s v="https://bnh.lightning.force.com/001WP00000njRT2YAM"/>
    <m/>
    <m/>
    <m/>
    <m/>
    <m/>
    <m/>
    <m/>
    <m/>
    <m/>
    <m/>
    <m/>
    <m/>
    <m/>
    <m/>
    <m/>
    <m/>
    <m/>
    <m/>
    <m/>
    <m/>
    <m/>
    <m/>
    <m/>
    <m/>
    <m/>
    <m/>
    <m/>
    <m/>
    <m/>
    <m/>
    <m/>
    <m/>
    <m/>
    <m/>
    <m/>
    <m/>
    <m/>
    <m/>
    <s v="CAD"/>
    <m/>
    <s v="No"/>
    <s v="Sergio Jonusas,Gershon Orenstein,Avraham Schwartz,Reina Caba"/>
    <s v="Reina Caba"/>
    <d v="2026-01-08T11:12:09"/>
    <s v="Promoter"/>
    <s v="Closed"/>
    <d v="2026-01-16T11:25:21"/>
    <s v="Reina Caba (reinac@bhphoto.com)"/>
    <s v="Yes"/>
    <m/>
    <m/>
    <m/>
    <m/>
    <m/>
    <m/>
    <m/>
    <m/>
    <m/>
    <m/>
    <m/>
    <m/>
    <m/>
    <m/>
    <m/>
    <m/>
    <s v="The Web Application is extremely easy to use."/>
    <m/>
    <m/>
    <m/>
    <m/>
    <s v="I realize my equipment was sent in during the crazy holiday season and I'm not commenting on the amount of time it took to get my quote confirmed. (only 7 days) I'm commenting on the blackout of communication between the time I received an email acknowledging receipt and an email confirming the amount of my Quote. Perhaps your email acknowledgment of receipt could say something about we will get back to you in approximately X days."/>
    <m/>
    <m/>
    <m/>
    <m/>
    <m/>
    <m/>
    <m/>
    <m/>
    <m/>
    <m/>
    <m/>
    <m/>
    <m/>
    <m/>
    <m/>
    <m/>
    <m/>
    <m/>
    <m/>
    <m/>
    <m/>
    <m/>
    <m/>
    <m/>
    <m/>
    <m/>
    <m/>
    <m/>
    <m/>
    <m/>
    <m/>
    <m/>
    <m/>
    <m/>
    <m/>
    <m/>
    <m/>
    <m/>
    <m/>
    <m/>
    <m/>
    <m/>
    <m/>
    <m/>
    <m/>
    <m/>
    <m/>
    <m/>
    <m/>
    <m/>
    <m/>
    <m/>
    <m/>
    <m/>
    <m/>
    <m/>
    <m/>
    <m/>
    <m/>
    <m/>
    <m/>
    <m/>
    <m/>
    <m/>
    <m/>
    <m/>
    <m/>
    <m/>
    <m/>
    <m/>
    <m/>
    <m/>
    <m/>
    <m/>
    <m/>
    <m/>
    <m/>
    <m/>
    <m/>
    <m/>
    <m/>
    <m/>
    <s v="The Web Application is extremely easy to use."/>
    <s v="I realize my equipment was sent in during the crazy holiday season and I'm not commenting on the amount of time it took to get my quote confirmed. (only 7 days) I'm commenting on the blackout of communication between the time I received an email acknowledging receipt and an email confirming the amount of my Quote. Perhaps your email acknowledgment of receipt could say something about we will get back to you in approximately X day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1"/>
    <n v="5"/>
    <s v="N/A"/>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Quote &gt;, Website &gt; Overall Satisfaction &gt;"/>
    <m/>
    <m/>
    <s v="Trade In &gt; Overall Process &gt; (Negative), Trade In &gt; Overall Process &gt; (No opinion)"/>
    <s v="Trade In &gt; Overall Process &gt; (Negative), Trade In &gt; Overall Process &gt; (No opinion), Trade In &gt; Timeliness of Quote &gt; (Negative), Website &gt; Overall Satisfaction &gt; (Positive)"/>
    <s v="Yes"/>
    <s v="Yes"/>
    <m/>
    <x v="0"/>
    <x v="64"/>
    <x v="0"/>
    <m/>
    <x v="0"/>
    <x v="0"/>
  </r>
  <r>
    <s v="Kelsea Schafer - Used Trade-In Product"/>
    <n v="10"/>
    <n v="5"/>
    <d v="2026-01-08T11:35:09"/>
    <n v="5113250"/>
    <s v="Used Trade-In Product"/>
    <m/>
    <s v="Kelsea Schafer"/>
    <m/>
    <s v="kelseanschafer@gmail.com"/>
    <m/>
    <m/>
    <m/>
    <s v="1 months"/>
    <s v="No"/>
    <m/>
    <m/>
    <s v="kelseanschafer@gmail.com"/>
    <s v="1"/>
    <m/>
    <m/>
    <m/>
    <m/>
    <m/>
    <m/>
    <m/>
    <m/>
    <d v="2026-01-08T16:33:42"/>
    <d v="2026-01-08T12:42:32"/>
    <m/>
    <s v="1130425"/>
    <m/>
    <m/>
    <m/>
    <m/>
    <m/>
    <m/>
    <m/>
    <m/>
    <m/>
    <m/>
    <m/>
    <m/>
    <m/>
    <m/>
    <m/>
    <m/>
    <m/>
    <m/>
    <m/>
    <m/>
    <m/>
    <m/>
    <s v="https://bnh.lightning.force.com/001WP00000mjcokYAA"/>
    <m/>
    <m/>
    <m/>
    <m/>
    <m/>
    <m/>
    <m/>
    <m/>
    <m/>
    <m/>
    <m/>
    <m/>
    <m/>
    <m/>
    <m/>
    <m/>
    <m/>
    <m/>
    <m/>
    <m/>
    <m/>
    <m/>
    <m/>
    <m/>
    <m/>
    <m/>
    <m/>
    <m/>
    <m/>
    <m/>
    <m/>
    <m/>
    <m/>
    <m/>
    <m/>
    <m/>
    <m/>
    <m/>
    <s v="CAD"/>
    <m/>
    <s v="No"/>
    <s v="Sergio Jonusas,Gershon Orenstein"/>
    <s v="Gershon Orenstein"/>
    <d v="2026-01-08T11:45:05"/>
    <s v="Promoter"/>
    <s v="Closed"/>
    <m/>
    <m/>
    <s v="Yes"/>
    <m/>
    <m/>
    <m/>
    <m/>
    <m/>
    <m/>
    <m/>
    <m/>
    <m/>
    <m/>
    <m/>
    <m/>
    <m/>
    <m/>
    <m/>
    <m/>
    <s v="I was recommended to use B&amp;H by a veteran photographer as a student starting out. I always love how easy the website is to use and the ease of getting a quote. The price I received back was also more than the quote originally, which proves B&amp;H takes the time to look through the boxes rather than just going with the online quote. Will continue to return to B&amp;H!"/>
    <m/>
    <m/>
    <m/>
    <m/>
    <s v="N/A"/>
    <m/>
    <m/>
    <m/>
    <m/>
    <m/>
    <m/>
    <m/>
    <m/>
    <m/>
    <m/>
    <m/>
    <m/>
    <m/>
    <m/>
    <m/>
    <m/>
    <m/>
    <m/>
    <m/>
    <m/>
    <m/>
    <m/>
    <m/>
    <m/>
    <m/>
    <m/>
    <m/>
    <m/>
    <m/>
    <m/>
    <m/>
    <m/>
    <m/>
    <m/>
    <m/>
    <m/>
    <m/>
    <m/>
    <m/>
    <m/>
    <m/>
    <m/>
    <m/>
    <m/>
    <m/>
    <m/>
    <m/>
    <m/>
    <m/>
    <m/>
    <m/>
    <m/>
    <m/>
    <m/>
    <m/>
    <m/>
    <m/>
    <m/>
    <m/>
    <m/>
    <m/>
    <m/>
    <m/>
    <m/>
    <m/>
    <m/>
    <m/>
    <m/>
    <m/>
    <m/>
    <m/>
    <m/>
    <m/>
    <m/>
    <m/>
    <m/>
    <m/>
    <m/>
    <m/>
    <m/>
    <m/>
    <m/>
    <s v="I was recommended to use B&amp;H by a veteran photographer as a student starting out. I always love how easy the website is to use and the ease of getting a quote. The price I received back was also more than the quote originally, which proves B&amp;H takes the time to look through the boxes rather than just going with the online quote. Will continue to return to B&amp;H!"/>
    <s v="N/A"/>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Used &gt; Description &gt;, Used &gt; Pricing &gt;, Website &gt; Overall Satisfaction &gt;"/>
    <s v="B&amp;H &gt; Loyalty &gt;, B&amp;H &gt; Recommended &gt;, Trade In &gt; Overall Process &gt;, Trade In &gt; Quote Price &gt;, Trade In &gt; Timeliness of Quote &gt;, Used &gt; Description &gt;, Website &gt; Overall Satisfaction &gt;"/>
    <m/>
    <m/>
    <s v="Trade In &gt; Overall Process &gt; (No opinion), Trade In &gt; Overall Process &gt; (Positive), Used &gt; Description &gt; (No opinion), Used &gt; Description &gt; (Positive), Used &gt; Pricing &gt; (Negative), Website &gt; Overall Satisfaction &gt; (Positive)"/>
    <s v="B&amp;H &gt; Loyalty &gt; (Positive), B&amp;H &gt; Recommended &gt; (Positive), Trade In &gt; Overall Process &gt; (No opinion), Trade In &gt; Overall Process &gt; (Positive), Trade In &gt; Quote Price &gt; (Negative), Trade In &gt; Quote Price &gt; (Positive), Trade In &gt; Timeliness of Quote &gt; (Positive), Used &gt; Description &gt; (Positive), Website &gt; Overall Satisfaction &gt; (Positive)"/>
    <s v="Yes"/>
    <s v="Yes"/>
    <m/>
    <x v="0"/>
    <x v="47"/>
    <x v="35"/>
    <m/>
    <x v="0"/>
    <x v="0"/>
  </r>
  <r>
    <s v="Richard Huffman - Used Trade-In Product"/>
    <n v="10"/>
    <n v="5"/>
    <d v="2026-01-08T10:58:37"/>
    <n v="5113127"/>
    <s v="Used Trade-In Product"/>
    <m/>
    <s v="Richard Huffman"/>
    <m/>
    <s v="rick.huffman@me.com"/>
    <m/>
    <m/>
    <m/>
    <s v="10 years 8 months"/>
    <s v="No"/>
    <m/>
    <m/>
    <s v="rick.huffman@me.com"/>
    <s v="128"/>
    <m/>
    <m/>
    <m/>
    <m/>
    <m/>
    <m/>
    <m/>
    <m/>
    <d v="2026-01-08T16:22:08"/>
    <d v="2026-01-08T12:45:07"/>
    <m/>
    <s v="1131673"/>
    <m/>
    <m/>
    <m/>
    <m/>
    <m/>
    <m/>
    <m/>
    <m/>
    <m/>
    <m/>
    <m/>
    <m/>
    <m/>
    <m/>
    <m/>
    <m/>
    <m/>
    <m/>
    <m/>
    <m/>
    <m/>
    <m/>
    <s v="https://bnh.lightning.force.com/0011a00000cL1wSAAS"/>
    <m/>
    <m/>
    <m/>
    <m/>
    <m/>
    <m/>
    <m/>
    <m/>
    <m/>
    <m/>
    <m/>
    <m/>
    <m/>
    <m/>
    <m/>
    <m/>
    <m/>
    <m/>
    <m/>
    <m/>
    <m/>
    <m/>
    <m/>
    <m/>
    <m/>
    <m/>
    <m/>
    <m/>
    <m/>
    <m/>
    <m/>
    <m/>
    <m/>
    <m/>
    <m/>
    <m/>
    <m/>
    <m/>
    <s v="CAD"/>
    <m/>
    <s v="No"/>
    <s v="Sergio Jonusas,Gershon Orenstein"/>
    <s v="Gershon Orenstein"/>
    <d v="2026-01-08T11:02:11"/>
    <s v="Promoter"/>
    <s v="Closed"/>
    <m/>
    <m/>
    <s v="Yes"/>
    <m/>
    <m/>
    <m/>
    <m/>
    <m/>
    <m/>
    <m/>
    <m/>
    <m/>
    <m/>
    <m/>
    <m/>
    <m/>
    <m/>
    <m/>
    <m/>
    <s v="Excellent customer service, even the AI part."/>
    <m/>
    <m/>
    <m/>
    <m/>
    <s v="Oh, I wish the item I sold was worth more, but the offer was fair."/>
    <m/>
    <m/>
    <m/>
    <m/>
    <m/>
    <m/>
    <m/>
    <m/>
    <m/>
    <m/>
    <m/>
    <m/>
    <m/>
    <m/>
    <m/>
    <m/>
    <m/>
    <m/>
    <m/>
    <m/>
    <m/>
    <m/>
    <m/>
    <m/>
    <m/>
    <m/>
    <m/>
    <m/>
    <m/>
    <m/>
    <m/>
    <m/>
    <m/>
    <m/>
    <m/>
    <m/>
    <m/>
    <m/>
    <m/>
    <m/>
    <m/>
    <m/>
    <m/>
    <m/>
    <m/>
    <m/>
    <m/>
    <m/>
    <m/>
    <m/>
    <m/>
    <m/>
    <m/>
    <m/>
    <m/>
    <m/>
    <m/>
    <m/>
    <m/>
    <m/>
    <m/>
    <m/>
    <m/>
    <m/>
    <m/>
    <m/>
    <m/>
    <m/>
    <m/>
    <m/>
    <m/>
    <m/>
    <m/>
    <m/>
    <m/>
    <m/>
    <m/>
    <m/>
    <m/>
    <m/>
    <m/>
    <m/>
    <s v="Excellent customer service, even the AI part."/>
    <s v="Oh, I wish the item I sold was worth more, but the offer was fai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People &gt; Overall Satisfaction &gt;"/>
    <s v="People &gt; Overall Satisfaction &gt;, Trade In &gt; Quote Price &gt;"/>
    <m/>
    <m/>
    <s v="People &gt; Overall Satisfaction &gt; (Positive)"/>
    <s v="People &gt; Overall Satisfaction &gt; (Positive), Trade In &gt; Quote Price &gt; (Negative), Trade In &gt; Quote Price &gt; (Positive)"/>
    <s v="Yes"/>
    <s v="No"/>
    <m/>
    <x v="7"/>
    <x v="0"/>
    <x v="0"/>
    <m/>
    <x v="0"/>
    <x v="0"/>
  </r>
  <r>
    <s v="Tim Brusoe - Used Trade-In Product"/>
    <n v="10"/>
    <n v="5"/>
    <d v="2026-01-08T10:54:49"/>
    <n v="5113128"/>
    <s v="Used Trade-In Product"/>
    <m/>
    <s v="Tim Brusoe"/>
    <m/>
    <s v="tbb727@gmail.com"/>
    <m/>
    <m/>
    <m/>
    <s v="4 years 4 months"/>
    <s v="No"/>
    <m/>
    <m/>
    <s v="tbb727@gmail.com"/>
    <s v="52"/>
    <m/>
    <m/>
    <m/>
    <m/>
    <m/>
    <m/>
    <m/>
    <m/>
    <d v="2026-01-08T16:19:40"/>
    <d v="2026-01-07T19:23:42"/>
    <m/>
    <s v="1131883"/>
    <m/>
    <m/>
    <m/>
    <m/>
    <m/>
    <m/>
    <m/>
    <m/>
    <m/>
    <m/>
    <m/>
    <m/>
    <m/>
    <m/>
    <m/>
    <m/>
    <m/>
    <m/>
    <m/>
    <m/>
    <m/>
    <m/>
    <s v="https://bnh.lightning.force.com/0012L00001H5EYjQAN"/>
    <m/>
    <m/>
    <m/>
    <m/>
    <m/>
    <m/>
    <m/>
    <m/>
    <m/>
    <m/>
    <m/>
    <m/>
    <m/>
    <m/>
    <m/>
    <m/>
    <m/>
    <m/>
    <m/>
    <m/>
    <m/>
    <m/>
    <m/>
    <m/>
    <m/>
    <m/>
    <m/>
    <m/>
    <m/>
    <m/>
    <m/>
    <m/>
    <m/>
    <m/>
    <m/>
    <m/>
    <m/>
    <m/>
    <s v="CAD"/>
    <m/>
    <s v="No"/>
    <s v="Sergio Jonusas,Gershon Orenstein"/>
    <s v="Gershon Orenstein"/>
    <d v="2026-01-08T11:02:11"/>
    <s v="Promoter"/>
    <s v="Closed"/>
    <m/>
    <m/>
    <s v="Yes"/>
    <m/>
    <m/>
    <m/>
    <m/>
    <m/>
    <m/>
    <m/>
    <m/>
    <m/>
    <m/>
    <m/>
    <m/>
    <m/>
    <m/>
    <m/>
    <m/>
    <s v="Very honest.  Very helpful!"/>
    <m/>
    <m/>
    <m/>
    <m/>
    <s v="None"/>
    <m/>
    <m/>
    <m/>
    <m/>
    <m/>
    <m/>
    <m/>
    <m/>
    <m/>
    <m/>
    <m/>
    <m/>
    <m/>
    <m/>
    <m/>
    <m/>
    <m/>
    <m/>
    <m/>
    <m/>
    <m/>
    <m/>
    <m/>
    <m/>
    <m/>
    <m/>
    <m/>
    <m/>
    <m/>
    <m/>
    <m/>
    <m/>
    <m/>
    <m/>
    <m/>
    <m/>
    <m/>
    <m/>
    <m/>
    <m/>
    <m/>
    <m/>
    <m/>
    <m/>
    <m/>
    <m/>
    <m/>
    <m/>
    <m/>
    <m/>
    <m/>
    <m/>
    <m/>
    <m/>
    <m/>
    <m/>
    <m/>
    <m/>
    <m/>
    <m/>
    <m/>
    <m/>
    <m/>
    <m/>
    <m/>
    <m/>
    <m/>
    <m/>
    <m/>
    <m/>
    <m/>
    <m/>
    <m/>
    <m/>
    <m/>
    <m/>
    <m/>
    <m/>
    <m/>
    <m/>
    <m/>
    <m/>
    <s v="Very honest.  Very helpful!"/>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Reliable / Trustworthy &gt;, People &gt; Helpful / Efficient &gt;"/>
    <m/>
    <m/>
    <m/>
    <s v="B&amp;H &gt; Reliable / Trustworthy &gt; (Positive), People &gt; Helpful / Efficient &gt; (Positive)"/>
    <s v="Yes"/>
    <s v="No"/>
    <m/>
    <x v="15"/>
    <x v="0"/>
    <x v="0"/>
    <m/>
    <x v="0"/>
    <x v="0"/>
  </r>
  <r>
    <s v="Johnny Mosely - Used Trade-In Product"/>
    <n v="10"/>
    <n v="5"/>
    <d v="2026-01-08T10:07:04"/>
    <n v="5112932"/>
    <s v="Used Trade-In Product"/>
    <m/>
    <s v="Johnny Mosely"/>
    <m/>
    <s v="moselyjohnny@gmail.com"/>
    <m/>
    <m/>
    <m/>
    <s v="1 months"/>
    <s v="No"/>
    <m/>
    <m/>
    <s v="moselyjohnny@gmail.com"/>
    <s v="1"/>
    <m/>
    <m/>
    <m/>
    <m/>
    <m/>
    <m/>
    <m/>
    <m/>
    <d v="2026-01-08T16:12:09"/>
    <d v="2026-01-08T12:42:49"/>
    <m/>
    <s v="1129762"/>
    <m/>
    <m/>
    <m/>
    <m/>
    <m/>
    <m/>
    <m/>
    <m/>
    <m/>
    <m/>
    <m/>
    <m/>
    <m/>
    <m/>
    <m/>
    <m/>
    <m/>
    <m/>
    <m/>
    <m/>
    <m/>
    <m/>
    <s v="https://bnh.lightning.force.com/001WP00000mNMnqYAG"/>
    <m/>
    <m/>
    <m/>
    <m/>
    <m/>
    <m/>
    <m/>
    <m/>
    <m/>
    <m/>
    <m/>
    <m/>
    <m/>
    <m/>
    <m/>
    <m/>
    <m/>
    <m/>
    <m/>
    <m/>
    <m/>
    <m/>
    <m/>
    <m/>
    <m/>
    <m/>
    <m/>
    <m/>
    <m/>
    <m/>
    <m/>
    <m/>
    <m/>
    <m/>
    <m/>
    <m/>
    <m/>
    <m/>
    <s v="CAD"/>
    <m/>
    <s v="No"/>
    <s v="Sergio Jonusas,Gershon Orenstein"/>
    <s v="Gershon Orenstein"/>
    <d v="2026-01-08T10:06:44"/>
    <s v="Promoter"/>
    <s v="Closed"/>
    <m/>
    <m/>
    <s v="Yes"/>
    <m/>
    <m/>
    <m/>
    <m/>
    <m/>
    <m/>
    <m/>
    <m/>
    <m/>
    <m/>
    <m/>
    <m/>
    <m/>
    <m/>
    <m/>
    <m/>
    <s v="It was straight forward and easy."/>
    <m/>
    <m/>
    <m/>
    <m/>
    <s v="Nothing. I'm satisfied"/>
    <m/>
    <m/>
    <m/>
    <m/>
    <m/>
    <m/>
    <m/>
    <m/>
    <m/>
    <m/>
    <m/>
    <m/>
    <m/>
    <m/>
    <m/>
    <m/>
    <m/>
    <m/>
    <m/>
    <m/>
    <m/>
    <m/>
    <m/>
    <m/>
    <m/>
    <m/>
    <m/>
    <m/>
    <m/>
    <m/>
    <m/>
    <m/>
    <m/>
    <m/>
    <m/>
    <m/>
    <m/>
    <m/>
    <m/>
    <m/>
    <m/>
    <m/>
    <m/>
    <m/>
    <m/>
    <m/>
    <m/>
    <m/>
    <m/>
    <m/>
    <m/>
    <m/>
    <m/>
    <m/>
    <m/>
    <m/>
    <m/>
    <m/>
    <m/>
    <m/>
    <m/>
    <m/>
    <m/>
    <m/>
    <m/>
    <m/>
    <m/>
    <m/>
    <m/>
    <m/>
    <m/>
    <m/>
    <m/>
    <m/>
    <m/>
    <m/>
    <m/>
    <m/>
    <m/>
    <m/>
    <m/>
    <m/>
    <s v="It was straight forward and easy."/>
    <s v="Nothing. I'm satisfi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5"/>
    <n v="5"/>
    <n v="5"/>
    <n v="4"/>
    <m/>
    <m/>
    <m/>
    <m/>
    <m/>
    <m/>
    <m/>
    <m/>
    <m/>
    <m/>
    <m/>
    <m/>
    <m/>
    <m/>
    <m/>
    <m/>
    <m/>
    <m/>
    <m/>
    <m/>
    <m/>
    <m/>
    <m/>
    <m/>
    <m/>
    <m/>
    <m/>
    <m/>
    <m/>
    <m/>
    <m/>
    <m/>
    <m/>
    <m/>
    <m/>
    <m/>
    <m/>
    <m/>
    <m/>
    <m/>
    <m/>
    <m/>
    <m/>
    <m/>
    <m/>
    <m/>
    <m/>
    <m/>
    <m/>
    <m/>
    <m/>
    <m/>
    <m/>
    <m/>
    <m/>
    <m/>
    <m/>
    <m/>
    <m/>
    <m/>
    <m/>
    <m/>
    <m/>
    <m/>
    <m/>
    <m/>
    <m/>
    <m/>
    <m/>
    <m/>
    <m/>
    <m/>
    <m/>
    <m/>
    <m/>
    <m/>
    <m/>
    <m/>
    <m/>
    <m/>
    <m/>
    <m/>
    <m/>
    <m/>
    <m/>
    <m/>
    <m/>
    <m/>
    <m/>
    <m/>
    <m/>
    <m/>
    <m/>
    <m/>
    <m/>
    <m/>
    <m/>
    <m/>
    <m/>
    <m/>
    <m/>
    <m/>
    <s v="B&amp;H &gt; Satisfaction &gt;, Trade In &gt; Overall Process &gt;"/>
    <m/>
    <m/>
    <m/>
    <s v="B&amp;H &gt; Satisfaction &gt; (Positive), Trade In &gt; Overall Process &gt; (Positive)"/>
    <s v="Yes"/>
    <s v="No"/>
    <m/>
    <x v="0"/>
    <x v="0"/>
    <x v="0"/>
    <m/>
    <x v="0"/>
    <x v="0"/>
  </r>
  <r>
    <s v="Alan E Snodgrass - Used Trade-In Product"/>
    <n v="10"/>
    <n v="5"/>
    <d v="2026-01-08T09:56:58"/>
    <n v="5112893"/>
    <s v="Used Trade-In Product"/>
    <m/>
    <s v="Alan E Snodgrass"/>
    <m/>
    <s v="alan.snodgrass@gmail.com"/>
    <m/>
    <m/>
    <m/>
    <s v="1 months"/>
    <s v="No"/>
    <m/>
    <m/>
    <s v="alan.snodgrass@gmail.com"/>
    <s v="1"/>
    <m/>
    <m/>
    <m/>
    <m/>
    <m/>
    <m/>
    <m/>
    <m/>
    <d v="2026-01-08T16:08:56"/>
    <d v="2026-01-08T12:42:10"/>
    <m/>
    <s v="1129211"/>
    <m/>
    <m/>
    <m/>
    <m/>
    <m/>
    <m/>
    <m/>
    <m/>
    <m/>
    <m/>
    <m/>
    <m/>
    <m/>
    <m/>
    <m/>
    <m/>
    <m/>
    <m/>
    <m/>
    <m/>
    <m/>
    <m/>
    <s v="https://bnh.lightning.force.com/001WP00000m27BYYAY"/>
    <m/>
    <m/>
    <m/>
    <m/>
    <m/>
    <m/>
    <m/>
    <m/>
    <m/>
    <m/>
    <m/>
    <m/>
    <m/>
    <m/>
    <m/>
    <m/>
    <m/>
    <m/>
    <m/>
    <m/>
    <m/>
    <m/>
    <m/>
    <m/>
    <m/>
    <m/>
    <m/>
    <m/>
    <m/>
    <m/>
    <m/>
    <m/>
    <m/>
    <m/>
    <m/>
    <m/>
    <m/>
    <m/>
    <s v="CAD"/>
    <m/>
    <s v="No"/>
    <s v="Sergio Jonusas,Gershon Orenstein"/>
    <s v="Gershon Orenstein"/>
    <d v="2026-01-08T09:57:16"/>
    <s v="Promoter"/>
    <s v="Closed"/>
    <m/>
    <m/>
    <s v="Yes"/>
    <m/>
    <m/>
    <m/>
    <m/>
    <m/>
    <m/>
    <m/>
    <m/>
    <m/>
    <m/>
    <m/>
    <m/>
    <m/>
    <m/>
    <m/>
    <m/>
    <s v="Very easy process.  No surprises."/>
    <m/>
    <m/>
    <m/>
    <m/>
    <s v="None"/>
    <m/>
    <m/>
    <m/>
    <m/>
    <m/>
    <m/>
    <m/>
    <m/>
    <m/>
    <m/>
    <m/>
    <m/>
    <m/>
    <m/>
    <m/>
    <m/>
    <m/>
    <m/>
    <m/>
    <m/>
    <m/>
    <m/>
    <m/>
    <m/>
    <m/>
    <m/>
    <m/>
    <m/>
    <m/>
    <m/>
    <m/>
    <m/>
    <m/>
    <m/>
    <m/>
    <m/>
    <m/>
    <m/>
    <m/>
    <m/>
    <m/>
    <m/>
    <m/>
    <m/>
    <m/>
    <m/>
    <m/>
    <m/>
    <m/>
    <m/>
    <m/>
    <m/>
    <m/>
    <m/>
    <m/>
    <m/>
    <m/>
    <m/>
    <m/>
    <m/>
    <m/>
    <m/>
    <m/>
    <m/>
    <m/>
    <m/>
    <m/>
    <m/>
    <m/>
    <m/>
    <m/>
    <m/>
    <m/>
    <m/>
    <m/>
    <m/>
    <m/>
    <m/>
    <m/>
    <m/>
    <m/>
    <m/>
    <s v="Very easy process.  No surprises."/>
    <s v="Non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David Weaver - Used Trade-In Product"/>
    <n v="9"/>
    <n v="5"/>
    <d v="2026-01-07T16:58:54"/>
    <n v="5111504"/>
    <s v="Used Trade-In Product"/>
    <m/>
    <s v="David Weaver"/>
    <m/>
    <s v="dave@dweaver.com"/>
    <m/>
    <m/>
    <m/>
    <s v="1 months"/>
    <s v="No"/>
    <m/>
    <m/>
    <s v="dave@dweaver.com"/>
    <s v="1"/>
    <m/>
    <m/>
    <m/>
    <m/>
    <m/>
    <m/>
    <m/>
    <m/>
    <d v="2026-01-08T10:16:07"/>
    <d v="2026-01-07T12:49:22"/>
    <m/>
    <s v="1130063"/>
    <m/>
    <m/>
    <m/>
    <m/>
    <m/>
    <m/>
    <m/>
    <m/>
    <m/>
    <m/>
    <m/>
    <m/>
    <m/>
    <m/>
    <m/>
    <m/>
    <m/>
    <m/>
    <m/>
    <m/>
    <m/>
    <m/>
    <s v="https://bnh.lightning.force.com/0011a00000FQFmTAAX"/>
    <m/>
    <m/>
    <m/>
    <m/>
    <m/>
    <m/>
    <m/>
    <m/>
    <m/>
    <m/>
    <m/>
    <m/>
    <m/>
    <m/>
    <m/>
    <m/>
    <m/>
    <m/>
    <m/>
    <m/>
    <m/>
    <m/>
    <m/>
    <m/>
    <m/>
    <m/>
    <m/>
    <m/>
    <m/>
    <m/>
    <m/>
    <m/>
    <m/>
    <m/>
    <m/>
    <m/>
    <m/>
    <m/>
    <s v="CAD"/>
    <m/>
    <s v="No"/>
    <s v="Gershon Orenstein"/>
    <s v="Gershon Orenstein"/>
    <d v="2026-01-07T16:56:51"/>
    <s v="Promoter"/>
    <s v="Closed"/>
    <m/>
    <m/>
    <s v="Yes"/>
    <m/>
    <m/>
    <m/>
    <m/>
    <m/>
    <m/>
    <m/>
    <m/>
    <m/>
    <m/>
    <m/>
    <m/>
    <m/>
    <m/>
    <m/>
    <m/>
    <s v="Fairly easy to do.  PLUS, I forgot to include an extra LiIon battery on the quote form, but shipped it with the camera I was selling to B&amp;H, and B&amp;H was honest enough to INCREASE the payment to me to include the extra battery.  That was very much appreciated and encourages me to use that service again."/>
    <m/>
    <m/>
    <m/>
    <m/>
    <s v="It took longer than doing an in-person sale.  _x000a_But it *was* pretty hassle-free."/>
    <m/>
    <m/>
    <m/>
    <m/>
    <m/>
    <m/>
    <m/>
    <m/>
    <m/>
    <m/>
    <m/>
    <m/>
    <m/>
    <m/>
    <m/>
    <m/>
    <m/>
    <m/>
    <m/>
    <m/>
    <m/>
    <m/>
    <m/>
    <m/>
    <m/>
    <m/>
    <m/>
    <m/>
    <m/>
    <m/>
    <m/>
    <m/>
    <m/>
    <m/>
    <m/>
    <m/>
    <m/>
    <m/>
    <m/>
    <m/>
    <m/>
    <m/>
    <m/>
    <m/>
    <m/>
    <m/>
    <m/>
    <m/>
    <m/>
    <m/>
    <m/>
    <m/>
    <m/>
    <m/>
    <m/>
    <m/>
    <m/>
    <m/>
    <m/>
    <m/>
    <m/>
    <m/>
    <m/>
    <m/>
    <m/>
    <m/>
    <m/>
    <m/>
    <m/>
    <m/>
    <m/>
    <m/>
    <m/>
    <m/>
    <m/>
    <m/>
    <m/>
    <m/>
    <m/>
    <m/>
    <m/>
    <m/>
    <s v="Fairly easy to do.  PLUS, I forgot to include an extra LiIon battery on the quote form, but shipped it with the camera I was selling to B&amp;H, and B&amp;H was honest enough to INCREASE the payment to me to include the extra battery.  That was very much appreciated and encourages me to use that service again."/>
    <s v="It took longer than doing an in-person sale.  _x000a_But it *was* pretty hassle-fre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4"/>
    <m/>
    <m/>
    <m/>
    <m/>
    <m/>
    <m/>
    <n v="4"/>
    <n v="4"/>
    <n v="4"/>
    <n v="4"/>
    <m/>
    <m/>
    <m/>
    <m/>
    <m/>
    <m/>
    <m/>
    <m/>
    <m/>
    <m/>
    <m/>
    <m/>
    <m/>
    <m/>
    <m/>
    <m/>
    <m/>
    <m/>
    <m/>
    <m/>
    <m/>
    <m/>
    <m/>
    <m/>
    <m/>
    <m/>
    <m/>
    <m/>
    <m/>
    <m/>
    <m/>
    <m/>
    <m/>
    <m/>
    <m/>
    <m/>
    <m/>
    <m/>
    <m/>
    <m/>
    <m/>
    <m/>
    <m/>
    <m/>
    <m/>
    <m/>
    <m/>
    <m/>
    <m/>
    <m/>
    <m/>
    <m/>
    <m/>
    <m/>
    <m/>
    <m/>
    <m/>
    <m/>
    <m/>
    <m/>
    <m/>
    <m/>
    <m/>
    <m/>
    <m/>
    <m/>
    <m/>
    <m/>
    <m/>
    <m/>
    <m/>
    <m/>
    <m/>
    <m/>
    <m/>
    <m/>
    <m/>
    <m/>
    <m/>
    <m/>
    <m/>
    <m/>
    <m/>
    <m/>
    <m/>
    <m/>
    <m/>
    <m/>
    <m/>
    <m/>
    <m/>
    <m/>
    <m/>
    <m/>
    <m/>
    <m/>
    <m/>
    <m/>
    <m/>
    <m/>
    <m/>
    <s v="B&amp;H &gt; Reliable / Trustworthy &gt;, Trade In &gt; Overall Process &gt;, Used &gt; Description &gt;"/>
    <s v="B&amp;H &gt; Loyalty &gt;, B&amp;H &gt; Reliable / Trustworthy &gt;, Trade In &gt; Overall Process &gt;, Trade In &gt; Timeliness of Payment &gt;, Trade In &gt; Timeliness of Quote &gt;"/>
    <m/>
    <m/>
    <s v="B&amp;H &gt; Reliable / Trustworthy &gt; (Positive), Trade In &gt; Overall Process &gt; (No opinion), Used &gt; Description &gt; (Positive)"/>
    <s v="B&amp;H &gt; Loyalty &gt; (Positive), B&amp;H &gt; Reliable / Trustworthy &gt; (Positive), Trade In &gt; Overall Process &gt; (No opinion), Trade In &gt; Overall Process &gt; (Positive), Trade In &gt; Timeliness of Payment &gt; (Negative), Trade In &gt; Timeliness of Quote &gt; (Negative)"/>
    <s v="Yes"/>
    <s v="No"/>
    <m/>
    <x v="0"/>
    <x v="32"/>
    <x v="36"/>
    <m/>
    <x v="0"/>
    <x v="0"/>
  </r>
  <r>
    <s v="Daniel Harvey - Used Trade-In Product"/>
    <n v="6"/>
    <n v="2"/>
    <d v="2026-01-07T11:44:53"/>
    <n v="5110291"/>
    <s v="Used Trade-In Product"/>
    <m/>
    <s v="Daniel Harvey"/>
    <m/>
    <s v="daniel_harvey18@yahoo.com"/>
    <m/>
    <m/>
    <m/>
    <s v="2 years 11 months"/>
    <s v="No"/>
    <m/>
    <m/>
    <s v="daniel_harvey18@yahoo.com"/>
    <s v="35"/>
    <m/>
    <m/>
    <m/>
    <m/>
    <m/>
    <m/>
    <m/>
    <m/>
    <d v="2026-01-16T10:37:20"/>
    <d v="2026-01-07T14:20:21"/>
    <m/>
    <s v="1129099"/>
    <m/>
    <m/>
    <m/>
    <m/>
    <m/>
    <m/>
    <m/>
    <m/>
    <m/>
    <m/>
    <m/>
    <m/>
    <m/>
    <m/>
    <m/>
    <m/>
    <m/>
    <m/>
    <m/>
    <m/>
    <m/>
    <m/>
    <s v="https://bnh.lightning.force.com/0018X00003BSr0DQAT"/>
    <m/>
    <m/>
    <m/>
    <m/>
    <m/>
    <m/>
    <m/>
    <m/>
    <m/>
    <m/>
    <m/>
    <m/>
    <m/>
    <m/>
    <m/>
    <m/>
    <m/>
    <m/>
    <m/>
    <m/>
    <m/>
    <m/>
    <m/>
    <m/>
    <m/>
    <m/>
    <m/>
    <m/>
    <m/>
    <m/>
    <m/>
    <m/>
    <m/>
    <m/>
    <m/>
    <m/>
    <m/>
    <m/>
    <s v="CAD"/>
    <m/>
    <s v="No"/>
    <s v="Aine Hoye,Avraham Schwartz,Reina Caba"/>
    <s v="Reina Caba"/>
    <d v="2026-01-07T11:43:52"/>
    <s v="Detractor "/>
    <s v="Closed"/>
    <d v="2026-01-16T10:37:13"/>
    <s v="Reina Caba (reinac@bhphoto.com)"/>
    <s v="Yes"/>
    <m/>
    <m/>
    <m/>
    <m/>
    <m/>
    <m/>
    <m/>
    <m/>
    <m/>
    <m/>
    <m/>
    <m/>
    <m/>
    <m/>
    <m/>
    <m/>
    <m/>
    <m/>
    <m/>
    <m/>
    <m/>
    <s v="Was very impersonal about telling me that they wouldn't buy my gear and as to why they wouldn't. _x000a__x000a_But, to be fair, this is my first rejection. My other selling experiences have been good."/>
    <m/>
    <m/>
    <m/>
    <m/>
    <m/>
    <m/>
    <m/>
    <m/>
    <m/>
    <m/>
    <m/>
    <m/>
    <m/>
    <m/>
    <m/>
    <m/>
    <m/>
    <m/>
    <m/>
    <m/>
    <m/>
    <m/>
    <m/>
    <m/>
    <m/>
    <m/>
    <m/>
    <m/>
    <m/>
    <m/>
    <m/>
    <m/>
    <m/>
    <m/>
    <m/>
    <m/>
    <m/>
    <m/>
    <m/>
    <m/>
    <m/>
    <m/>
    <m/>
    <m/>
    <m/>
    <m/>
    <m/>
    <m/>
    <m/>
    <m/>
    <m/>
    <m/>
    <m/>
    <m/>
    <m/>
    <m/>
    <m/>
    <m/>
    <m/>
    <m/>
    <m/>
    <m/>
    <m/>
    <m/>
    <m/>
    <m/>
    <m/>
    <m/>
    <m/>
    <m/>
    <m/>
    <m/>
    <m/>
    <m/>
    <m/>
    <m/>
    <m/>
    <m/>
    <m/>
    <m/>
    <m/>
    <m/>
    <m/>
    <s v="Was very impersonal about telling me that they wouldn't buy my gear and as to why they wouldn't. _x000a__x000a_But, to be fair, this is my first rejection. My other selling experiences have been goo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s v="N/A"/>
    <m/>
    <m/>
    <m/>
    <m/>
    <n v="2"/>
    <n v="2"/>
    <m/>
    <m/>
    <m/>
    <m/>
    <m/>
    <m/>
    <n v="2"/>
    <n v="2"/>
    <n v="3"/>
    <s v="N/A"/>
    <m/>
    <m/>
    <m/>
    <m/>
    <m/>
    <m/>
    <m/>
    <m/>
    <m/>
    <m/>
    <m/>
    <m/>
    <m/>
    <m/>
    <m/>
    <m/>
    <m/>
    <m/>
    <m/>
    <m/>
    <m/>
    <m/>
    <m/>
    <m/>
    <m/>
    <m/>
    <m/>
    <m/>
    <m/>
    <m/>
    <m/>
    <m/>
    <m/>
    <m/>
    <m/>
    <m/>
    <m/>
    <m/>
    <m/>
    <m/>
    <m/>
    <m/>
    <m/>
    <m/>
    <m/>
    <m/>
    <m/>
    <m/>
    <m/>
    <m/>
    <m/>
    <m/>
    <m/>
    <m/>
    <m/>
    <m/>
    <m/>
    <m/>
    <m/>
    <m/>
    <m/>
    <m/>
    <m/>
    <m/>
    <m/>
    <m/>
    <m/>
    <m/>
    <m/>
    <m/>
    <m/>
    <m/>
    <m/>
    <m/>
    <m/>
    <m/>
    <m/>
    <m/>
    <m/>
    <m/>
    <m/>
    <m/>
    <m/>
    <m/>
    <m/>
    <m/>
    <m/>
    <m/>
    <m/>
    <m/>
    <m/>
    <m/>
    <m/>
    <m/>
    <m/>
    <m/>
    <m/>
    <m/>
    <m/>
    <m/>
    <m/>
    <s v="B&amp;H &gt; Satisfaction &gt;"/>
    <s v="People &gt; Courtesy / Professional &gt;, Trade In &gt; Overall Process &gt;"/>
    <m/>
    <m/>
    <s v="B&amp;H &gt; Satisfaction &gt; (Positive)"/>
    <s v="People &gt; Courtesy / Professional &gt; (Negative), Trade In &gt; Overall Process &gt; (Negative), Trade In &gt; Overall Process &gt; (Positive)"/>
    <s v="Yes"/>
    <s v="Yes"/>
    <m/>
    <x v="24"/>
    <x v="50"/>
    <x v="0"/>
    <m/>
    <x v="0"/>
    <x v="0"/>
  </r>
  <r>
    <s v="Jillian Green - Used Trade-In Product"/>
    <n v="10"/>
    <n v="5"/>
    <d v="2026-01-07T10:58:43"/>
    <n v="5110151"/>
    <s v="Used Trade-In Product"/>
    <m/>
    <s v="Jillian Green"/>
    <m/>
    <s v="jillian@thejamesagency.com"/>
    <m/>
    <m/>
    <m/>
    <s v="3 years 5 months"/>
    <s v="No"/>
    <m/>
    <m/>
    <s v="jillian@thejamesagency.com"/>
    <s v="41"/>
    <m/>
    <m/>
    <m/>
    <m/>
    <m/>
    <m/>
    <m/>
    <m/>
    <d v="2026-01-07T14:01:32"/>
    <d v="2026-01-07T12:48:29"/>
    <m/>
    <s v="1126189"/>
    <m/>
    <m/>
    <m/>
    <m/>
    <m/>
    <m/>
    <m/>
    <m/>
    <m/>
    <m/>
    <m/>
    <m/>
    <m/>
    <m/>
    <m/>
    <m/>
    <m/>
    <m/>
    <m/>
    <m/>
    <m/>
    <m/>
    <s v="https://bnh.lightning.force.com/0018X000032ff04QAA"/>
    <m/>
    <m/>
    <m/>
    <m/>
    <m/>
    <m/>
    <m/>
    <m/>
    <m/>
    <m/>
    <m/>
    <m/>
    <m/>
    <m/>
    <m/>
    <m/>
    <m/>
    <m/>
    <m/>
    <m/>
    <m/>
    <m/>
    <m/>
    <m/>
    <m/>
    <m/>
    <m/>
    <m/>
    <m/>
    <m/>
    <m/>
    <m/>
    <m/>
    <m/>
    <m/>
    <m/>
    <m/>
    <m/>
    <s v="CAD"/>
    <m/>
    <s v="No"/>
    <s v="Nick Badame"/>
    <s v="Nick Badame"/>
    <d v="2026-01-07T10:59:50"/>
    <s v="Promoter"/>
    <s v="Closed"/>
    <m/>
    <m/>
    <s v="Yes"/>
    <m/>
    <m/>
    <m/>
    <m/>
    <m/>
    <m/>
    <m/>
    <m/>
    <m/>
    <m/>
    <m/>
    <m/>
    <m/>
    <m/>
    <m/>
    <m/>
    <s v="much easier and more trustworthy than local reselling"/>
    <m/>
    <m/>
    <m/>
    <m/>
    <m/>
    <m/>
    <m/>
    <m/>
    <m/>
    <m/>
    <m/>
    <m/>
    <m/>
    <m/>
    <m/>
    <m/>
    <m/>
    <m/>
    <m/>
    <m/>
    <m/>
    <m/>
    <m/>
    <m/>
    <m/>
    <m/>
    <m/>
    <m/>
    <m/>
    <m/>
    <m/>
    <m/>
    <m/>
    <m/>
    <m/>
    <m/>
    <m/>
    <m/>
    <m/>
    <m/>
    <m/>
    <m/>
    <m/>
    <m/>
    <m/>
    <m/>
    <m/>
    <m/>
    <m/>
    <m/>
    <m/>
    <m/>
    <m/>
    <m/>
    <m/>
    <m/>
    <m/>
    <m/>
    <m/>
    <m/>
    <m/>
    <m/>
    <m/>
    <m/>
    <m/>
    <m/>
    <m/>
    <m/>
    <m/>
    <m/>
    <m/>
    <m/>
    <m/>
    <m/>
    <m/>
    <m/>
    <m/>
    <m/>
    <m/>
    <m/>
    <m/>
    <m/>
    <m/>
    <m/>
    <m/>
    <m/>
    <m/>
    <s v="much easier and more trustworthy than local resell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Reliable / Trustworthy &gt;, Trade In &gt; Overall Process &gt;"/>
    <m/>
    <m/>
    <m/>
    <s v="B&amp;H &gt; Reliable / Trustworthy &gt; (Positive), Trade In &gt; Overall Process &gt; (Positive)"/>
    <s v="Yes"/>
    <s v="No"/>
    <m/>
    <x v="17"/>
    <x v="0"/>
    <x v="0"/>
    <m/>
    <x v="0"/>
    <x v="0"/>
  </r>
  <r>
    <s v="Nell Cant - Used Trade-In Product"/>
    <n v="10"/>
    <n v="5"/>
    <d v="2026-01-07T10:41:28"/>
    <n v="5110057"/>
    <s v="Used Trade-In Product"/>
    <m/>
    <s v="Nell Cant"/>
    <m/>
    <s v="nellcant@neuro.duke.edu"/>
    <m/>
    <m/>
    <m/>
    <s v="4 years 2 months"/>
    <s v="No"/>
    <m/>
    <m/>
    <s v="nellcant@neuro.duke.edu"/>
    <s v="50"/>
    <m/>
    <m/>
    <m/>
    <m/>
    <m/>
    <m/>
    <m/>
    <m/>
    <d v="2026-01-16T10:07:25"/>
    <d v="2026-01-07T12:48:46"/>
    <m/>
    <s v="1129655"/>
    <m/>
    <m/>
    <m/>
    <m/>
    <m/>
    <m/>
    <m/>
    <m/>
    <m/>
    <m/>
    <m/>
    <m/>
    <m/>
    <m/>
    <m/>
    <m/>
    <m/>
    <m/>
    <m/>
    <m/>
    <m/>
    <m/>
    <s v="https://bnh.lightning.force.com/0012L00001JRWIZQA5"/>
    <m/>
    <m/>
    <m/>
    <m/>
    <m/>
    <m/>
    <m/>
    <m/>
    <m/>
    <m/>
    <m/>
    <m/>
    <m/>
    <m/>
    <m/>
    <m/>
    <m/>
    <m/>
    <m/>
    <m/>
    <m/>
    <m/>
    <m/>
    <m/>
    <m/>
    <m/>
    <m/>
    <m/>
    <m/>
    <m/>
    <m/>
    <m/>
    <m/>
    <m/>
    <m/>
    <m/>
    <m/>
    <m/>
    <s v="CAD"/>
    <m/>
    <s v="No"/>
    <s v="Nick Badame,Avraham Schwartz,Reina Caba"/>
    <s v="Reina Caba"/>
    <d v="2026-01-07T10:32:26"/>
    <s v="Promoter"/>
    <s v="Closed"/>
    <d v="2026-01-16T10:07:21"/>
    <s v="Reina Caba (reinac@bhphoto.com)"/>
    <s v="Yes"/>
    <m/>
    <m/>
    <m/>
    <m/>
    <m/>
    <m/>
    <m/>
    <m/>
    <m/>
    <m/>
    <m/>
    <m/>
    <m/>
    <m/>
    <m/>
    <m/>
    <s v="It was easy, fast and I was kept informed about the process."/>
    <m/>
    <m/>
    <m/>
    <m/>
    <s v="I sold you a Canon EF to RF lens adapter. There are three versions of this adapter, but there was only one choice on your list. I knew that the one I had (the simplest one) was probably not worth what was quoted, but since that was the only choice I went with it. Sure enough, one of your nice people called me to say that the price you could pay was less than the quote. (Although I am putting this in the &quot;dislike&quot; box, I think that the phone call was a very nice gesture!) Since I felt all along that there must be something wrong with the original quote, I was happy to take a lesser amount for my adapter. I am writing this here because there might be some people who would be less forgiving about this kind of lack of clarity in the choices provided."/>
    <m/>
    <m/>
    <m/>
    <m/>
    <m/>
    <m/>
    <m/>
    <m/>
    <m/>
    <m/>
    <m/>
    <m/>
    <m/>
    <m/>
    <m/>
    <m/>
    <m/>
    <m/>
    <m/>
    <m/>
    <m/>
    <m/>
    <m/>
    <m/>
    <m/>
    <m/>
    <m/>
    <m/>
    <m/>
    <m/>
    <m/>
    <m/>
    <m/>
    <m/>
    <m/>
    <m/>
    <m/>
    <m/>
    <m/>
    <m/>
    <m/>
    <m/>
    <m/>
    <m/>
    <m/>
    <m/>
    <m/>
    <m/>
    <m/>
    <m/>
    <m/>
    <m/>
    <m/>
    <m/>
    <m/>
    <m/>
    <m/>
    <m/>
    <m/>
    <m/>
    <m/>
    <m/>
    <m/>
    <m/>
    <m/>
    <m/>
    <m/>
    <m/>
    <m/>
    <m/>
    <m/>
    <m/>
    <m/>
    <m/>
    <m/>
    <m/>
    <m/>
    <m/>
    <m/>
    <m/>
    <m/>
    <m/>
    <s v="It was easy, fast and I was kept informed about the process."/>
    <s v="I sold you a Canon EF to RF lens adapter. There are three versions of this adapter, but there was only one choice on your list. I knew that the one I had (the simplest one) was probably not worth what was quoted, but since that was the only choice I went with it. Sure enough, one of your nice people called me to say that the price you could pay was less than the quote. (Although I am putting this in the &quot;dislike&quot; box, I think that the phone call was a very nice gesture!) Since I felt all along that there must be something wrong with the original quote, I was happy to take a lesser amount for my adapter. I am writing this here because there might be some people who would be less forgiving about this kind of lack of clarity in the choices provid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3"/>
    <n v="5"/>
    <m/>
    <m/>
    <m/>
    <m/>
    <m/>
    <m/>
    <n v="5"/>
    <n v="5"/>
    <n v="5"/>
    <n v="5"/>
    <m/>
    <m/>
    <m/>
    <m/>
    <m/>
    <m/>
    <m/>
    <m/>
    <m/>
    <m/>
    <m/>
    <m/>
    <m/>
    <m/>
    <m/>
    <m/>
    <m/>
    <m/>
    <m/>
    <m/>
    <m/>
    <m/>
    <m/>
    <m/>
    <m/>
    <m/>
    <m/>
    <m/>
    <m/>
    <m/>
    <m/>
    <m/>
    <m/>
    <m/>
    <m/>
    <m/>
    <m/>
    <m/>
    <m/>
    <m/>
    <m/>
    <m/>
    <m/>
    <m/>
    <m/>
    <m/>
    <m/>
    <m/>
    <m/>
    <m/>
    <m/>
    <m/>
    <m/>
    <m/>
    <m/>
    <m/>
    <m/>
    <m/>
    <m/>
    <m/>
    <m/>
    <m/>
    <m/>
    <m/>
    <m/>
    <m/>
    <m/>
    <m/>
    <m/>
    <m/>
    <m/>
    <m/>
    <m/>
    <m/>
    <m/>
    <m/>
    <m/>
    <m/>
    <m/>
    <m/>
    <m/>
    <m/>
    <m/>
    <m/>
    <m/>
    <m/>
    <m/>
    <m/>
    <m/>
    <m/>
    <m/>
    <m/>
    <m/>
    <m/>
    <m/>
    <m/>
    <m/>
    <m/>
    <m/>
    <m/>
    <m/>
    <s v="People &gt; Communication Skills &gt;, People &gt; Courtesy / Professional &gt;, People &gt; Overall Satisfaction &gt;, Pricing &gt; Value for Money &gt;, Trade In &gt; Overall Process &gt;, Used &gt; Pricing &gt;"/>
    <s v="People &gt; Courtesy / Professional &gt;, People &gt; Follow Up &gt;, Trade In &gt; Overall Process &gt;, Trade In &gt; Quote Price &gt;"/>
    <m/>
    <m/>
    <s v="People &gt; Communication Skills &gt; (Positive), People &gt; Courtesy / Professional &gt; (Negative), People &gt; Courtesy / Professional &gt; (Positive), People &gt; Overall Satisfaction &gt; (Positive), Pricing &gt; Value for Money &gt; (Positive), Trade In &gt; Overall Process &gt; (Negative), Trade In &gt; Overall Process &gt; (Positive), Used &gt; Pricing &gt; (Positive)"/>
    <s v="People &gt; Courtesy / Professional &gt; (Negative), People &gt; Follow Up &gt; (Negative), People &gt; Follow Up &gt; (Positive), Trade In &gt; Overall Process &gt; (Negative), Trade In &gt; Overall Process &gt; (Positive), Trade In &gt; Quote Price &gt; (Negative), Trade In &gt; Quote Price &gt; (Positive)"/>
    <s v="Yes"/>
    <s v="Yes"/>
    <m/>
    <x v="0"/>
    <x v="46"/>
    <x v="0"/>
    <m/>
    <x v="0"/>
    <x v="0"/>
  </r>
  <r>
    <s v="Bill Bomberry - Used Trade-In Product"/>
    <n v="10"/>
    <n v="5"/>
    <d v="2026-01-07T10:14:23"/>
    <n v="5109958"/>
    <s v="Used Trade-In Product"/>
    <m/>
    <s v="Bill Bomberry"/>
    <m/>
    <s v="billb719@gmail.com"/>
    <m/>
    <m/>
    <m/>
    <s v="8 months"/>
    <s v="No"/>
    <m/>
    <m/>
    <s v="billb719@gmail.com"/>
    <s v="8"/>
    <m/>
    <m/>
    <m/>
    <m/>
    <m/>
    <m/>
    <m/>
    <m/>
    <d v="2026-01-07T13:44:05"/>
    <d v="2026-01-07T12:49:59"/>
    <m/>
    <s v="1130655"/>
    <m/>
    <m/>
    <m/>
    <m/>
    <m/>
    <m/>
    <m/>
    <m/>
    <m/>
    <m/>
    <m/>
    <m/>
    <m/>
    <m/>
    <m/>
    <m/>
    <m/>
    <m/>
    <m/>
    <m/>
    <m/>
    <m/>
    <s v="https://bnh.lightning.force.com/0012L0000100ehFQAQ"/>
    <m/>
    <m/>
    <m/>
    <m/>
    <m/>
    <m/>
    <m/>
    <m/>
    <m/>
    <m/>
    <m/>
    <m/>
    <m/>
    <m/>
    <m/>
    <m/>
    <m/>
    <m/>
    <m/>
    <m/>
    <m/>
    <m/>
    <m/>
    <m/>
    <m/>
    <m/>
    <m/>
    <m/>
    <m/>
    <m/>
    <m/>
    <m/>
    <m/>
    <m/>
    <m/>
    <m/>
    <m/>
    <m/>
    <s v="CAD"/>
    <m/>
    <s v="No"/>
    <s v="Nick Badame"/>
    <s v="Nick Badame"/>
    <d v="2026-01-07T10:12:32"/>
    <s v="Promoter"/>
    <s v="Closed"/>
    <m/>
    <m/>
    <s v="Yes"/>
    <m/>
    <m/>
    <m/>
    <m/>
    <m/>
    <m/>
    <m/>
    <m/>
    <m/>
    <m/>
    <m/>
    <m/>
    <m/>
    <m/>
    <m/>
    <m/>
    <s v="The ease of selling the equipment. The online experience and also shipping it."/>
    <m/>
    <m/>
    <m/>
    <m/>
    <m/>
    <m/>
    <m/>
    <m/>
    <m/>
    <m/>
    <m/>
    <m/>
    <m/>
    <m/>
    <m/>
    <m/>
    <m/>
    <m/>
    <m/>
    <m/>
    <m/>
    <m/>
    <m/>
    <m/>
    <m/>
    <m/>
    <m/>
    <m/>
    <m/>
    <m/>
    <m/>
    <m/>
    <m/>
    <m/>
    <m/>
    <m/>
    <m/>
    <m/>
    <m/>
    <m/>
    <m/>
    <m/>
    <m/>
    <m/>
    <m/>
    <m/>
    <m/>
    <m/>
    <m/>
    <m/>
    <m/>
    <m/>
    <m/>
    <m/>
    <m/>
    <m/>
    <m/>
    <m/>
    <m/>
    <m/>
    <m/>
    <m/>
    <m/>
    <m/>
    <m/>
    <m/>
    <m/>
    <m/>
    <m/>
    <m/>
    <m/>
    <m/>
    <m/>
    <m/>
    <m/>
    <m/>
    <m/>
    <m/>
    <m/>
    <m/>
    <m/>
    <m/>
    <m/>
    <m/>
    <m/>
    <m/>
    <m/>
    <s v="The ease of selling the equipment. The online experience and also shipping i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m/>
    <m/>
    <m/>
    <s v="Trade In &gt; Overall Process &gt; (Positive)"/>
    <s v="Yes"/>
    <s v="Yes"/>
    <m/>
    <x v="23"/>
    <x v="26"/>
    <x v="0"/>
    <m/>
    <x v="0"/>
    <x v="0"/>
  </r>
  <r>
    <s v="Carl Lindner - Used Trade-In Product"/>
    <n v="10"/>
    <n v="5"/>
    <d v="2026-01-07T10:06:45"/>
    <n v="5109928"/>
    <s v="Used Trade-In Product"/>
    <m/>
    <s v="Carl Lindner"/>
    <m/>
    <s v="max73@duck.com"/>
    <m/>
    <m/>
    <m/>
    <s v="1 months"/>
    <s v="No"/>
    <m/>
    <m/>
    <s v="max73@duck.com"/>
    <s v="1"/>
    <m/>
    <m/>
    <m/>
    <m/>
    <m/>
    <m/>
    <m/>
    <m/>
    <d v="2026-01-07T13:40:47"/>
    <d v="2026-01-07T12:49:38"/>
    <m/>
    <s v="1130789"/>
    <m/>
    <m/>
    <m/>
    <m/>
    <m/>
    <m/>
    <m/>
    <m/>
    <m/>
    <m/>
    <m/>
    <m/>
    <m/>
    <m/>
    <m/>
    <m/>
    <m/>
    <m/>
    <m/>
    <m/>
    <m/>
    <m/>
    <s v="https://bnh.lightning.force.com/001WP00000mxz7WYAQ"/>
    <m/>
    <m/>
    <m/>
    <m/>
    <m/>
    <m/>
    <m/>
    <m/>
    <m/>
    <m/>
    <m/>
    <m/>
    <m/>
    <m/>
    <m/>
    <m/>
    <m/>
    <m/>
    <m/>
    <m/>
    <m/>
    <m/>
    <m/>
    <m/>
    <m/>
    <m/>
    <m/>
    <m/>
    <m/>
    <m/>
    <m/>
    <m/>
    <m/>
    <m/>
    <m/>
    <m/>
    <m/>
    <m/>
    <s v="CAD"/>
    <m/>
    <s v="No"/>
    <s v="Nick Badame"/>
    <s v="Nick Badame"/>
    <d v="2026-01-07T10:06:11"/>
    <s v="Promoter"/>
    <s v="Closed"/>
    <m/>
    <m/>
    <s v="Yes"/>
    <m/>
    <m/>
    <m/>
    <m/>
    <m/>
    <m/>
    <m/>
    <m/>
    <m/>
    <m/>
    <m/>
    <m/>
    <m/>
    <m/>
    <m/>
    <m/>
    <s v="Very easy and straightforward process."/>
    <m/>
    <m/>
    <m/>
    <m/>
    <s v="Disliked nothing."/>
    <m/>
    <m/>
    <m/>
    <m/>
    <m/>
    <m/>
    <m/>
    <m/>
    <m/>
    <m/>
    <m/>
    <m/>
    <m/>
    <m/>
    <m/>
    <m/>
    <m/>
    <m/>
    <m/>
    <m/>
    <m/>
    <m/>
    <m/>
    <m/>
    <m/>
    <m/>
    <m/>
    <m/>
    <m/>
    <m/>
    <m/>
    <m/>
    <m/>
    <m/>
    <m/>
    <m/>
    <m/>
    <m/>
    <m/>
    <m/>
    <m/>
    <m/>
    <m/>
    <m/>
    <m/>
    <m/>
    <m/>
    <m/>
    <m/>
    <m/>
    <m/>
    <m/>
    <m/>
    <m/>
    <m/>
    <m/>
    <m/>
    <m/>
    <m/>
    <m/>
    <m/>
    <m/>
    <m/>
    <m/>
    <m/>
    <m/>
    <m/>
    <m/>
    <m/>
    <m/>
    <m/>
    <m/>
    <m/>
    <m/>
    <m/>
    <m/>
    <m/>
    <m/>
    <m/>
    <m/>
    <m/>
    <m/>
    <s v="Very easy and straightforward process."/>
    <s v="Disliked 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Yes"/>
    <m/>
    <x v="0"/>
    <x v="0"/>
    <x v="0"/>
    <m/>
    <x v="0"/>
    <x v="0"/>
  </r>
  <r>
    <s v="Dennis Eddlemon - Used Trade-In Product"/>
    <n v="10"/>
    <n v="5"/>
    <d v="2026-01-07T10:00:54"/>
    <n v="5109907"/>
    <s v="Used Trade-In Product"/>
    <m/>
    <s v="Dennis Eddlemon"/>
    <m/>
    <s v="dugan009mt@gmail.com"/>
    <m/>
    <m/>
    <m/>
    <s v="2 months"/>
    <s v="No"/>
    <m/>
    <m/>
    <s v="dugan009mt@gmail.com"/>
    <s v="2"/>
    <m/>
    <m/>
    <m/>
    <m/>
    <m/>
    <m/>
    <m/>
    <m/>
    <d v="2026-01-07T13:38:42"/>
    <d v="2026-01-07T12:50:02"/>
    <m/>
    <s v="1125538"/>
    <m/>
    <m/>
    <m/>
    <m/>
    <m/>
    <m/>
    <m/>
    <m/>
    <m/>
    <m/>
    <m/>
    <m/>
    <m/>
    <m/>
    <m/>
    <m/>
    <m/>
    <m/>
    <m/>
    <m/>
    <m/>
    <m/>
    <s v="https://bnh.lightning.force.com/001WP00000fkuGEYAY"/>
    <m/>
    <m/>
    <m/>
    <m/>
    <m/>
    <m/>
    <m/>
    <m/>
    <m/>
    <m/>
    <m/>
    <m/>
    <m/>
    <m/>
    <m/>
    <m/>
    <m/>
    <m/>
    <m/>
    <m/>
    <m/>
    <m/>
    <m/>
    <m/>
    <m/>
    <m/>
    <m/>
    <m/>
    <m/>
    <m/>
    <m/>
    <m/>
    <m/>
    <m/>
    <m/>
    <m/>
    <m/>
    <m/>
    <s v="CAD"/>
    <m/>
    <s v="No"/>
    <s v="Nick Badame"/>
    <s v="Nick Badame"/>
    <d v="2026-01-07T10:00:26"/>
    <s v="Promoter"/>
    <s v="Closed"/>
    <m/>
    <m/>
    <s v="Yes"/>
    <m/>
    <m/>
    <m/>
    <m/>
    <m/>
    <m/>
    <m/>
    <m/>
    <m/>
    <m/>
    <m/>
    <m/>
    <m/>
    <m/>
    <m/>
    <m/>
    <s v="The service technician was extremely knowledgeable concerning the equipment I had to sell. He was informative and easy to understand."/>
    <m/>
    <m/>
    <m/>
    <m/>
    <m/>
    <m/>
    <m/>
    <m/>
    <m/>
    <m/>
    <m/>
    <m/>
    <m/>
    <m/>
    <m/>
    <m/>
    <m/>
    <m/>
    <m/>
    <m/>
    <m/>
    <m/>
    <m/>
    <m/>
    <m/>
    <m/>
    <m/>
    <m/>
    <m/>
    <m/>
    <m/>
    <m/>
    <m/>
    <m/>
    <m/>
    <m/>
    <m/>
    <m/>
    <m/>
    <m/>
    <m/>
    <m/>
    <m/>
    <m/>
    <m/>
    <m/>
    <m/>
    <m/>
    <m/>
    <m/>
    <m/>
    <m/>
    <m/>
    <m/>
    <m/>
    <m/>
    <m/>
    <m/>
    <m/>
    <m/>
    <m/>
    <m/>
    <m/>
    <m/>
    <m/>
    <m/>
    <m/>
    <m/>
    <m/>
    <m/>
    <m/>
    <m/>
    <m/>
    <m/>
    <m/>
    <m/>
    <m/>
    <m/>
    <m/>
    <m/>
    <m/>
    <m/>
    <m/>
    <m/>
    <m/>
    <m/>
    <m/>
    <s v="The service technician was extremely knowledgeable concerning the equipment I had to sell. He was informative and easy to understan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4"/>
    <n v="5"/>
    <m/>
    <m/>
    <m/>
    <m/>
    <m/>
    <m/>
    <n v="5"/>
    <n v="5"/>
    <n v="5"/>
    <n v="4"/>
    <m/>
    <m/>
    <m/>
    <m/>
    <m/>
    <m/>
    <m/>
    <m/>
    <m/>
    <m/>
    <m/>
    <m/>
    <m/>
    <m/>
    <m/>
    <m/>
    <m/>
    <m/>
    <m/>
    <m/>
    <m/>
    <m/>
    <m/>
    <m/>
    <m/>
    <m/>
    <m/>
    <m/>
    <m/>
    <m/>
    <m/>
    <m/>
    <m/>
    <m/>
    <m/>
    <m/>
    <m/>
    <m/>
    <m/>
    <m/>
    <m/>
    <m/>
    <m/>
    <m/>
    <m/>
    <m/>
    <m/>
    <m/>
    <m/>
    <m/>
    <m/>
    <m/>
    <m/>
    <m/>
    <m/>
    <m/>
    <m/>
    <m/>
    <m/>
    <m/>
    <m/>
    <m/>
    <m/>
    <m/>
    <m/>
    <m/>
    <m/>
    <m/>
    <m/>
    <m/>
    <m/>
    <m/>
    <m/>
    <m/>
    <m/>
    <m/>
    <m/>
    <m/>
    <m/>
    <m/>
    <m/>
    <m/>
    <m/>
    <m/>
    <m/>
    <m/>
    <m/>
    <m/>
    <m/>
    <m/>
    <m/>
    <m/>
    <m/>
    <m/>
    <m/>
    <m/>
    <m/>
    <m/>
    <m/>
    <m/>
    <m/>
    <s v="People &gt; Courtesy / Professional &gt;, People &gt; Knowledge / Recommend &gt;"/>
    <s v="People &gt; Communication Skills &gt;, People &gt; Knowledge / Recommend &gt;"/>
    <m/>
    <s v="POSITIVE"/>
    <s v="People &gt; Courtesy / Professional &gt; (Positive), People &gt; Knowledge / Recommend &gt; (Positive)"/>
    <s v="People &gt; Communication Skills &gt; (Positive), People &gt; Knowledge / Recommend &gt; (Positive)"/>
    <s v="Yes"/>
    <s v="No"/>
    <m/>
    <x v="27"/>
    <x v="0"/>
    <x v="0"/>
    <m/>
    <x v="0"/>
    <x v="0"/>
  </r>
  <r>
    <s v="Kevin Ronstrom - Used Trade-In Product"/>
    <n v="9"/>
    <n v="5"/>
    <d v="2026-01-07T10:00:47"/>
    <n v="5109898"/>
    <s v="Used Trade-In Product"/>
    <m/>
    <s v="Kevin Ronstrom"/>
    <m/>
    <s v="kevin.ronstrom@gmail.com"/>
    <m/>
    <m/>
    <m/>
    <s v="16 years 11 months"/>
    <s v="No"/>
    <m/>
    <m/>
    <s v="kevin.ronstrom@gmail.com"/>
    <s v="203"/>
    <m/>
    <m/>
    <m/>
    <m/>
    <m/>
    <m/>
    <m/>
    <m/>
    <d v="2026-01-07T13:35:07"/>
    <d v="2026-01-07T12:50:16"/>
    <m/>
    <s v="1130787"/>
    <m/>
    <m/>
    <m/>
    <m/>
    <m/>
    <m/>
    <m/>
    <m/>
    <m/>
    <m/>
    <m/>
    <m/>
    <m/>
    <m/>
    <m/>
    <m/>
    <m/>
    <m/>
    <m/>
    <m/>
    <m/>
    <m/>
    <s v="https://bnh.lightning.force.com/0011a00000mHimWAAS"/>
    <m/>
    <m/>
    <m/>
    <m/>
    <m/>
    <m/>
    <m/>
    <m/>
    <m/>
    <m/>
    <m/>
    <m/>
    <m/>
    <m/>
    <m/>
    <m/>
    <m/>
    <m/>
    <m/>
    <m/>
    <m/>
    <m/>
    <m/>
    <m/>
    <m/>
    <m/>
    <m/>
    <m/>
    <m/>
    <m/>
    <m/>
    <m/>
    <m/>
    <m/>
    <m/>
    <m/>
    <m/>
    <m/>
    <s v="CAD"/>
    <m/>
    <s v="No"/>
    <s v="Gershon Orenstein"/>
    <s v="Gershon Orenstein"/>
    <d v="2026-01-07T09:59:31"/>
    <s v="Promoter"/>
    <s v="Closed"/>
    <m/>
    <m/>
    <s v="Yes"/>
    <m/>
    <m/>
    <m/>
    <m/>
    <m/>
    <m/>
    <m/>
    <m/>
    <m/>
    <m/>
    <m/>
    <m/>
    <m/>
    <m/>
    <m/>
    <m/>
    <s v="a very polished process and experience."/>
    <m/>
    <m/>
    <m/>
    <m/>
    <s v="Nothing really, the transaction was handled very professionally and it was straight forward."/>
    <m/>
    <m/>
    <m/>
    <m/>
    <m/>
    <m/>
    <m/>
    <m/>
    <m/>
    <m/>
    <m/>
    <m/>
    <m/>
    <m/>
    <m/>
    <m/>
    <m/>
    <m/>
    <m/>
    <m/>
    <m/>
    <m/>
    <m/>
    <m/>
    <m/>
    <m/>
    <m/>
    <m/>
    <m/>
    <m/>
    <m/>
    <m/>
    <m/>
    <m/>
    <m/>
    <m/>
    <m/>
    <m/>
    <m/>
    <m/>
    <m/>
    <m/>
    <m/>
    <m/>
    <m/>
    <m/>
    <m/>
    <m/>
    <m/>
    <m/>
    <m/>
    <m/>
    <m/>
    <m/>
    <m/>
    <m/>
    <m/>
    <m/>
    <m/>
    <m/>
    <m/>
    <m/>
    <m/>
    <m/>
    <m/>
    <m/>
    <m/>
    <m/>
    <m/>
    <m/>
    <m/>
    <m/>
    <m/>
    <m/>
    <m/>
    <m/>
    <m/>
    <m/>
    <m/>
    <m/>
    <m/>
    <m/>
    <s v="a very polished process and experience."/>
    <s v="Nothing really, the transaction was handled very professionally and it was straight forwar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People &gt; Courtesy / Professional &gt;, Trade In &gt; Overall Process &gt;"/>
    <m/>
    <m/>
    <s v="Trade In &gt; Overall Process &gt; (Positive)"/>
    <s v="People &gt; Courtesy / Professional &gt; (Positive), Trade In &gt; Overall Process &gt; (Positive)"/>
    <s v="Yes"/>
    <s v="No"/>
    <m/>
    <x v="34"/>
    <x v="24"/>
    <x v="0"/>
    <m/>
    <x v="0"/>
    <x v="0"/>
  </r>
  <r>
    <s v="Steven Kaiser - Used Trade-In Product"/>
    <n v="10"/>
    <n v="5"/>
    <d v="2026-01-07T09:57:14"/>
    <n v="5109886"/>
    <s v="Used Trade-In Product"/>
    <m/>
    <s v="Steven Kaiser"/>
    <m/>
    <s v="steve@stevenkaiser.net"/>
    <m/>
    <m/>
    <m/>
    <s v="1 months"/>
    <s v="No"/>
    <m/>
    <m/>
    <s v="steve@stevenkaiser.net"/>
    <s v="1"/>
    <m/>
    <m/>
    <m/>
    <m/>
    <m/>
    <m/>
    <m/>
    <m/>
    <d v="2026-01-16T10:00:55"/>
    <d v="2026-01-07T12:48:37"/>
    <m/>
    <s v="1129854"/>
    <m/>
    <m/>
    <m/>
    <m/>
    <m/>
    <m/>
    <m/>
    <m/>
    <m/>
    <m/>
    <m/>
    <m/>
    <m/>
    <m/>
    <m/>
    <m/>
    <m/>
    <m/>
    <m/>
    <m/>
    <m/>
    <m/>
    <s v="https://bnh.lightning.force.com/001WP00000mQNNQYA4"/>
    <m/>
    <m/>
    <m/>
    <m/>
    <m/>
    <m/>
    <m/>
    <m/>
    <m/>
    <m/>
    <m/>
    <m/>
    <m/>
    <m/>
    <m/>
    <m/>
    <m/>
    <m/>
    <m/>
    <m/>
    <m/>
    <m/>
    <m/>
    <m/>
    <m/>
    <m/>
    <m/>
    <m/>
    <m/>
    <m/>
    <m/>
    <m/>
    <m/>
    <m/>
    <m/>
    <m/>
    <m/>
    <m/>
    <s v="CAD"/>
    <m/>
    <s v="No"/>
    <s v="Gershon Orenstein,Avraham Schwartz,Reina Caba"/>
    <s v="Reina Caba"/>
    <d v="2026-01-07T09:56:20"/>
    <s v="Promoter"/>
    <s v="Closed"/>
    <m/>
    <m/>
    <s v="Yes"/>
    <m/>
    <m/>
    <m/>
    <m/>
    <m/>
    <m/>
    <m/>
    <m/>
    <m/>
    <m/>
    <m/>
    <m/>
    <m/>
    <m/>
    <m/>
    <m/>
    <s v="Only company I've dealt with that's honest on their used quotes.  I've sent in brand new gear to Adorama and KEH where they tried to low ball me for less than 50% of the quote... on quite literally brand new lenses.  I've been buying from you since I worked for Microsoft in 2007 because you're above board.  You're the first company I've actually sold used equipment to."/>
    <m/>
    <m/>
    <m/>
    <m/>
    <s v="Moderate speed on the used equipment inspection and check issuance, but I wouldn't say I disliked the speed.  You're swamped is my guess."/>
    <m/>
    <m/>
    <m/>
    <m/>
    <m/>
    <m/>
    <m/>
    <m/>
    <m/>
    <m/>
    <m/>
    <m/>
    <m/>
    <m/>
    <m/>
    <m/>
    <m/>
    <m/>
    <m/>
    <m/>
    <m/>
    <m/>
    <m/>
    <m/>
    <m/>
    <m/>
    <m/>
    <m/>
    <m/>
    <m/>
    <m/>
    <m/>
    <m/>
    <m/>
    <m/>
    <m/>
    <m/>
    <m/>
    <m/>
    <m/>
    <m/>
    <m/>
    <m/>
    <m/>
    <m/>
    <m/>
    <m/>
    <m/>
    <m/>
    <m/>
    <m/>
    <m/>
    <m/>
    <m/>
    <m/>
    <m/>
    <m/>
    <m/>
    <m/>
    <m/>
    <m/>
    <m/>
    <m/>
    <m/>
    <m/>
    <m/>
    <m/>
    <m/>
    <m/>
    <m/>
    <m/>
    <m/>
    <m/>
    <m/>
    <m/>
    <m/>
    <m/>
    <m/>
    <m/>
    <m/>
    <m/>
    <m/>
    <s v="Only company I've dealt with that's honest on their used quotes.  I've sent in brand new gear to Adorama and KEH where they tried to low ball me for less than 50% of the quote... on quite literally brand new lenses.  I've been buying from you since I worked for Microsoft in 2007 because you're above board.  You're the first company I've actually sold used equipment to."/>
    <s v="Moderate speed on the used equipment inspection and check issuance, but I wouldn't say I disliked the speed.  You're swamped is my gues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B&amp;H &gt; Competitor Mentions &gt;, Trade In &gt; Overall Process &gt;"/>
    <s v="B&amp;H &gt; Competitor Mentions &gt;, B&amp;H &gt; Loyalty &gt;, B&amp;H &gt; Reliable / Trustworthy &gt;, Trade In &gt; Overall Process &gt;, Trade In &gt; Quote Price &gt;, Trade In &gt; Timeliness of Payment &gt;, Trade In &gt; Timeliness of Quote &gt;"/>
    <m/>
    <m/>
    <s v="B&amp;H &gt; Competitor Mentions &gt; (Negative), Trade In &gt; Overall Process &gt; (Negative), Trade In &gt; Overall Process &gt; (Positive)"/>
    <s v="B&amp;H &gt; Competitor Mentions &gt; (Positive), B&amp;H &gt; Loyalty &gt; (Positive), B&amp;H &gt; Reliable / Trustworthy &gt; (Positive), Trade In &gt; Overall Process &gt; (Negative), Trade In &gt; Overall Process &gt; (Positive), Trade In &gt; Quote Price &gt; (Positive), Trade In &gt; Timeliness of Payment &gt; (Negative), Trade In &gt; Timeliness of Quote &gt; (Negative), Trade In &gt; Timeliness of Quote &gt; (Positive)"/>
    <s v="Yes"/>
    <s v="Yes"/>
    <m/>
    <x v="16"/>
    <x v="4"/>
    <x v="0"/>
    <m/>
    <x v="0"/>
    <x v="0"/>
  </r>
  <r>
    <s v="Jaimire Hankins - Used Trade-In Product"/>
    <n v="10"/>
    <n v="5"/>
    <d v="2026-01-07T09:50:22"/>
    <n v="5109857"/>
    <s v="Used Trade-In Product"/>
    <m/>
    <s v="Jaimire Hankins"/>
    <m/>
    <s v="hankinsjai@yahoo.com"/>
    <m/>
    <m/>
    <m/>
    <s v="2 months"/>
    <s v="No"/>
    <m/>
    <m/>
    <s v="hankinsjai@yahoo.com"/>
    <s v="2"/>
    <m/>
    <m/>
    <m/>
    <m/>
    <m/>
    <m/>
    <m/>
    <m/>
    <d v="2026-01-07T13:25:03"/>
    <d v="2026-01-07T12:49:20"/>
    <m/>
    <s v="1130045"/>
    <m/>
    <m/>
    <m/>
    <m/>
    <m/>
    <m/>
    <m/>
    <m/>
    <m/>
    <m/>
    <m/>
    <m/>
    <m/>
    <m/>
    <m/>
    <m/>
    <m/>
    <m/>
    <m/>
    <m/>
    <m/>
    <m/>
    <s v="https://bnh.lightning.force.com/001WP00000iZ0IcYAK"/>
    <m/>
    <m/>
    <m/>
    <m/>
    <m/>
    <m/>
    <m/>
    <m/>
    <m/>
    <m/>
    <m/>
    <m/>
    <m/>
    <m/>
    <m/>
    <m/>
    <m/>
    <m/>
    <m/>
    <m/>
    <m/>
    <m/>
    <m/>
    <m/>
    <m/>
    <m/>
    <m/>
    <m/>
    <m/>
    <m/>
    <m/>
    <m/>
    <m/>
    <m/>
    <m/>
    <m/>
    <m/>
    <m/>
    <s v="CAD"/>
    <m/>
    <s v="No"/>
    <s v="Gershon Orenstein"/>
    <s v="Gershon Orenstein"/>
    <d v="2026-01-07T09:50:42"/>
    <s v="Promoter"/>
    <s v="Closed"/>
    <m/>
    <m/>
    <s v="Yes"/>
    <m/>
    <m/>
    <m/>
    <m/>
    <m/>
    <m/>
    <m/>
    <m/>
    <m/>
    <m/>
    <m/>
    <m/>
    <m/>
    <m/>
    <m/>
    <m/>
    <s v="It slaps"/>
    <m/>
    <m/>
    <m/>
    <m/>
    <m/>
    <m/>
    <m/>
    <m/>
    <m/>
    <m/>
    <m/>
    <m/>
    <m/>
    <m/>
    <m/>
    <m/>
    <m/>
    <m/>
    <m/>
    <m/>
    <m/>
    <m/>
    <m/>
    <m/>
    <m/>
    <m/>
    <m/>
    <m/>
    <m/>
    <m/>
    <m/>
    <m/>
    <m/>
    <m/>
    <m/>
    <m/>
    <m/>
    <m/>
    <m/>
    <m/>
    <m/>
    <m/>
    <m/>
    <m/>
    <m/>
    <m/>
    <m/>
    <m/>
    <m/>
    <m/>
    <m/>
    <m/>
    <m/>
    <m/>
    <m/>
    <m/>
    <m/>
    <m/>
    <m/>
    <m/>
    <m/>
    <m/>
    <m/>
    <m/>
    <m/>
    <m/>
    <m/>
    <m/>
    <m/>
    <m/>
    <m/>
    <m/>
    <m/>
    <m/>
    <m/>
    <m/>
    <m/>
    <m/>
    <m/>
    <m/>
    <m/>
    <m/>
    <m/>
    <m/>
    <m/>
    <m/>
    <m/>
    <s v="It slap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B&amp;H &gt; Satisfaction &gt;"/>
    <m/>
    <m/>
    <m/>
    <s v="B&amp;H &gt; Satisfaction &gt; (Positive)"/>
    <s v="Yes"/>
    <s v="Yes"/>
    <m/>
    <x v="5"/>
    <x v="0"/>
    <x v="0"/>
    <m/>
    <x v="0"/>
    <x v="0"/>
  </r>
  <r>
    <s v="Paul L Markson - Used Trade-In Product"/>
    <n v="10"/>
    <n v="5"/>
    <d v="2026-01-07T08:35:01"/>
    <n v="5109572"/>
    <s v="Used Trade-In Product"/>
    <m/>
    <s v="Paul L Markson"/>
    <m/>
    <s v="oronopaul@yahoo.com"/>
    <m/>
    <m/>
    <m/>
    <s v="2 years 10 months"/>
    <s v="No"/>
    <m/>
    <m/>
    <s v="oronopaul@yahoo.com"/>
    <s v="34"/>
    <m/>
    <m/>
    <m/>
    <m/>
    <m/>
    <m/>
    <m/>
    <m/>
    <d v="2026-01-07T17:46:37"/>
    <d v="2026-01-06T15:18:45"/>
    <m/>
    <s v="1129993"/>
    <m/>
    <m/>
    <m/>
    <m/>
    <m/>
    <m/>
    <m/>
    <m/>
    <m/>
    <m/>
    <m/>
    <m/>
    <m/>
    <m/>
    <m/>
    <m/>
    <m/>
    <m/>
    <m/>
    <m/>
    <m/>
    <m/>
    <s v="https://bnh.lightning.force.com/0018X00003EdtHJQAZ"/>
    <m/>
    <m/>
    <m/>
    <m/>
    <m/>
    <m/>
    <m/>
    <m/>
    <m/>
    <m/>
    <m/>
    <m/>
    <m/>
    <m/>
    <m/>
    <m/>
    <m/>
    <m/>
    <m/>
    <m/>
    <m/>
    <m/>
    <m/>
    <m/>
    <m/>
    <m/>
    <m/>
    <m/>
    <m/>
    <m/>
    <m/>
    <m/>
    <m/>
    <m/>
    <m/>
    <m/>
    <m/>
    <m/>
    <s v="CAD"/>
    <m/>
    <s v="No"/>
    <s v="Gershon Orenstein,Avraham Schwartz,Reina Caba"/>
    <s v="Reina Caba"/>
    <d v="2026-01-07T08:35:22"/>
    <s v="Promoter"/>
    <s v="Closed"/>
    <m/>
    <m/>
    <s v="Yes"/>
    <m/>
    <m/>
    <m/>
    <m/>
    <m/>
    <m/>
    <m/>
    <m/>
    <m/>
    <m/>
    <m/>
    <m/>
    <m/>
    <m/>
    <m/>
    <m/>
    <m/>
    <m/>
    <m/>
    <m/>
    <m/>
    <s v="Took a few weeks to receive payment. But considering the time of year (late December) that is to ne expected."/>
    <m/>
    <m/>
    <m/>
    <m/>
    <m/>
    <m/>
    <m/>
    <m/>
    <m/>
    <m/>
    <m/>
    <m/>
    <m/>
    <m/>
    <m/>
    <m/>
    <m/>
    <m/>
    <m/>
    <m/>
    <m/>
    <m/>
    <m/>
    <m/>
    <m/>
    <m/>
    <m/>
    <m/>
    <m/>
    <m/>
    <m/>
    <m/>
    <m/>
    <m/>
    <m/>
    <m/>
    <m/>
    <m/>
    <m/>
    <m/>
    <m/>
    <m/>
    <m/>
    <m/>
    <m/>
    <m/>
    <m/>
    <m/>
    <m/>
    <m/>
    <m/>
    <m/>
    <m/>
    <m/>
    <m/>
    <m/>
    <m/>
    <m/>
    <m/>
    <m/>
    <m/>
    <m/>
    <m/>
    <m/>
    <m/>
    <m/>
    <m/>
    <m/>
    <m/>
    <m/>
    <m/>
    <m/>
    <m/>
    <m/>
    <m/>
    <m/>
    <m/>
    <m/>
    <m/>
    <m/>
    <m/>
    <m/>
    <m/>
    <s v="Took a few weeks to receive payment. But considering the time of year (late December) that is to ne expected."/>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4"/>
    <m/>
    <m/>
    <m/>
    <m/>
    <m/>
    <m/>
    <m/>
    <m/>
    <m/>
    <m/>
    <m/>
    <m/>
    <m/>
    <m/>
    <m/>
    <m/>
    <m/>
    <m/>
    <m/>
    <m/>
    <m/>
    <m/>
    <m/>
    <m/>
    <m/>
    <m/>
    <m/>
    <m/>
    <m/>
    <m/>
    <m/>
    <m/>
    <m/>
    <m/>
    <m/>
    <m/>
    <m/>
    <m/>
    <m/>
    <m/>
    <m/>
    <m/>
    <m/>
    <m/>
    <m/>
    <m/>
    <m/>
    <m/>
    <m/>
    <m/>
    <m/>
    <m/>
    <m/>
    <m/>
    <m/>
    <m/>
    <m/>
    <m/>
    <m/>
    <m/>
    <m/>
    <m/>
    <m/>
    <m/>
    <m/>
    <m/>
    <m/>
    <m/>
    <m/>
    <m/>
    <m/>
    <m/>
    <m/>
    <m/>
    <m/>
    <m/>
    <m/>
    <m/>
    <m/>
    <m/>
    <m/>
    <m/>
    <m/>
    <m/>
    <m/>
    <m/>
    <m/>
    <m/>
    <m/>
    <m/>
    <m/>
    <m/>
    <m/>
    <m/>
    <m/>
    <m/>
    <m/>
    <m/>
    <m/>
    <m/>
    <m/>
    <m/>
    <s v="Trade In &gt; Timeliness of Payment &gt;"/>
    <m/>
    <m/>
    <m/>
    <s v="Trade In &gt; Timeliness of Payment &gt; (Negative)"/>
    <s v="Yes"/>
    <s v="Yes"/>
    <m/>
    <x v="35"/>
    <x v="0"/>
    <x v="0"/>
    <m/>
    <x v="0"/>
    <x v="0"/>
  </r>
  <r>
    <s v="Jonathan Ramesbottom - Used Trade-In Product"/>
    <n v="10"/>
    <n v="5"/>
    <d v="2026-01-06T20:07:56"/>
    <n v="5108880"/>
    <s v="Used Trade-In Product"/>
    <m/>
    <s v="Jonathan Ramesbottom"/>
    <m/>
    <s v="jramesb@gmail.com"/>
    <m/>
    <m/>
    <m/>
    <s v="2 years 8 months"/>
    <s v="No"/>
    <m/>
    <m/>
    <s v="jramesb@gmail.com"/>
    <s v="32"/>
    <m/>
    <m/>
    <m/>
    <m/>
    <m/>
    <m/>
    <m/>
    <m/>
    <d v="2026-01-07T10:25:42"/>
    <d v="2025-12-31T12:52:44"/>
    <m/>
    <s v="1126255"/>
    <m/>
    <m/>
    <m/>
    <m/>
    <m/>
    <m/>
    <m/>
    <m/>
    <m/>
    <m/>
    <m/>
    <m/>
    <m/>
    <m/>
    <m/>
    <m/>
    <m/>
    <m/>
    <m/>
    <m/>
    <m/>
    <m/>
    <s v="https://bnh.lightning.force.com/0018X00003GIbCUQA1"/>
    <m/>
    <m/>
    <m/>
    <m/>
    <m/>
    <m/>
    <m/>
    <m/>
    <m/>
    <m/>
    <m/>
    <m/>
    <m/>
    <m/>
    <m/>
    <m/>
    <m/>
    <m/>
    <m/>
    <m/>
    <m/>
    <m/>
    <m/>
    <m/>
    <m/>
    <m/>
    <m/>
    <m/>
    <m/>
    <m/>
    <m/>
    <m/>
    <m/>
    <m/>
    <m/>
    <m/>
    <m/>
    <m/>
    <s v="CAD"/>
    <m/>
    <s v="No"/>
    <s v="Gershon Orenstein"/>
    <s v="Gershon Orenstein"/>
    <d v="2026-01-06T20:07:46"/>
    <s v="Promoter"/>
    <s v="Closed"/>
    <m/>
    <m/>
    <s v="Yes"/>
    <m/>
    <m/>
    <m/>
    <m/>
    <m/>
    <m/>
    <m/>
    <m/>
    <m/>
    <m/>
    <m/>
    <m/>
    <m/>
    <m/>
    <m/>
    <m/>
    <s v="Very simple web interface that asked relevant questions and provided quick and fair values for equipment"/>
    <m/>
    <m/>
    <m/>
    <m/>
    <m/>
    <m/>
    <m/>
    <m/>
    <m/>
    <m/>
    <m/>
    <m/>
    <m/>
    <m/>
    <m/>
    <m/>
    <m/>
    <m/>
    <m/>
    <m/>
    <m/>
    <m/>
    <m/>
    <m/>
    <m/>
    <m/>
    <m/>
    <m/>
    <m/>
    <m/>
    <m/>
    <m/>
    <m/>
    <m/>
    <m/>
    <m/>
    <m/>
    <m/>
    <m/>
    <m/>
    <m/>
    <m/>
    <m/>
    <m/>
    <m/>
    <m/>
    <m/>
    <m/>
    <m/>
    <m/>
    <m/>
    <m/>
    <m/>
    <m/>
    <m/>
    <m/>
    <m/>
    <m/>
    <m/>
    <m/>
    <m/>
    <m/>
    <m/>
    <m/>
    <m/>
    <m/>
    <m/>
    <m/>
    <m/>
    <m/>
    <m/>
    <m/>
    <m/>
    <m/>
    <m/>
    <m/>
    <m/>
    <m/>
    <m/>
    <m/>
    <m/>
    <m/>
    <m/>
    <m/>
    <m/>
    <m/>
    <m/>
    <s v="Very simple web interface that asked relevant questions and provided quick and fair values for equip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Trade In &gt; Overall Process &gt;, Trade In &gt; Quote Price &gt;, Trade In &gt; Timeliness of Quote &gt;"/>
    <m/>
    <m/>
    <m/>
    <s v="Trade In &gt; Overall Process &gt; (Positive), Trade In &gt; Quote Price &gt; (Positive), Trade In &gt; Timeliness of Quote &gt; (Positive)"/>
    <s v="Yes"/>
    <s v="No"/>
    <m/>
    <x v="28"/>
    <x v="65"/>
    <x v="0"/>
    <m/>
    <x v="0"/>
    <x v="0"/>
  </r>
  <r>
    <s v="Patricia Ouimette - Used Trade-In Product"/>
    <n v="3"/>
    <n v="2"/>
    <d v="2026-01-06T18:49:57"/>
    <n v="5108627"/>
    <s v="Used Trade-In Product"/>
    <m/>
    <s v="Patricia Ouimette"/>
    <m/>
    <s v="toccata@aol.com"/>
    <m/>
    <m/>
    <m/>
    <s v="9 years 0 months"/>
    <s v="No"/>
    <m/>
    <m/>
    <s v="toccata@aol.com"/>
    <s v="108"/>
    <m/>
    <m/>
    <m/>
    <m/>
    <m/>
    <m/>
    <m/>
    <m/>
    <d v="2026-01-14T16:28:50"/>
    <d v="2026-01-06T20:24:29"/>
    <m/>
    <s v="1119348"/>
    <m/>
    <m/>
    <m/>
    <m/>
    <m/>
    <m/>
    <m/>
    <m/>
    <m/>
    <m/>
    <m/>
    <m/>
    <m/>
    <m/>
    <m/>
    <m/>
    <m/>
    <m/>
    <m/>
    <m/>
    <m/>
    <m/>
    <s v="https://bnh.lightning.force.com/0011a00000bSKkXAAW"/>
    <m/>
    <m/>
    <m/>
    <m/>
    <m/>
    <m/>
    <m/>
    <m/>
    <m/>
    <m/>
    <m/>
    <m/>
    <m/>
    <m/>
    <m/>
    <m/>
    <m/>
    <m/>
    <m/>
    <m/>
    <m/>
    <m/>
    <m/>
    <m/>
    <m/>
    <m/>
    <m/>
    <m/>
    <m/>
    <m/>
    <m/>
    <m/>
    <m/>
    <m/>
    <m/>
    <m/>
    <m/>
    <m/>
    <s v="CAD"/>
    <m/>
    <s v="No"/>
    <s v="Gershon Orenstein,Avraham Schwartz,Reina Caba"/>
    <s v="Reina Caba"/>
    <d v="2026-01-06T18:48:55"/>
    <s v="Detractor "/>
    <s v="Closed"/>
    <d v="2026-01-14T16:28:45"/>
    <s v="Reina Caba (reinac@bhphoto.com)"/>
    <s v="Yes"/>
    <m/>
    <m/>
    <m/>
    <m/>
    <m/>
    <m/>
    <m/>
    <m/>
    <m/>
    <m/>
    <m/>
    <m/>
    <m/>
    <m/>
    <m/>
    <m/>
    <s v="B&amp;H answered every email and didn't put me off. I was dissatisfied with the outcome, not the service."/>
    <m/>
    <m/>
    <m/>
    <m/>
    <s v="The end result was so illogical. I wish I'd done things differently."/>
    <m/>
    <m/>
    <m/>
    <m/>
    <m/>
    <m/>
    <m/>
    <m/>
    <m/>
    <m/>
    <m/>
    <m/>
    <m/>
    <m/>
    <m/>
    <m/>
    <m/>
    <m/>
    <m/>
    <m/>
    <m/>
    <m/>
    <m/>
    <m/>
    <m/>
    <m/>
    <m/>
    <m/>
    <m/>
    <m/>
    <m/>
    <m/>
    <m/>
    <m/>
    <m/>
    <m/>
    <m/>
    <m/>
    <m/>
    <m/>
    <m/>
    <m/>
    <m/>
    <m/>
    <m/>
    <m/>
    <m/>
    <m/>
    <m/>
    <m/>
    <m/>
    <m/>
    <m/>
    <m/>
    <m/>
    <m/>
    <m/>
    <m/>
    <m/>
    <m/>
    <m/>
    <m/>
    <m/>
    <m/>
    <m/>
    <m/>
    <m/>
    <m/>
    <m/>
    <m/>
    <m/>
    <m/>
    <m/>
    <m/>
    <m/>
    <m/>
    <m/>
    <m/>
    <m/>
    <m/>
    <m/>
    <m/>
    <s v="B&amp;H answered every email and didn't put me off. I was dissatisfied with the outcome, not the service."/>
    <s v="The end result was so illogical. I wish I'd done things differently."/>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2"/>
    <m/>
    <m/>
    <m/>
    <m/>
    <n v="4"/>
    <n v="2"/>
    <m/>
    <m/>
    <m/>
    <m/>
    <m/>
    <m/>
    <n v="2"/>
    <n v="2"/>
    <n v="2"/>
    <n v="2"/>
    <m/>
    <m/>
    <m/>
    <m/>
    <m/>
    <m/>
    <m/>
    <m/>
    <m/>
    <m/>
    <m/>
    <m/>
    <m/>
    <m/>
    <m/>
    <m/>
    <m/>
    <m/>
    <m/>
    <m/>
    <m/>
    <m/>
    <m/>
    <m/>
    <m/>
    <m/>
    <m/>
    <m/>
    <m/>
    <m/>
    <m/>
    <m/>
    <m/>
    <m/>
    <m/>
    <m/>
    <m/>
    <m/>
    <m/>
    <m/>
    <m/>
    <m/>
    <m/>
    <m/>
    <m/>
    <m/>
    <m/>
    <m/>
    <m/>
    <m/>
    <m/>
    <m/>
    <m/>
    <m/>
    <m/>
    <m/>
    <m/>
    <m/>
    <m/>
    <m/>
    <m/>
    <m/>
    <m/>
    <m/>
    <m/>
    <m/>
    <m/>
    <m/>
    <m/>
    <m/>
    <m/>
    <m/>
    <m/>
    <m/>
    <m/>
    <m/>
    <m/>
    <m/>
    <m/>
    <m/>
    <m/>
    <m/>
    <m/>
    <m/>
    <m/>
    <m/>
    <m/>
    <m/>
    <m/>
    <m/>
    <m/>
    <m/>
    <m/>
    <m/>
    <m/>
    <m/>
    <m/>
    <m/>
    <m/>
    <m/>
    <m/>
    <m/>
    <s v="People &gt; Follow Up &gt;, Trade In &gt; Overall Process &gt;"/>
    <m/>
    <m/>
    <m/>
    <s v="People &gt; Follow Up &gt; (Positive), Trade In &gt; Overall Process &gt; (Negative)"/>
    <s v="Yes"/>
    <s v="No"/>
    <m/>
    <x v="31"/>
    <x v="0"/>
    <x v="0"/>
    <m/>
    <x v="0"/>
    <x v="0"/>
  </r>
  <r>
    <s v="Bonnie Schaeffer - Used Trade-In Product"/>
    <n v="10"/>
    <n v="5"/>
    <d v="2026-01-06T13:24:03"/>
    <n v="5107771"/>
    <s v="Used Trade-In Product"/>
    <m/>
    <s v="Bonnie Schaeffer"/>
    <m/>
    <s v="bon.schaeff@gmail.com"/>
    <m/>
    <m/>
    <m/>
    <s v="1 months"/>
    <s v="No"/>
    <m/>
    <m/>
    <s v="bon.schaeff@gmail.com"/>
    <s v="1"/>
    <m/>
    <m/>
    <m/>
    <m/>
    <m/>
    <m/>
    <m/>
    <m/>
    <d v="2026-01-06T16:07:12"/>
    <d v="2026-01-06T12:48:41"/>
    <m/>
    <s v="1129001"/>
    <m/>
    <m/>
    <m/>
    <m/>
    <m/>
    <m/>
    <m/>
    <m/>
    <m/>
    <m/>
    <m/>
    <m/>
    <m/>
    <m/>
    <m/>
    <m/>
    <m/>
    <m/>
    <m/>
    <m/>
    <m/>
    <m/>
    <s v="https://bnh.lightning.force.com/001WP00000lviL3YAI"/>
    <m/>
    <m/>
    <m/>
    <m/>
    <m/>
    <m/>
    <m/>
    <m/>
    <m/>
    <m/>
    <m/>
    <m/>
    <m/>
    <m/>
    <m/>
    <m/>
    <m/>
    <m/>
    <m/>
    <m/>
    <m/>
    <m/>
    <m/>
    <m/>
    <m/>
    <m/>
    <m/>
    <m/>
    <m/>
    <m/>
    <m/>
    <m/>
    <m/>
    <m/>
    <m/>
    <m/>
    <m/>
    <m/>
    <s v="CAD"/>
    <m/>
    <s v="No"/>
    <s v="Gershon Orenstein"/>
    <s v="Gershon Orenstein"/>
    <d v="2026-01-06T13:20:59"/>
    <s v="Promoter"/>
    <s v="Closed"/>
    <m/>
    <m/>
    <s v="Yes"/>
    <m/>
    <m/>
    <m/>
    <m/>
    <m/>
    <m/>
    <m/>
    <m/>
    <m/>
    <m/>
    <m/>
    <m/>
    <m/>
    <m/>
    <m/>
    <m/>
    <s v="First time using this service and was thoroughly impressed. Made it super easy to upgrade my gear for an upcoming trip. Great to know for future trade-ins."/>
    <m/>
    <m/>
    <m/>
    <m/>
    <m/>
    <m/>
    <m/>
    <m/>
    <m/>
    <m/>
    <m/>
    <m/>
    <m/>
    <m/>
    <m/>
    <m/>
    <m/>
    <m/>
    <m/>
    <m/>
    <m/>
    <m/>
    <m/>
    <m/>
    <m/>
    <m/>
    <m/>
    <m/>
    <m/>
    <m/>
    <m/>
    <m/>
    <m/>
    <m/>
    <m/>
    <m/>
    <m/>
    <m/>
    <m/>
    <m/>
    <m/>
    <m/>
    <m/>
    <m/>
    <m/>
    <m/>
    <m/>
    <m/>
    <m/>
    <m/>
    <m/>
    <m/>
    <m/>
    <m/>
    <m/>
    <m/>
    <m/>
    <m/>
    <m/>
    <m/>
    <m/>
    <m/>
    <m/>
    <m/>
    <m/>
    <m/>
    <m/>
    <m/>
    <m/>
    <m/>
    <m/>
    <m/>
    <m/>
    <m/>
    <m/>
    <m/>
    <m/>
    <m/>
    <m/>
    <m/>
    <m/>
    <m/>
    <m/>
    <m/>
    <m/>
    <m/>
    <m/>
    <s v="First time using this service and was thoroughly impressed. Made it super easy to upgrade my gear for an upcoming trip. Great to know for future trade-i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Used &gt; Description &gt;"/>
    <s v="Trade In &gt; Overall Process &gt;"/>
    <m/>
    <m/>
    <s v="Trade In &gt; Overall Process &gt; (Positive), Used &gt; Description &gt; (Positive)"/>
    <s v="Trade In &gt; Overall Process &gt; (Positive)"/>
    <s v="Yes"/>
    <s v="No"/>
    <m/>
    <x v="0"/>
    <x v="40"/>
    <x v="0"/>
    <m/>
    <x v="0"/>
    <x v="0"/>
  </r>
  <r>
    <s v="Kevin Kareckas - Used Trade-In Product"/>
    <n v="7"/>
    <n v="4"/>
    <d v="2026-01-06T11:38:22"/>
    <n v="5107378"/>
    <s v="Used Trade-In Product"/>
    <m/>
    <s v="Kevin Kareckas"/>
    <m/>
    <s v="kkareckas@cvsdvt.org"/>
    <m/>
    <m/>
    <m/>
    <s v="4 years 5 months"/>
    <s v="No"/>
    <m/>
    <m/>
    <s v="kkareckas@cvsdvt.org"/>
    <s v="53"/>
    <m/>
    <m/>
    <m/>
    <m/>
    <m/>
    <m/>
    <m/>
    <m/>
    <d v="2026-01-06T15:34:44"/>
    <d v="2026-01-06T12:48:09"/>
    <m/>
    <s v="1128863"/>
    <m/>
    <m/>
    <m/>
    <m/>
    <m/>
    <m/>
    <m/>
    <m/>
    <m/>
    <m/>
    <m/>
    <m/>
    <m/>
    <m/>
    <m/>
    <m/>
    <m/>
    <m/>
    <m/>
    <m/>
    <m/>
    <m/>
    <s v="https://bnh.lightning.force.com/0012L00001H463VQAR"/>
    <m/>
    <m/>
    <m/>
    <m/>
    <m/>
    <m/>
    <m/>
    <m/>
    <m/>
    <m/>
    <m/>
    <m/>
    <m/>
    <m/>
    <m/>
    <m/>
    <m/>
    <m/>
    <m/>
    <m/>
    <m/>
    <m/>
    <m/>
    <m/>
    <m/>
    <m/>
    <m/>
    <m/>
    <m/>
    <m/>
    <m/>
    <m/>
    <m/>
    <m/>
    <m/>
    <m/>
    <m/>
    <m/>
    <s v="CAD"/>
    <m/>
    <s v="No"/>
    <s v="Aine Hoye"/>
    <s v="Aine Hoye"/>
    <d v="2026-01-06T11:36:35"/>
    <s v="Passive"/>
    <s v="Closed"/>
    <m/>
    <m/>
    <s v="Yes"/>
    <m/>
    <m/>
    <m/>
    <m/>
    <m/>
    <m/>
    <m/>
    <m/>
    <m/>
    <m/>
    <m/>
    <m/>
    <m/>
    <m/>
    <m/>
    <m/>
    <s v="It was straight forward. I did the online route but then asked a follow up question. I was able to connect with a support specialist, online chat style, within three minutes and had my question answered in the fourth."/>
    <m/>
    <m/>
    <m/>
    <m/>
    <s v="This is NOT a B&amp;H issue: I wish I had recovered more of my initial investment in that specific gear item; but, what can I say? I got a very fair trade in offer and the initial valuation was honored as agreed after inspection. Check was in my hand very quickly. This made it much easier than private sale."/>
    <m/>
    <m/>
    <m/>
    <m/>
    <m/>
    <m/>
    <m/>
    <m/>
    <m/>
    <m/>
    <m/>
    <m/>
    <m/>
    <m/>
    <m/>
    <m/>
    <m/>
    <m/>
    <m/>
    <m/>
    <m/>
    <m/>
    <m/>
    <m/>
    <m/>
    <m/>
    <m/>
    <m/>
    <m/>
    <m/>
    <m/>
    <m/>
    <m/>
    <m/>
    <m/>
    <m/>
    <m/>
    <m/>
    <m/>
    <m/>
    <m/>
    <m/>
    <m/>
    <m/>
    <m/>
    <m/>
    <m/>
    <m/>
    <m/>
    <m/>
    <m/>
    <m/>
    <m/>
    <m/>
    <m/>
    <m/>
    <m/>
    <m/>
    <m/>
    <m/>
    <m/>
    <m/>
    <m/>
    <m/>
    <m/>
    <m/>
    <m/>
    <m/>
    <m/>
    <m/>
    <m/>
    <m/>
    <m/>
    <m/>
    <m/>
    <m/>
    <m/>
    <m/>
    <m/>
    <m/>
    <m/>
    <m/>
    <s v="It was straight forward. I did the online route but then asked a follow up question. I was able to connect with a support specialist, online chat style, within three minutes and had my question answered in the fourth."/>
    <s v="This is NOT a B&amp;H issue: I wish I had recovered more of my initial investment in that specific gear item; but, what can I say? I got a very fair trade in offer and the initial valuation was honored as agreed after inspection. Check was in my hand very quickly. This made it much easier than private sal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4"/>
    <n v="4"/>
    <n v="5"/>
    <n v="5"/>
    <m/>
    <m/>
    <m/>
    <m/>
    <m/>
    <m/>
    <m/>
    <m/>
    <m/>
    <m/>
    <m/>
    <m/>
    <m/>
    <m/>
    <m/>
    <m/>
    <m/>
    <m/>
    <m/>
    <m/>
    <m/>
    <m/>
    <m/>
    <m/>
    <m/>
    <m/>
    <m/>
    <m/>
    <m/>
    <m/>
    <m/>
    <m/>
    <m/>
    <m/>
    <m/>
    <m/>
    <m/>
    <m/>
    <m/>
    <m/>
    <m/>
    <m/>
    <m/>
    <m/>
    <m/>
    <m/>
    <m/>
    <m/>
    <m/>
    <m/>
    <m/>
    <m/>
    <m/>
    <m/>
    <m/>
    <m/>
    <m/>
    <m/>
    <m/>
    <m/>
    <m/>
    <m/>
    <m/>
    <m/>
    <m/>
    <m/>
    <m/>
    <m/>
    <m/>
    <m/>
    <m/>
    <m/>
    <m/>
    <m/>
    <m/>
    <m/>
    <m/>
    <m/>
    <m/>
    <m/>
    <m/>
    <m/>
    <m/>
    <m/>
    <m/>
    <m/>
    <m/>
    <m/>
    <m/>
    <m/>
    <m/>
    <m/>
    <m/>
    <m/>
    <m/>
    <m/>
    <m/>
    <m/>
    <m/>
    <m/>
    <m/>
    <s v="Chat Experience &gt; Wait Time &gt;, People &gt; Follow Up &gt;, Trade In &gt; Overall Process &gt;"/>
    <s v="Chat Experience &gt; Wait Time &gt;, People &gt; Knowledge / Recommend &gt;, Trade In &gt; Overall Process &gt;, Trade In &gt; Quote Price &gt;, Trade In &gt; Timeliness of Payment &gt;"/>
    <m/>
    <m/>
    <s v="Chat Experience &gt; Wait Time &gt; (Positive), People &gt; Follow Up &gt; (No opinion), Trade In &gt; Overall Process &gt; (Positive)"/>
    <s v="Chat Experience &gt; Wait Time &gt; (Positive), People &gt; Knowledge / Recommend &gt; (Positive), Trade In &gt; Overall Process &gt; (Positive), Trade In &gt; Quote Price &gt; (Positive), Trade In &gt; Timeliness of Payment &gt; (Positive)"/>
    <s v="Yes"/>
    <s v="Yes"/>
    <m/>
    <x v="25"/>
    <x v="21"/>
    <x v="37"/>
    <s v="Fast payment"/>
    <x v="5"/>
    <x v="0"/>
  </r>
  <r>
    <s v="Gary Wiemokly - Used Trade-In Product"/>
    <n v="10"/>
    <n v="5"/>
    <d v="2026-01-06T10:56:18"/>
    <n v="5107244"/>
    <s v="Used Trade-In Product"/>
    <m/>
    <s v="Gary Wiemokly"/>
    <m/>
    <s v="gwiemokl@gmail.com"/>
    <m/>
    <m/>
    <m/>
    <s v="1 months"/>
    <s v="No"/>
    <m/>
    <m/>
    <s v="gwiemokl@gmail.com"/>
    <s v="1"/>
    <m/>
    <m/>
    <m/>
    <m/>
    <m/>
    <m/>
    <m/>
    <m/>
    <d v="2026-01-06T15:03:52"/>
    <d v="2026-01-05T15:17:44"/>
    <m/>
    <s v="1131212"/>
    <m/>
    <m/>
    <m/>
    <m/>
    <m/>
    <m/>
    <m/>
    <m/>
    <m/>
    <m/>
    <m/>
    <m/>
    <m/>
    <m/>
    <m/>
    <m/>
    <m/>
    <m/>
    <m/>
    <m/>
    <m/>
    <m/>
    <s v="https://bnh.lightning.force.com/001WP00000nAlUrYAK"/>
    <m/>
    <m/>
    <m/>
    <m/>
    <m/>
    <m/>
    <m/>
    <m/>
    <m/>
    <m/>
    <m/>
    <m/>
    <m/>
    <m/>
    <m/>
    <m/>
    <m/>
    <m/>
    <m/>
    <m/>
    <m/>
    <m/>
    <m/>
    <m/>
    <m/>
    <m/>
    <m/>
    <m/>
    <m/>
    <m/>
    <m/>
    <m/>
    <m/>
    <m/>
    <m/>
    <m/>
    <m/>
    <m/>
    <s v="CAD"/>
    <m/>
    <s v="No"/>
    <s v="Aine Hoye"/>
    <s v="Aine Hoye"/>
    <d v="2026-01-06T10:52:14"/>
    <s v="Promoter"/>
    <s v="Closed"/>
    <m/>
    <m/>
    <s v="Yes"/>
    <m/>
    <m/>
    <m/>
    <m/>
    <m/>
    <m/>
    <m/>
    <m/>
    <m/>
    <m/>
    <m/>
    <m/>
    <m/>
    <m/>
    <m/>
    <m/>
    <s v="B&amp;H website is very good providing product information and comparisons. Trade-ins are also very easy to do - putting key product information and assessment of equipment. Easy to print off tag and ship it. Assessment comes in a few days and has always agreed with my determination."/>
    <m/>
    <m/>
    <m/>
    <m/>
    <s v="I get caught up in choosing if I want a check or store credit. Store credit has to be used with in-store purchase (not applicable from Colorado) or a phone call. Why can't store credit be put into my online account and then I order online? Your phone call staff are excellent - clear, knowledgeable, polite and fast. But it would be easier just clicking a button. My bigger problem is it is not super clear that store credit means I have to call...but I can live with all this (minor gripe)"/>
    <m/>
    <m/>
    <m/>
    <m/>
    <m/>
    <m/>
    <m/>
    <m/>
    <m/>
    <m/>
    <m/>
    <m/>
    <m/>
    <m/>
    <m/>
    <m/>
    <m/>
    <m/>
    <m/>
    <m/>
    <m/>
    <m/>
    <m/>
    <m/>
    <m/>
    <m/>
    <m/>
    <m/>
    <m/>
    <m/>
    <m/>
    <m/>
    <m/>
    <m/>
    <m/>
    <m/>
    <m/>
    <m/>
    <m/>
    <m/>
    <m/>
    <m/>
    <m/>
    <m/>
    <m/>
    <m/>
    <m/>
    <m/>
    <m/>
    <m/>
    <m/>
    <m/>
    <m/>
    <m/>
    <m/>
    <m/>
    <m/>
    <m/>
    <m/>
    <m/>
    <m/>
    <m/>
    <m/>
    <m/>
    <m/>
    <m/>
    <m/>
    <m/>
    <m/>
    <m/>
    <m/>
    <m/>
    <m/>
    <m/>
    <m/>
    <m/>
    <m/>
    <m/>
    <m/>
    <m/>
    <m/>
    <m/>
    <s v="B&amp;H website is very good providing product information and comparisons. Trade-ins are also very easy to do - putting key product information and assessment of equipment. Easy to print off tag and ship it. Assessment comes in a few days and has always agreed with my determination."/>
    <s v="I get caught up in choosing if I want a check or store credit. Store credit has to be used with in-store purchase (not applicable from Colorado) or a phone call. Why can't store credit be put into my online account and then I order online? Your phone call staff are excellent - clear, knowledgeable, polite and fast. But it would be easier just clicking a button. My bigger problem is it is not super clear that store credit means I have to call...but I can live with all this (minor grip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Geographical Location &gt;, People &gt; Courtesy / Professional &gt;, People &gt; Knowledge / Recommend &gt;, People &gt; Overall Satisfaction &gt;, Used &gt; Description &gt;, Used &gt; Product Quality &gt;, Website &gt; Content Product Details / Information &gt;"/>
    <s v="B&amp;H &gt; Geographical Location &gt;, People &gt; Courtesy / Professional &gt;, People &gt; Knowledge / Recommend &gt;, People &gt; Overall Satisfaction &gt;, Trade In &gt; Overall Process &gt;, Trade In &gt; Timeliness of Quote &gt;, Website &gt; Comparison / Compatibility Feature &gt;, Website &gt; Content Product Details / Information &gt;"/>
    <m/>
    <s v="NEUTRAL"/>
    <s v="B&amp;H &gt; Geographical Location &gt; (Negative), People &gt; Courtesy / Professional &gt; (Positive), People &gt; Knowledge / Recommend &gt; (Positive), People &gt; Overall Satisfaction &gt; (Positive), Used &gt; Description &gt; (Positive), Used &gt; Product Quality &gt; (Positive), Website &gt; Content Product Details / Information &gt; (Positive)"/>
    <s v="B&amp;H &gt; Geographical Location &gt; (Negative), People &gt; Courtesy / Professional &gt; (Positive), People &gt; Knowledge / Recommend &gt; (Positive), People &gt; Overall Satisfaction &gt; (Positive), Trade In &gt; Overall Process &gt; (Negative), Trade In &gt; Overall Process &gt; (Positive), Trade In &gt; Timeliness of Quote &gt; (Positive), Website &gt; Comparison / Compatibility Feature &gt; (Positive), Website &gt; Content Product Details / Information &gt; (Positive)"/>
    <s v="Yes"/>
    <s v="Yes"/>
    <m/>
    <x v="0"/>
    <x v="15"/>
    <x v="20"/>
    <s v="Wants transparency at the time of sale that store credit can NOT be applied online (must be confirmed through phone call)"/>
    <x v="0"/>
    <x v="0"/>
  </r>
  <r>
    <s v="Thom Duncan - Used Trade-In Product"/>
    <n v="10"/>
    <n v="5"/>
    <d v="2026-01-06T10:05:16"/>
    <n v="5107061"/>
    <s v="Used Trade-In Product"/>
    <m/>
    <s v="Thom Duncan"/>
    <m/>
    <s v="tduncan@abms.org"/>
    <m/>
    <m/>
    <m/>
    <s v="1 months"/>
    <s v="No"/>
    <m/>
    <m/>
    <s v="tduncan@abms.org"/>
    <s v="1"/>
    <m/>
    <m/>
    <m/>
    <m/>
    <m/>
    <m/>
    <m/>
    <m/>
    <d v="2026-01-06T15:31:21"/>
    <d v="2026-01-06T12:49:39"/>
    <m/>
    <s v="1129464"/>
    <m/>
    <m/>
    <m/>
    <m/>
    <m/>
    <m/>
    <m/>
    <m/>
    <m/>
    <m/>
    <m/>
    <m/>
    <m/>
    <m/>
    <m/>
    <m/>
    <m/>
    <m/>
    <m/>
    <m/>
    <m/>
    <m/>
    <s v="https://bnh.lightning.force.com/001WP00000mDFvHYAW"/>
    <m/>
    <m/>
    <m/>
    <m/>
    <m/>
    <m/>
    <m/>
    <m/>
    <m/>
    <m/>
    <m/>
    <m/>
    <m/>
    <m/>
    <m/>
    <m/>
    <m/>
    <m/>
    <m/>
    <m/>
    <m/>
    <m/>
    <m/>
    <m/>
    <m/>
    <m/>
    <m/>
    <m/>
    <m/>
    <m/>
    <m/>
    <m/>
    <m/>
    <m/>
    <m/>
    <m/>
    <m/>
    <m/>
    <s v="CAD"/>
    <m/>
    <s v="No"/>
    <s v="Aine Hoye"/>
    <s v="Aine Hoye"/>
    <d v="2026-01-06T10:03:24"/>
    <s v="Promoter"/>
    <s v="Closed"/>
    <m/>
    <m/>
    <s v="Yes"/>
    <m/>
    <m/>
    <m/>
    <m/>
    <m/>
    <m/>
    <m/>
    <m/>
    <m/>
    <m/>
    <m/>
    <m/>
    <m/>
    <m/>
    <m/>
    <m/>
    <s v="Personal outreach to confirm name on check"/>
    <m/>
    <m/>
    <m/>
    <m/>
    <s v="Finding exact match to lens"/>
    <m/>
    <m/>
    <m/>
    <m/>
    <m/>
    <m/>
    <m/>
    <m/>
    <m/>
    <m/>
    <m/>
    <m/>
    <m/>
    <m/>
    <m/>
    <m/>
    <m/>
    <m/>
    <m/>
    <m/>
    <m/>
    <m/>
    <m/>
    <m/>
    <m/>
    <m/>
    <m/>
    <m/>
    <m/>
    <m/>
    <m/>
    <m/>
    <m/>
    <m/>
    <m/>
    <m/>
    <m/>
    <m/>
    <m/>
    <m/>
    <m/>
    <m/>
    <m/>
    <m/>
    <m/>
    <m/>
    <m/>
    <m/>
    <m/>
    <m/>
    <m/>
    <m/>
    <m/>
    <m/>
    <m/>
    <m/>
    <m/>
    <m/>
    <m/>
    <m/>
    <m/>
    <m/>
    <m/>
    <m/>
    <m/>
    <m/>
    <m/>
    <m/>
    <m/>
    <m/>
    <m/>
    <m/>
    <m/>
    <m/>
    <m/>
    <m/>
    <m/>
    <m/>
    <m/>
    <m/>
    <m/>
    <m/>
    <s v="Personal outreach to confirm name on check"/>
    <s v="Finding exact match to lens"/>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2"/>
    <n v="5"/>
    <m/>
    <m/>
    <m/>
    <m/>
    <m/>
    <m/>
    <n v="5"/>
    <n v="5"/>
    <n v="5"/>
    <n v="5"/>
    <m/>
    <m/>
    <m/>
    <m/>
    <m/>
    <m/>
    <m/>
    <m/>
    <m/>
    <m/>
    <m/>
    <m/>
    <m/>
    <m/>
    <m/>
    <m/>
    <m/>
    <m/>
    <m/>
    <m/>
    <m/>
    <m/>
    <m/>
    <m/>
    <m/>
    <m/>
    <m/>
    <m/>
    <m/>
    <m/>
    <m/>
    <m/>
    <m/>
    <m/>
    <m/>
    <m/>
    <m/>
    <m/>
    <m/>
    <m/>
    <m/>
    <m/>
    <m/>
    <m/>
    <m/>
    <m/>
    <m/>
    <m/>
    <m/>
    <m/>
    <m/>
    <m/>
    <m/>
    <m/>
    <m/>
    <m/>
    <m/>
    <m/>
    <m/>
    <m/>
    <m/>
    <m/>
    <m/>
    <m/>
    <m/>
    <m/>
    <m/>
    <m/>
    <m/>
    <m/>
    <m/>
    <m/>
    <m/>
    <m/>
    <m/>
    <m/>
    <m/>
    <m/>
    <m/>
    <m/>
    <m/>
    <m/>
    <m/>
    <m/>
    <m/>
    <m/>
    <m/>
    <m/>
    <m/>
    <m/>
    <m/>
    <m/>
    <m/>
    <m/>
    <m/>
    <m/>
    <m/>
    <m/>
    <m/>
    <m/>
    <m/>
    <m/>
    <s v="People &gt; Follow Up &gt;, Trade In &gt; Overall Process &gt;"/>
    <m/>
    <m/>
    <m/>
    <s v="People &gt; Follow Up &gt; (Positive), Trade In &gt; Overall Process &gt; (Negative), Trade In &gt; Overall Process &gt; (Positive)"/>
    <s v="Yes"/>
    <s v="Yes"/>
    <m/>
    <x v="40"/>
    <x v="0"/>
    <x v="0"/>
    <m/>
    <x v="0"/>
    <x v="0"/>
  </r>
  <r>
    <s v="Yong Kim - Used Trade-In Product"/>
    <n v="10"/>
    <n v="5"/>
    <d v="2026-01-06T09:35:28"/>
    <n v="5106888"/>
    <s v="Used Trade-In Product"/>
    <m/>
    <s v="Yong Kim"/>
    <m/>
    <s v="yongk@fbcjax.com"/>
    <m/>
    <m/>
    <m/>
    <s v="2 months"/>
    <s v="No"/>
    <m/>
    <m/>
    <s v="yongk@fbcjax.com"/>
    <s v="2"/>
    <m/>
    <m/>
    <m/>
    <m/>
    <m/>
    <m/>
    <m/>
    <m/>
    <d v="2026-01-06T16:04:12"/>
    <d v="2025-12-26T13:10:31"/>
    <m/>
    <s v="1117452"/>
    <m/>
    <m/>
    <m/>
    <m/>
    <m/>
    <m/>
    <m/>
    <m/>
    <m/>
    <m/>
    <m/>
    <m/>
    <m/>
    <m/>
    <m/>
    <m/>
    <m/>
    <m/>
    <m/>
    <m/>
    <m/>
    <m/>
    <s v="https://bnh.lightning.force.com/001WP00000fvzTpYAI"/>
    <m/>
    <m/>
    <m/>
    <m/>
    <m/>
    <m/>
    <m/>
    <m/>
    <m/>
    <m/>
    <m/>
    <m/>
    <m/>
    <m/>
    <m/>
    <m/>
    <m/>
    <m/>
    <m/>
    <m/>
    <m/>
    <m/>
    <m/>
    <m/>
    <m/>
    <m/>
    <m/>
    <m/>
    <m/>
    <m/>
    <m/>
    <m/>
    <m/>
    <m/>
    <m/>
    <m/>
    <m/>
    <m/>
    <s v="CAD"/>
    <m/>
    <s v="No"/>
    <s v="Nick Badame"/>
    <s v="Nick Badame"/>
    <d v="2026-01-06T09:32:10"/>
    <s v="Promoter"/>
    <s v="Closed"/>
    <m/>
    <m/>
    <s v="Yes"/>
    <m/>
    <m/>
    <m/>
    <m/>
    <m/>
    <m/>
    <m/>
    <m/>
    <m/>
    <m/>
    <m/>
    <m/>
    <m/>
    <m/>
    <m/>
    <m/>
    <s v="Everything was so easy and everyone was super helpful! B&amp;H sets the standard!"/>
    <m/>
    <m/>
    <m/>
    <m/>
    <s v="Absolutely nothing the whole experience was great!"/>
    <m/>
    <m/>
    <m/>
    <m/>
    <m/>
    <m/>
    <m/>
    <m/>
    <m/>
    <m/>
    <m/>
    <m/>
    <m/>
    <m/>
    <m/>
    <m/>
    <m/>
    <m/>
    <m/>
    <m/>
    <m/>
    <m/>
    <m/>
    <m/>
    <m/>
    <m/>
    <m/>
    <m/>
    <m/>
    <m/>
    <m/>
    <m/>
    <m/>
    <m/>
    <m/>
    <m/>
    <m/>
    <m/>
    <m/>
    <m/>
    <m/>
    <m/>
    <m/>
    <m/>
    <m/>
    <m/>
    <m/>
    <m/>
    <m/>
    <m/>
    <m/>
    <m/>
    <m/>
    <m/>
    <m/>
    <m/>
    <m/>
    <m/>
    <m/>
    <m/>
    <m/>
    <m/>
    <m/>
    <m/>
    <m/>
    <m/>
    <m/>
    <m/>
    <m/>
    <m/>
    <m/>
    <m/>
    <m/>
    <m/>
    <m/>
    <m/>
    <m/>
    <m/>
    <m/>
    <m/>
    <m/>
    <m/>
    <s v="Everything was so easy and everyone was super helpful! B&amp;H sets the standard!"/>
    <s v="Absolutely nothing the whole experience was grea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B&amp;H &gt; Satisfaction &gt;, People &gt; Helpful / Efficient &gt;"/>
    <s v="B&amp;H &gt; Satisfaction &gt;, People &gt; Helpful / Efficient &gt;, Trade In &gt; Overall Process &gt;"/>
    <m/>
    <s v="POSITIVE"/>
    <s v="B&amp;H &gt; Satisfaction &gt; (Strongly positive), People &gt; Helpful / Efficient &gt; (Positive)"/>
    <s v="B&amp;H &gt; Satisfaction &gt; (Positive), B&amp;H &gt; Satisfaction &gt; (Strongly positive), People &gt; Helpful / Efficient &gt; (Positive), Trade In &gt; Overall Process &gt; (Positive)"/>
    <s v="Yes"/>
    <s v="Yes"/>
    <m/>
    <x v="0"/>
    <x v="2"/>
    <x v="0"/>
    <m/>
    <x v="0"/>
    <x v="0"/>
  </r>
  <r>
    <s v="Robert Glen Millward - Used Trade-In Product"/>
    <n v="10"/>
    <n v="5"/>
    <d v="2026-01-05T16:06:23"/>
    <n v="5105305"/>
    <s v="Used Trade-In Product"/>
    <m/>
    <s v="Robert Glen Millward"/>
    <m/>
    <s v="glenmillward@gmail.com"/>
    <m/>
    <m/>
    <m/>
    <s v="1 months"/>
    <s v="No"/>
    <m/>
    <m/>
    <s v="glenmillward@gmail.com"/>
    <s v="1"/>
    <m/>
    <m/>
    <m/>
    <m/>
    <m/>
    <m/>
    <m/>
    <m/>
    <d v="2026-01-06T10:09:33"/>
    <d v="2026-01-05T13:04:42"/>
    <m/>
    <s v="1128882"/>
    <m/>
    <m/>
    <m/>
    <m/>
    <m/>
    <m/>
    <m/>
    <m/>
    <m/>
    <m/>
    <m/>
    <m/>
    <m/>
    <m/>
    <m/>
    <m/>
    <m/>
    <m/>
    <m/>
    <m/>
    <m/>
    <m/>
    <s v="https://bnh.lightning.force.com/001WP00000lnzKFYAY"/>
    <m/>
    <m/>
    <m/>
    <m/>
    <m/>
    <m/>
    <m/>
    <m/>
    <m/>
    <m/>
    <m/>
    <m/>
    <m/>
    <m/>
    <m/>
    <m/>
    <m/>
    <m/>
    <m/>
    <m/>
    <m/>
    <m/>
    <m/>
    <m/>
    <m/>
    <m/>
    <m/>
    <m/>
    <m/>
    <m/>
    <m/>
    <m/>
    <m/>
    <m/>
    <m/>
    <m/>
    <m/>
    <m/>
    <s v="CAD"/>
    <m/>
    <s v="No"/>
    <s v="Aine Hoye"/>
    <s v="Aine Hoye"/>
    <d v="2026-01-05T16:05:38"/>
    <s v="Promoter"/>
    <s v="Closed"/>
    <m/>
    <m/>
    <s v="Yes"/>
    <m/>
    <m/>
    <m/>
    <m/>
    <m/>
    <m/>
    <m/>
    <m/>
    <m/>
    <m/>
    <m/>
    <m/>
    <m/>
    <m/>
    <m/>
    <m/>
    <s v="Honest quote and payment"/>
    <m/>
    <m/>
    <m/>
    <m/>
    <s v="nothing"/>
    <m/>
    <m/>
    <m/>
    <m/>
    <m/>
    <m/>
    <m/>
    <m/>
    <m/>
    <m/>
    <m/>
    <m/>
    <m/>
    <m/>
    <m/>
    <m/>
    <m/>
    <m/>
    <m/>
    <m/>
    <m/>
    <m/>
    <m/>
    <m/>
    <m/>
    <m/>
    <m/>
    <m/>
    <m/>
    <m/>
    <m/>
    <m/>
    <m/>
    <m/>
    <m/>
    <m/>
    <m/>
    <m/>
    <m/>
    <m/>
    <m/>
    <m/>
    <m/>
    <m/>
    <m/>
    <m/>
    <m/>
    <m/>
    <m/>
    <m/>
    <m/>
    <m/>
    <m/>
    <m/>
    <m/>
    <m/>
    <m/>
    <m/>
    <m/>
    <m/>
    <m/>
    <m/>
    <m/>
    <m/>
    <m/>
    <m/>
    <m/>
    <m/>
    <m/>
    <m/>
    <m/>
    <m/>
    <m/>
    <m/>
    <m/>
    <m/>
    <m/>
    <m/>
    <m/>
    <m/>
    <m/>
    <m/>
    <s v="Honest quote and payment"/>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s v="N/A"/>
    <n v="5"/>
    <n v="5"/>
    <m/>
    <m/>
    <m/>
    <m/>
    <m/>
    <m/>
    <m/>
    <m/>
    <m/>
    <m/>
    <m/>
    <m/>
    <m/>
    <m/>
    <m/>
    <m/>
    <m/>
    <m/>
    <m/>
    <m/>
    <m/>
    <m/>
    <m/>
    <m/>
    <m/>
    <m/>
    <m/>
    <m/>
    <m/>
    <m/>
    <m/>
    <m/>
    <m/>
    <m/>
    <m/>
    <m/>
    <m/>
    <m/>
    <m/>
    <m/>
    <m/>
    <m/>
    <m/>
    <m/>
    <m/>
    <m/>
    <m/>
    <m/>
    <m/>
    <m/>
    <m/>
    <m/>
    <m/>
    <m/>
    <m/>
    <m/>
    <m/>
    <m/>
    <m/>
    <m/>
    <m/>
    <m/>
    <m/>
    <m/>
    <m/>
    <m/>
    <m/>
    <m/>
    <m/>
    <m/>
    <m/>
    <m/>
    <m/>
    <m/>
    <m/>
    <m/>
    <m/>
    <m/>
    <m/>
    <m/>
    <m/>
    <m/>
    <m/>
    <m/>
    <m/>
    <m/>
    <m/>
    <m/>
    <m/>
    <m/>
    <m/>
    <m/>
    <m/>
    <m/>
    <m/>
    <m/>
    <m/>
    <m/>
    <m/>
    <m/>
    <m/>
    <s v="Trade In &gt; Overall Process &gt;"/>
    <s v="B&amp;H &gt; Reliable / Trustworthy &gt;, Trade In &gt; Overall Process &gt;, Trade In &gt; Quote Price &gt;"/>
    <m/>
    <m/>
    <s v="Trade In &gt; Overall Process &gt; (No opinion)"/>
    <s v="B&amp;H &gt; Reliable / Trustworthy &gt; (Positive), Trade In &gt; Overall Process &gt; (Positive), Trade In &gt; Quote Price &gt; (Positive)"/>
    <s v="Yes"/>
    <s v="Yes"/>
    <m/>
    <x v="3"/>
    <x v="0"/>
    <x v="0"/>
    <m/>
    <x v="0"/>
    <x v="0"/>
  </r>
  <r>
    <s v="Gregory Castile - Used Trade-In Product"/>
    <n v="10"/>
    <n v="5"/>
    <d v="2026-01-05T14:19:13"/>
    <n v="5105048"/>
    <s v="Used Trade-In Product"/>
    <m/>
    <s v="Gregory Castile"/>
    <m/>
    <s v="g_castile@yahoo.com"/>
    <m/>
    <m/>
    <m/>
    <s v="1 months"/>
    <s v="No"/>
    <m/>
    <m/>
    <s v="g_castile@yahoo.com"/>
    <s v="1"/>
    <m/>
    <m/>
    <m/>
    <m/>
    <m/>
    <m/>
    <m/>
    <m/>
    <d v="2026-01-06T09:32:01"/>
    <d v="2026-01-05T15:17:49"/>
    <m/>
    <s v="1131854"/>
    <m/>
    <m/>
    <m/>
    <m/>
    <m/>
    <m/>
    <m/>
    <m/>
    <m/>
    <m/>
    <m/>
    <m/>
    <m/>
    <m/>
    <m/>
    <m/>
    <m/>
    <m/>
    <m/>
    <m/>
    <m/>
    <m/>
    <s v="https://bnh.lightning.force.com/001WP00000nIWSJYA4"/>
    <m/>
    <m/>
    <m/>
    <m/>
    <m/>
    <m/>
    <m/>
    <m/>
    <m/>
    <m/>
    <m/>
    <m/>
    <m/>
    <m/>
    <m/>
    <m/>
    <m/>
    <m/>
    <m/>
    <m/>
    <m/>
    <m/>
    <m/>
    <m/>
    <m/>
    <m/>
    <m/>
    <m/>
    <m/>
    <m/>
    <m/>
    <m/>
    <m/>
    <m/>
    <m/>
    <m/>
    <m/>
    <m/>
    <s v="CAD"/>
    <m/>
    <s v="No"/>
    <s v="Aine Hoye"/>
    <s v="Aine Hoye"/>
    <d v="2026-01-05T14:20:17"/>
    <s v="Promoter"/>
    <s v="Closed"/>
    <m/>
    <m/>
    <s v="Yes"/>
    <m/>
    <m/>
    <m/>
    <m/>
    <m/>
    <m/>
    <m/>
    <m/>
    <m/>
    <m/>
    <m/>
    <m/>
    <m/>
    <m/>
    <m/>
    <m/>
    <s v="The ease of submitting information and receiving a quote."/>
    <m/>
    <m/>
    <m/>
    <m/>
    <m/>
    <m/>
    <m/>
    <m/>
    <m/>
    <m/>
    <m/>
    <m/>
    <m/>
    <m/>
    <m/>
    <m/>
    <m/>
    <m/>
    <m/>
    <m/>
    <m/>
    <m/>
    <m/>
    <m/>
    <m/>
    <m/>
    <m/>
    <m/>
    <m/>
    <m/>
    <m/>
    <m/>
    <m/>
    <m/>
    <m/>
    <m/>
    <m/>
    <m/>
    <m/>
    <m/>
    <m/>
    <m/>
    <m/>
    <m/>
    <m/>
    <m/>
    <m/>
    <m/>
    <m/>
    <m/>
    <m/>
    <m/>
    <m/>
    <m/>
    <m/>
    <m/>
    <m/>
    <m/>
    <m/>
    <m/>
    <m/>
    <m/>
    <m/>
    <m/>
    <m/>
    <m/>
    <m/>
    <m/>
    <m/>
    <m/>
    <m/>
    <m/>
    <m/>
    <m/>
    <m/>
    <m/>
    <m/>
    <m/>
    <m/>
    <m/>
    <m/>
    <m/>
    <m/>
    <m/>
    <m/>
    <m/>
    <m/>
    <s v="The ease of submitting information and receiving a quote."/>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4"/>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23"/>
    <x v="47"/>
    <x v="0"/>
    <m/>
    <x v="0"/>
    <x v="0"/>
  </r>
  <r>
    <s v="Walter Johnson - Used Trade-In Product"/>
    <n v="10"/>
    <n v="4"/>
    <d v="2026-01-05T13:44:45"/>
    <n v="5104963"/>
    <s v="Used Trade-In Product"/>
    <m/>
    <s v="Walter Johnson"/>
    <m/>
    <s v="wrjohnson1952@gmail.com"/>
    <m/>
    <m/>
    <m/>
    <s v="12 months"/>
    <s v="No"/>
    <m/>
    <m/>
    <s v="wrjohnson1952@gmail.com"/>
    <s v="12"/>
    <m/>
    <m/>
    <m/>
    <m/>
    <m/>
    <m/>
    <m/>
    <m/>
    <d v="2026-01-06T09:24:19"/>
    <d v="2026-01-05T14:14:12"/>
    <m/>
    <s v="1130791"/>
    <m/>
    <m/>
    <m/>
    <m/>
    <m/>
    <m/>
    <m/>
    <m/>
    <m/>
    <m/>
    <m/>
    <m/>
    <m/>
    <m/>
    <m/>
    <m/>
    <m/>
    <m/>
    <m/>
    <m/>
    <m/>
    <m/>
    <s v="https://bnh.lightning.force.com/0011a00000Fqy2XAAR"/>
    <m/>
    <m/>
    <m/>
    <m/>
    <m/>
    <m/>
    <m/>
    <m/>
    <m/>
    <m/>
    <m/>
    <m/>
    <m/>
    <m/>
    <m/>
    <m/>
    <m/>
    <m/>
    <m/>
    <m/>
    <m/>
    <m/>
    <m/>
    <m/>
    <m/>
    <m/>
    <m/>
    <m/>
    <m/>
    <m/>
    <m/>
    <m/>
    <m/>
    <m/>
    <m/>
    <m/>
    <m/>
    <m/>
    <s v="CAD"/>
    <m/>
    <s v="No"/>
    <s v="Aine Hoye"/>
    <s v="Aine Hoye"/>
    <d v="2026-01-05T13:44:12"/>
    <s v="Promoter"/>
    <s v="Closed"/>
    <m/>
    <m/>
    <s v="Yes"/>
    <m/>
    <m/>
    <m/>
    <m/>
    <m/>
    <m/>
    <m/>
    <m/>
    <m/>
    <m/>
    <m/>
    <m/>
    <m/>
    <m/>
    <m/>
    <m/>
    <m/>
    <m/>
    <m/>
    <m/>
    <m/>
    <s v="Processing time after lens received at B&amp;H."/>
    <m/>
    <m/>
    <m/>
    <m/>
    <m/>
    <m/>
    <m/>
    <m/>
    <m/>
    <m/>
    <m/>
    <m/>
    <m/>
    <m/>
    <m/>
    <m/>
    <m/>
    <m/>
    <m/>
    <m/>
    <m/>
    <m/>
    <m/>
    <m/>
    <m/>
    <m/>
    <m/>
    <m/>
    <m/>
    <m/>
    <m/>
    <m/>
    <m/>
    <m/>
    <m/>
    <m/>
    <m/>
    <m/>
    <m/>
    <m/>
    <m/>
    <m/>
    <m/>
    <m/>
    <m/>
    <m/>
    <m/>
    <m/>
    <m/>
    <m/>
    <m/>
    <m/>
    <m/>
    <m/>
    <m/>
    <m/>
    <m/>
    <m/>
    <m/>
    <m/>
    <m/>
    <m/>
    <m/>
    <m/>
    <m/>
    <m/>
    <m/>
    <m/>
    <m/>
    <m/>
    <m/>
    <m/>
    <m/>
    <m/>
    <m/>
    <m/>
    <m/>
    <m/>
    <m/>
    <m/>
    <m/>
    <m/>
    <m/>
    <s v="Processing time after lens received at B&amp;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3"/>
    <m/>
    <m/>
    <m/>
    <m/>
    <n v="5"/>
    <n v="5"/>
    <m/>
    <m/>
    <m/>
    <m/>
    <m/>
    <m/>
    <n v="4"/>
    <n v="4"/>
    <n v="5"/>
    <n v="4"/>
    <m/>
    <m/>
    <m/>
    <m/>
    <m/>
    <m/>
    <m/>
    <m/>
    <m/>
    <m/>
    <m/>
    <m/>
    <m/>
    <m/>
    <m/>
    <m/>
    <m/>
    <m/>
    <m/>
    <m/>
    <m/>
    <m/>
    <m/>
    <m/>
    <m/>
    <m/>
    <m/>
    <m/>
    <m/>
    <m/>
    <m/>
    <m/>
    <m/>
    <m/>
    <m/>
    <m/>
    <m/>
    <m/>
    <m/>
    <m/>
    <m/>
    <m/>
    <m/>
    <m/>
    <m/>
    <m/>
    <m/>
    <m/>
    <m/>
    <m/>
    <m/>
    <m/>
    <m/>
    <m/>
    <m/>
    <m/>
    <m/>
    <m/>
    <m/>
    <m/>
    <m/>
    <m/>
    <m/>
    <m/>
    <m/>
    <m/>
    <m/>
    <m/>
    <m/>
    <m/>
    <m/>
    <m/>
    <m/>
    <m/>
    <m/>
    <m/>
    <m/>
    <m/>
    <m/>
    <m/>
    <m/>
    <m/>
    <m/>
    <m/>
    <m/>
    <m/>
    <m/>
    <m/>
    <m/>
    <m/>
    <m/>
    <m/>
    <m/>
    <m/>
    <m/>
    <m/>
    <m/>
    <m/>
    <m/>
    <m/>
    <m/>
    <s v="Trade In &gt; Overall Process &gt;"/>
    <s v="Trade In &gt; Overall Process &gt;, Trade In &gt; Timeliness of Payment &gt;"/>
    <m/>
    <m/>
    <s v="Trade In &gt; Overall Process &gt; (No opinion)"/>
    <s v="Trade In &gt; Overall Process &gt; (Negative), Trade In &gt; Timeliness of Payment &gt; (Negative)"/>
    <s v="Yes"/>
    <s v="Yes"/>
    <m/>
    <x v="20"/>
    <x v="0"/>
    <x v="0"/>
    <m/>
    <x v="0"/>
    <x v="0"/>
  </r>
  <r>
    <s v="Diana Rockwell - Used Trade-In Product"/>
    <n v="10"/>
    <n v="5"/>
    <d v="2026-01-04T19:54:51"/>
    <n v="5103118"/>
    <s v="Used Trade-In Product"/>
    <m/>
    <s v="Diana Rockwell"/>
    <m/>
    <s v="timbercr2@gmail.com"/>
    <m/>
    <m/>
    <m/>
    <s v="2 months"/>
    <s v="No"/>
    <m/>
    <m/>
    <s v="timbercr2@gmail.com"/>
    <s v="2"/>
    <m/>
    <m/>
    <m/>
    <m/>
    <m/>
    <m/>
    <m/>
    <m/>
    <d v="2026-01-05T09:52:22"/>
    <d v="2025-12-31T12:54:47"/>
    <m/>
    <s v="1128511"/>
    <m/>
    <m/>
    <m/>
    <m/>
    <m/>
    <m/>
    <m/>
    <m/>
    <m/>
    <m/>
    <m/>
    <m/>
    <m/>
    <m/>
    <m/>
    <m/>
    <m/>
    <m/>
    <m/>
    <m/>
    <m/>
    <m/>
    <s v="https://bnh.lightning.force.com/0011a00000G6KkuAAF"/>
    <m/>
    <m/>
    <m/>
    <m/>
    <m/>
    <m/>
    <m/>
    <m/>
    <m/>
    <m/>
    <m/>
    <m/>
    <m/>
    <m/>
    <m/>
    <m/>
    <m/>
    <m/>
    <m/>
    <m/>
    <m/>
    <m/>
    <m/>
    <m/>
    <m/>
    <m/>
    <m/>
    <m/>
    <m/>
    <m/>
    <m/>
    <m/>
    <m/>
    <m/>
    <m/>
    <m/>
    <m/>
    <m/>
    <s v="CAD"/>
    <m/>
    <s v="No"/>
    <s v="Gershon Orenstein"/>
    <s v="Gershon Orenstein"/>
    <d v="2026-01-04T19:53:42"/>
    <s v="Promoter"/>
    <s v="Closed"/>
    <m/>
    <m/>
    <s v="Yes"/>
    <m/>
    <m/>
    <m/>
    <m/>
    <m/>
    <m/>
    <m/>
    <m/>
    <m/>
    <m/>
    <m/>
    <m/>
    <m/>
    <m/>
    <m/>
    <m/>
    <s v="Very efficient"/>
    <m/>
    <m/>
    <m/>
    <m/>
    <s v="Nothing"/>
    <m/>
    <m/>
    <m/>
    <m/>
    <m/>
    <m/>
    <m/>
    <m/>
    <m/>
    <m/>
    <m/>
    <m/>
    <m/>
    <m/>
    <m/>
    <m/>
    <m/>
    <m/>
    <m/>
    <m/>
    <m/>
    <m/>
    <m/>
    <m/>
    <m/>
    <m/>
    <m/>
    <m/>
    <m/>
    <m/>
    <m/>
    <m/>
    <m/>
    <m/>
    <m/>
    <m/>
    <m/>
    <m/>
    <m/>
    <m/>
    <m/>
    <m/>
    <m/>
    <m/>
    <m/>
    <m/>
    <m/>
    <m/>
    <m/>
    <m/>
    <m/>
    <m/>
    <m/>
    <m/>
    <m/>
    <m/>
    <m/>
    <m/>
    <m/>
    <m/>
    <m/>
    <m/>
    <m/>
    <m/>
    <m/>
    <m/>
    <m/>
    <m/>
    <m/>
    <m/>
    <m/>
    <m/>
    <m/>
    <m/>
    <m/>
    <m/>
    <m/>
    <m/>
    <m/>
    <m/>
    <m/>
    <m/>
    <s v="Very efficient"/>
    <s v="Nothing"/>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m/>
    <s v="People &gt; Wait Time &gt;, Trade In &gt; Overall Process &gt;"/>
    <m/>
    <m/>
    <m/>
    <s v="People &gt; Wait Time &gt; (Positive), Trade In &gt; Overall Process &gt; (Positive)"/>
    <s v="Yes"/>
    <s v="No"/>
    <m/>
    <x v="5"/>
    <x v="0"/>
    <x v="0"/>
    <m/>
    <x v="0"/>
    <x v="0"/>
  </r>
  <r>
    <s v="Eldon Holmes - Used Trade-In Product"/>
    <n v="10"/>
    <n v="5"/>
    <d v="2026-01-03T11:59:38"/>
    <n v="5100981"/>
    <s v="Used Trade-In Product"/>
    <m/>
    <s v="Eldon Holmes"/>
    <m/>
    <s v="eldon@eholmesphoto.com"/>
    <m/>
    <m/>
    <m/>
    <s v="18 years 2 months"/>
    <s v="No"/>
    <m/>
    <m/>
    <s v="eldon@eholmesphoto.com"/>
    <s v="218"/>
    <m/>
    <m/>
    <m/>
    <m/>
    <m/>
    <m/>
    <m/>
    <m/>
    <d v="2026-01-05T08:53:15"/>
    <d v="2026-01-02T14:16:38"/>
    <m/>
    <s v="1131182"/>
    <m/>
    <m/>
    <m/>
    <m/>
    <m/>
    <m/>
    <m/>
    <m/>
    <m/>
    <m/>
    <m/>
    <m/>
    <m/>
    <m/>
    <m/>
    <m/>
    <m/>
    <m/>
    <m/>
    <m/>
    <m/>
    <m/>
    <s v="https://bnh.lightning.force.com/0011a00000WFqhhAAD"/>
    <m/>
    <m/>
    <m/>
    <m/>
    <m/>
    <m/>
    <m/>
    <m/>
    <m/>
    <m/>
    <m/>
    <m/>
    <m/>
    <m/>
    <m/>
    <m/>
    <m/>
    <m/>
    <m/>
    <m/>
    <m/>
    <m/>
    <m/>
    <m/>
    <m/>
    <m/>
    <m/>
    <m/>
    <m/>
    <m/>
    <m/>
    <m/>
    <m/>
    <m/>
    <m/>
    <m/>
    <m/>
    <m/>
    <s v="CAD"/>
    <m/>
    <s v="No"/>
    <s v="Emily Schreier"/>
    <s v="Emily Schreier"/>
    <d v="2026-01-03T11:58:43"/>
    <s v="Promoter"/>
    <s v="Closed"/>
    <m/>
    <m/>
    <s v="Yes"/>
    <m/>
    <m/>
    <m/>
    <m/>
    <m/>
    <m/>
    <m/>
    <m/>
    <m/>
    <m/>
    <m/>
    <m/>
    <m/>
    <m/>
    <m/>
    <m/>
    <s v="Very easy process to sell used equipment."/>
    <m/>
    <m/>
    <m/>
    <m/>
    <m/>
    <m/>
    <m/>
    <m/>
    <m/>
    <m/>
    <m/>
    <m/>
    <m/>
    <m/>
    <m/>
    <m/>
    <m/>
    <m/>
    <m/>
    <m/>
    <m/>
    <m/>
    <m/>
    <m/>
    <m/>
    <m/>
    <m/>
    <m/>
    <m/>
    <m/>
    <m/>
    <m/>
    <m/>
    <m/>
    <m/>
    <m/>
    <m/>
    <m/>
    <m/>
    <m/>
    <m/>
    <m/>
    <m/>
    <m/>
    <m/>
    <m/>
    <m/>
    <m/>
    <m/>
    <m/>
    <m/>
    <m/>
    <m/>
    <m/>
    <m/>
    <m/>
    <m/>
    <m/>
    <m/>
    <m/>
    <m/>
    <m/>
    <m/>
    <m/>
    <m/>
    <m/>
    <m/>
    <m/>
    <m/>
    <m/>
    <m/>
    <m/>
    <m/>
    <m/>
    <m/>
    <m/>
    <m/>
    <m/>
    <m/>
    <m/>
    <m/>
    <m/>
    <m/>
    <m/>
    <m/>
    <m/>
    <m/>
    <s v="Very easy process to sell used equipme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4"/>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Trade In &gt; Overall Process &gt;"/>
    <m/>
    <m/>
    <s v="Trade In &gt; Overall Process &gt; (Positive)"/>
    <s v="Trade In &gt; Overall Process &gt; (Positive)"/>
    <s v="No"/>
    <s v="No"/>
    <m/>
    <x v="0"/>
    <x v="0"/>
    <x v="0"/>
    <m/>
    <x v="0"/>
    <x v="0"/>
  </r>
  <r>
    <s v="Xiwen Ma - Used Trade-In Product"/>
    <n v="10"/>
    <n v="5"/>
    <d v="2026-01-02T15:42:26"/>
    <n v="5100288"/>
    <s v="Used Trade-In Product"/>
    <m/>
    <s v="Xiwen Ma"/>
    <m/>
    <s v="xmastat@hotmail.com"/>
    <m/>
    <m/>
    <m/>
    <s v="0 months"/>
    <s v="No"/>
    <m/>
    <m/>
    <s v="xmastat@hotmail.com"/>
    <s v="0"/>
    <m/>
    <m/>
    <m/>
    <m/>
    <m/>
    <m/>
    <m/>
    <m/>
    <d v="2026-01-05T08:50:20"/>
    <d v="2026-01-02T16:15:42"/>
    <m/>
    <s v="1132046"/>
    <m/>
    <m/>
    <m/>
    <m/>
    <m/>
    <m/>
    <m/>
    <m/>
    <m/>
    <m/>
    <m/>
    <m/>
    <m/>
    <m/>
    <m/>
    <m/>
    <m/>
    <m/>
    <m/>
    <m/>
    <m/>
    <m/>
    <s v="https://bnh.lightning.force.com/001WP00000natkqYAA"/>
    <m/>
    <m/>
    <m/>
    <m/>
    <m/>
    <m/>
    <m/>
    <m/>
    <m/>
    <m/>
    <m/>
    <m/>
    <m/>
    <m/>
    <m/>
    <m/>
    <m/>
    <m/>
    <m/>
    <m/>
    <m/>
    <m/>
    <m/>
    <m/>
    <m/>
    <m/>
    <m/>
    <m/>
    <m/>
    <m/>
    <m/>
    <m/>
    <m/>
    <m/>
    <m/>
    <m/>
    <m/>
    <m/>
    <s v="CAD"/>
    <m/>
    <s v="No"/>
    <s v="Aine Hoye"/>
    <s v="Aine Hoye"/>
    <d v="2026-01-02T15:41:32"/>
    <s v="Promoter"/>
    <s v="Closed"/>
    <m/>
    <m/>
    <s v="Yes"/>
    <m/>
    <m/>
    <m/>
    <m/>
    <m/>
    <m/>
    <m/>
    <m/>
    <m/>
    <m/>
    <m/>
    <m/>
    <m/>
    <m/>
    <m/>
    <m/>
    <s v="VERY easy to get the quote and print the shipping label.  The entire process was so convenience."/>
    <m/>
    <m/>
    <m/>
    <m/>
    <s v="None for now.  Has been really happy doing business with BH."/>
    <m/>
    <m/>
    <m/>
    <m/>
    <m/>
    <m/>
    <m/>
    <m/>
    <m/>
    <m/>
    <m/>
    <m/>
    <m/>
    <m/>
    <m/>
    <m/>
    <m/>
    <m/>
    <m/>
    <m/>
    <m/>
    <m/>
    <m/>
    <m/>
    <m/>
    <m/>
    <m/>
    <m/>
    <m/>
    <m/>
    <m/>
    <m/>
    <m/>
    <m/>
    <m/>
    <m/>
    <m/>
    <m/>
    <m/>
    <m/>
    <m/>
    <m/>
    <m/>
    <m/>
    <m/>
    <m/>
    <m/>
    <m/>
    <m/>
    <m/>
    <m/>
    <m/>
    <m/>
    <m/>
    <m/>
    <m/>
    <m/>
    <m/>
    <m/>
    <m/>
    <m/>
    <m/>
    <m/>
    <m/>
    <m/>
    <m/>
    <m/>
    <m/>
    <m/>
    <m/>
    <m/>
    <m/>
    <m/>
    <m/>
    <m/>
    <m/>
    <m/>
    <m/>
    <m/>
    <m/>
    <m/>
    <m/>
    <s v="VERY easy to get the quote and print the shipping label.  The entire process was so convenience."/>
    <s v="None for now.  Has been really happy doing business with BH."/>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s v="I used the Web Application"/>
    <n v="5"/>
    <m/>
    <m/>
    <m/>
    <m/>
    <n v="5"/>
    <n v="5"/>
    <m/>
    <m/>
    <m/>
    <m/>
    <m/>
    <m/>
    <n v="5"/>
    <n v="5"/>
    <n v="5"/>
    <n v="5"/>
    <m/>
    <m/>
    <m/>
    <m/>
    <m/>
    <m/>
    <m/>
    <m/>
    <m/>
    <m/>
    <m/>
    <m/>
    <m/>
    <m/>
    <m/>
    <m/>
    <m/>
    <m/>
    <m/>
    <m/>
    <m/>
    <m/>
    <m/>
    <m/>
    <m/>
    <m/>
    <m/>
    <m/>
    <m/>
    <m/>
    <m/>
    <m/>
    <m/>
    <m/>
    <m/>
    <m/>
    <m/>
    <m/>
    <m/>
    <m/>
    <m/>
    <m/>
    <m/>
    <m/>
    <m/>
    <m/>
    <m/>
    <m/>
    <m/>
    <m/>
    <m/>
    <m/>
    <m/>
    <m/>
    <m/>
    <m/>
    <m/>
    <m/>
    <m/>
    <m/>
    <m/>
    <m/>
    <m/>
    <m/>
    <m/>
    <m/>
    <m/>
    <m/>
    <m/>
    <m/>
    <m/>
    <m/>
    <m/>
    <m/>
    <m/>
    <m/>
    <m/>
    <m/>
    <m/>
    <m/>
    <m/>
    <m/>
    <m/>
    <m/>
    <m/>
    <m/>
    <m/>
    <m/>
    <m/>
    <m/>
    <m/>
    <m/>
    <m/>
    <m/>
    <m/>
    <m/>
    <m/>
    <m/>
    <m/>
    <m/>
    <m/>
    <s v="Trade In &gt; Overall Process &gt;"/>
    <s v="B&amp;H &gt; Satisfaction &gt;, Trade In &gt; Overall Process &gt;, Trade In &gt; Timeliness of Quote &gt;"/>
    <m/>
    <m/>
    <s v="Trade In &gt; Overall Process &gt; (Positive)"/>
    <s v="B&amp;H &gt; Satisfaction &gt; (Positive), Trade In &gt; Overall Process &gt; (Positive), Trade In &gt; Timeliness of Quote &gt; (Positive)"/>
    <s v="Yes"/>
    <s v="No"/>
    <m/>
    <x v="13"/>
    <x v="26"/>
    <x v="0"/>
    <m/>
    <x v="0"/>
    <x v="0"/>
  </r>
  <r>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x v="46"/>
    <x v="0"/>
    <x v="0"/>
    <m/>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B0062A-0400-4A92-8C5C-70E37B05528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50" firstHeaderRow="1" firstDataRow="1" firstDataCol="1"/>
  <pivotFields count="51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8">
        <item x="17"/>
        <item x="12"/>
        <item x="15"/>
        <item x="16"/>
        <item x="39"/>
        <item x="24"/>
        <item x="40"/>
        <item x="21"/>
        <item x="13"/>
        <item x="26"/>
        <item x="44"/>
        <item x="28"/>
        <item x="3"/>
        <item x="45"/>
        <item x="37"/>
        <item x="7"/>
        <item x="42"/>
        <item x="10"/>
        <item x="1"/>
        <item x="0"/>
        <item x="14"/>
        <item x="23"/>
        <item x="5"/>
        <item x="25"/>
        <item x="8"/>
        <item x="22"/>
        <item x="43"/>
        <item x="36"/>
        <item x="41"/>
        <item x="6"/>
        <item x="4"/>
        <item x="30"/>
        <item x="29"/>
        <item x="27"/>
        <item x="34"/>
        <item x="38"/>
        <item x="2"/>
        <item x="31"/>
        <item x="20"/>
        <item x="35"/>
        <item x="33"/>
        <item x="18"/>
        <item x="9"/>
        <item x="11"/>
        <item x="19"/>
        <item x="32"/>
        <item x="46"/>
        <item t="default"/>
      </items>
    </pivotField>
    <pivotField compact="0" outline="0" showAll="0"/>
    <pivotField compact="0" outline="0" showAll="0"/>
    <pivotField compact="0" outline="0" showAll="0"/>
    <pivotField compact="0" outline="0" showAll="0"/>
    <pivotField compact="0" outline="0" showAll="0"/>
  </pivotFields>
  <rowFields count="1">
    <field x="50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Count of Theme 1" fld="50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A6DE06-C636-49B5-90BE-12DADDC5287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69" firstHeaderRow="1" firstDataRow="1" firstDataCol="1"/>
  <pivotFields count="51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67">
        <item x="48"/>
        <item x="25"/>
        <item x="63"/>
        <item x="14"/>
        <item x="1"/>
        <item x="46"/>
        <item x="38"/>
        <item x="51"/>
        <item x="23"/>
        <item x="45"/>
        <item x="10"/>
        <item x="26"/>
        <item x="55"/>
        <item x="47"/>
        <item x="54"/>
        <item x="44"/>
        <item x="15"/>
        <item x="6"/>
        <item x="59"/>
        <item x="27"/>
        <item x="12"/>
        <item x="2"/>
        <item x="22"/>
        <item x="28"/>
        <item x="18"/>
        <item x="30"/>
        <item x="53"/>
        <item x="56"/>
        <item x="49"/>
        <item x="24"/>
        <item x="31"/>
        <item x="9"/>
        <item x="43"/>
        <item x="35"/>
        <item x="33"/>
        <item x="57"/>
        <item x="40"/>
        <item x="8"/>
        <item x="5"/>
        <item x="60"/>
        <item x="13"/>
        <item x="39"/>
        <item x="42"/>
        <item x="32"/>
        <item x="21"/>
        <item x="65"/>
        <item x="4"/>
        <item x="11"/>
        <item x="52"/>
        <item x="17"/>
        <item x="3"/>
        <item x="58"/>
        <item x="19"/>
        <item x="61"/>
        <item x="37"/>
        <item x="36"/>
        <item x="7"/>
        <item x="50"/>
        <item x="62"/>
        <item x="64"/>
        <item x="34"/>
        <item x="16"/>
        <item x="41"/>
        <item x="29"/>
        <item x="20"/>
        <item x="0"/>
        <item t="default"/>
      </items>
    </pivotField>
    <pivotField compact="0" outline="0" showAll="0"/>
    <pivotField compact="0" outline="0" showAll="0"/>
    <pivotField compact="0" outline="0" showAll="0"/>
    <pivotField compact="0" outline="0" showAll="0"/>
  </pivotFields>
  <rowFields count="1">
    <field x="505"/>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Count of Theme 2" fld="50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62306-8821-45C9-912A-1FA4CD74D3C1}"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41" firstHeaderRow="1" firstDataRow="1" firstDataCol="1"/>
  <pivotFields count="51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9">
        <item x="5"/>
        <item x="21"/>
        <item x="1"/>
        <item x="25"/>
        <item x="14"/>
        <item x="33"/>
        <item x="32"/>
        <item x="26"/>
        <item x="3"/>
        <item x="15"/>
        <item x="27"/>
        <item x="29"/>
        <item x="37"/>
        <item x="22"/>
        <item x="10"/>
        <item x="7"/>
        <item x="23"/>
        <item x="12"/>
        <item x="11"/>
        <item x="16"/>
        <item x="18"/>
        <item x="30"/>
        <item x="6"/>
        <item x="31"/>
        <item x="35"/>
        <item x="13"/>
        <item x="4"/>
        <item x="9"/>
        <item x="36"/>
        <item x="8"/>
        <item x="17"/>
        <item x="24"/>
        <item x="19"/>
        <item x="28"/>
        <item x="2"/>
        <item x="20"/>
        <item x="34"/>
        <item x="0"/>
        <item t="default"/>
      </items>
    </pivotField>
    <pivotField compact="0" outline="0" showAll="0"/>
    <pivotField compact="0" outline="0" showAll="0"/>
    <pivotField compact="0" outline="0" showAll="0"/>
  </pivotFields>
  <rowFields count="1">
    <field x="506"/>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Count of Theme 3" fld="506" subtotal="count" baseField="0" baseItem="0"/>
  </dataFields>
  <formats count="2">
    <format dxfId="1">
      <pivotArea dataOnly="0" labelOnly="1" outline="0" fieldPosition="0">
        <references count="1">
          <reference field="506" count="1">
            <x v="19"/>
          </reference>
        </references>
      </pivotArea>
    </format>
    <format dxfId="0">
      <pivotArea dataOnly="0" labelOnly="1" outline="0" fieldPosition="0">
        <references count="1">
          <reference field="506" count="1">
            <x v="1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4794F-4326-4F3A-932C-B823A89B5B9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9" firstHeaderRow="1" firstDataRow="1" firstDataCol="1"/>
  <pivotFields count="51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7">
        <item x="5"/>
        <item x="1"/>
        <item x="4"/>
        <item x="2"/>
        <item x="3"/>
        <item x="0"/>
        <item t="default"/>
      </items>
    </pivotField>
    <pivotField compact="0" outline="0" showAll="0"/>
  </pivotFields>
  <rowFields count="1">
    <field x="508"/>
  </rowFields>
  <rowItems count="7">
    <i>
      <x/>
    </i>
    <i>
      <x v="1"/>
    </i>
    <i>
      <x v="2"/>
    </i>
    <i>
      <x v="3"/>
    </i>
    <i>
      <x v="4"/>
    </i>
    <i>
      <x v="5"/>
    </i>
    <i t="grand">
      <x/>
    </i>
  </rowItems>
  <colItems count="1">
    <i/>
  </colItems>
  <dataFields count="1">
    <dataField name="Count of Theme 5" fld="50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CA0213-4B74-4215-A2FA-F3E3727E28A0}"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5" firstHeaderRow="1" firstDataRow="1" firstDataCol="1"/>
  <pivotFields count="51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3">
        <item x="1"/>
        <item x="0"/>
        <item t="default"/>
      </items>
    </pivotField>
  </pivotFields>
  <rowFields count="1">
    <field x="509"/>
  </rowFields>
  <rowItems count="3">
    <i>
      <x/>
    </i>
    <i>
      <x v="1"/>
    </i>
    <i t="grand">
      <x/>
    </i>
  </rowItems>
  <colItems count="1">
    <i/>
  </colItems>
  <dataFields count="1">
    <dataField name="Count of Theme 6" fld="50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P451"/>
  <sheetViews>
    <sheetView tabSelected="1" topLeftCell="D1" workbookViewId="0">
      <selection activeCell="GZ3" sqref="GZ3"/>
    </sheetView>
  </sheetViews>
  <sheetFormatPr baseColWidth="10" defaultColWidth="9.1640625" defaultRowHeight="15" x14ac:dyDescent="0.2"/>
  <cols>
    <col min="1" max="1" width="40" style="1" hidden="1" customWidth="1"/>
    <col min="2" max="2" width="25" style="1" hidden="1" customWidth="1"/>
    <col min="3" max="3" width="26" style="1" hidden="1" customWidth="1"/>
    <col min="4" max="4" width="20" style="1" customWidth="1"/>
    <col min="5" max="5" width="9" style="1" hidden="1" customWidth="1"/>
    <col min="6" max="6" width="21" style="1" hidden="1" customWidth="1"/>
    <col min="7" max="7" width="12" style="1" hidden="1" customWidth="1"/>
    <col min="8" max="8" width="25" style="1" hidden="1" customWidth="1"/>
    <col min="9" max="9" width="13" style="1" hidden="1" customWidth="1"/>
    <col min="10" max="10" width="35" style="1" hidden="1" customWidth="1"/>
    <col min="11" max="11" width="12" style="1" hidden="1" customWidth="1"/>
    <col min="12" max="12" width="37" style="1" hidden="1" customWidth="1"/>
    <col min="13" max="13" width="35" style="1" hidden="1" customWidth="1"/>
    <col min="14" max="14" width="18" style="1" hidden="1" customWidth="1"/>
    <col min="15" max="15" width="24" style="1" hidden="1" customWidth="1"/>
    <col min="16" max="16" width="18" style="1" hidden="1" customWidth="1"/>
    <col min="17" max="17" width="31" style="1" hidden="1" customWidth="1"/>
    <col min="18" max="18" width="35" style="1" hidden="1" customWidth="1"/>
    <col min="19" max="19" width="26" style="1" hidden="1" customWidth="1"/>
    <col min="20" max="20" width="25" style="1" hidden="1" customWidth="1"/>
    <col min="21" max="21" width="8" style="1" hidden="1" customWidth="1"/>
    <col min="22" max="22" width="25" style="1" hidden="1" customWidth="1"/>
    <col min="23" max="23" width="17" style="1" hidden="1" customWidth="1"/>
    <col min="24" max="24" width="4" style="1" hidden="1" customWidth="1"/>
    <col min="25" max="25" width="40" style="1" hidden="1" customWidth="1"/>
    <col min="26" max="26" width="5" style="1" hidden="1" customWidth="1"/>
    <col min="27" max="27" width="3" style="1" hidden="1" customWidth="1"/>
    <col min="28" max="29" width="22" style="1" hidden="1" customWidth="1"/>
    <col min="30" max="30" width="9" style="1" hidden="1" customWidth="1"/>
    <col min="31" max="31" width="12" style="1" hidden="1" customWidth="1"/>
    <col min="32" max="32" width="11" style="1" hidden="1" customWidth="1"/>
    <col min="33" max="33" width="10" style="1" hidden="1" customWidth="1"/>
    <col min="34" max="34" width="12" style="1" hidden="1" customWidth="1"/>
    <col min="35" max="35" width="13" style="1" hidden="1" customWidth="1"/>
    <col min="36" max="36" width="6" style="1" hidden="1" customWidth="1"/>
    <col min="37" max="37" width="18" style="1" hidden="1" customWidth="1"/>
    <col min="38" max="38" width="20" style="1" hidden="1" customWidth="1"/>
    <col min="39" max="39" width="13" style="1" hidden="1" customWidth="1"/>
    <col min="40" max="40" width="20" style="1" hidden="1" customWidth="1"/>
    <col min="41" max="41" width="12" style="1" hidden="1" customWidth="1"/>
    <col min="42" max="43" width="13" style="1" hidden="1" customWidth="1"/>
    <col min="44" max="44" width="20" style="1" hidden="1" customWidth="1"/>
    <col min="45" max="45" width="32" style="1" hidden="1" customWidth="1"/>
    <col min="46" max="46" width="22" style="1" hidden="1" customWidth="1"/>
    <col min="47" max="47" width="17" style="1" hidden="1" customWidth="1"/>
    <col min="48" max="48" width="11" style="1" hidden="1" customWidth="1"/>
    <col min="49" max="49" width="17" style="1" hidden="1" customWidth="1"/>
    <col min="50" max="50" width="19" style="1" hidden="1" customWidth="1"/>
    <col min="51" max="51" width="16" style="1" hidden="1" customWidth="1"/>
    <col min="52" max="52" width="15" style="1" hidden="1" customWidth="1"/>
    <col min="53" max="53" width="10" style="1" hidden="1" customWidth="1"/>
    <col min="54" max="54" width="40" style="1" hidden="1" customWidth="1"/>
    <col min="55" max="55" width="27" style="1" hidden="1" customWidth="1"/>
    <col min="56" max="57" width="15" style="1" hidden="1" customWidth="1"/>
    <col min="58" max="58" width="20" style="1" hidden="1" customWidth="1"/>
    <col min="59" max="59" width="12" style="1" hidden="1" customWidth="1"/>
    <col min="60" max="60" width="24" style="1" hidden="1" customWidth="1"/>
    <col min="61" max="61" width="16" style="1" hidden="1" customWidth="1"/>
    <col min="62" max="62" width="17" style="1" hidden="1" customWidth="1"/>
    <col min="63" max="63" width="12" style="1" hidden="1" customWidth="1"/>
    <col min="64" max="64" width="25" style="1" hidden="1" customWidth="1"/>
    <col min="65" max="65" width="15" style="1" hidden="1" customWidth="1"/>
    <col min="66" max="66" width="10" style="1" hidden="1" customWidth="1"/>
    <col min="67" max="68" width="6" style="1" hidden="1" customWidth="1"/>
    <col min="69" max="69" width="17" style="1" hidden="1" customWidth="1"/>
    <col min="70" max="70" width="11" style="1" hidden="1" customWidth="1"/>
    <col min="71" max="71" width="10" style="1" hidden="1" customWidth="1"/>
    <col min="72" max="72" width="11" style="1" hidden="1" customWidth="1"/>
    <col min="73" max="73" width="6" style="1" hidden="1" customWidth="1"/>
    <col min="74" max="74" width="10" style="1" hidden="1" customWidth="1"/>
    <col min="75" max="75" width="9" style="1" hidden="1" customWidth="1"/>
    <col min="76" max="76" width="13" style="1" hidden="1" customWidth="1"/>
    <col min="77" max="77" width="9" style="1" hidden="1" customWidth="1"/>
    <col min="78" max="78" width="10" style="1" hidden="1" customWidth="1"/>
    <col min="79" max="79" width="23" style="1" hidden="1" customWidth="1"/>
    <col min="80" max="81" width="6" style="1" hidden="1" customWidth="1"/>
    <col min="82" max="82" width="8" style="1" hidden="1" customWidth="1"/>
    <col min="83" max="83" width="10" style="1" hidden="1" customWidth="1"/>
    <col min="84" max="85" width="6" style="1" hidden="1" customWidth="1"/>
    <col min="86" max="86" width="11" style="1" hidden="1" customWidth="1"/>
    <col min="87" max="87" width="10" style="1" hidden="1" customWidth="1"/>
    <col min="88" max="88" width="5" style="1" hidden="1" customWidth="1"/>
    <col min="89" max="89" width="10" style="1" hidden="1" customWidth="1"/>
    <col min="90" max="90" width="11" style="1" hidden="1" customWidth="1"/>
    <col min="91" max="91" width="17" style="1" hidden="1" customWidth="1"/>
    <col min="92" max="92" width="14" style="1" hidden="1" customWidth="1"/>
    <col min="93" max="93" width="22" style="1" hidden="1" customWidth="1"/>
    <col min="94" max="94" width="20" style="1" hidden="1" customWidth="1"/>
    <col min="95" max="95" width="32" style="1" hidden="1" customWidth="1"/>
    <col min="96" max="96" width="40" style="1" hidden="1" customWidth="1"/>
    <col min="97" max="97" width="17" style="1" hidden="1" customWidth="1"/>
    <col min="98" max="98" width="12" style="1" hidden="1" customWidth="1"/>
    <col min="99" max="99" width="10" style="1" hidden="1" customWidth="1"/>
    <col min="100" max="100" width="23" style="1" hidden="1" customWidth="1"/>
    <col min="101" max="101" width="24" style="1" hidden="1" customWidth="1"/>
    <col min="102" max="102" width="31" style="1" hidden="1" customWidth="1"/>
    <col min="103" max="103" width="18" style="1" hidden="1" customWidth="1"/>
    <col min="104" max="104" width="16" style="1" hidden="1" customWidth="1"/>
    <col min="105" max="105" width="8" style="1" hidden="1" customWidth="1"/>
    <col min="106" max="106" width="19" style="1" hidden="1" customWidth="1"/>
    <col min="107" max="107" width="22" style="1" hidden="1" customWidth="1"/>
    <col min="108" max="110" width="40" style="1" hidden="1" customWidth="1"/>
    <col min="111" max="111" width="29" style="1" hidden="1" customWidth="1"/>
    <col min="112" max="113" width="40" style="1" hidden="1" customWidth="1"/>
    <col min="114" max="114" width="14" style="1" hidden="1" customWidth="1"/>
    <col min="115" max="140" width="40" style="1" hidden="1" customWidth="1"/>
    <col min="141" max="141" width="12" style="1" hidden="1" customWidth="1"/>
    <col min="142" max="143" width="5" style="1" hidden="1" customWidth="1"/>
    <col min="144" max="144" width="11" style="1" hidden="1" customWidth="1"/>
    <col min="145" max="149" width="40" style="1" hidden="1" customWidth="1"/>
    <col min="150" max="150" width="31" style="1" hidden="1" customWidth="1"/>
    <col min="151" max="153" width="40" style="1" hidden="1" customWidth="1"/>
    <col min="154" max="159" width="5" style="1" hidden="1" customWidth="1"/>
    <col min="160" max="160" width="21" style="1" hidden="1" customWidth="1"/>
    <col min="161" max="163" width="5" style="1" hidden="1" customWidth="1"/>
    <col min="164" max="164" width="40" style="1" hidden="1" customWidth="1"/>
    <col min="165" max="165" width="38" style="1" hidden="1" customWidth="1"/>
    <col min="166" max="166" width="40" style="1" hidden="1" customWidth="1"/>
    <col min="167" max="167" width="34" style="1" hidden="1" customWidth="1"/>
    <col min="168" max="171" width="40" style="1" hidden="1" customWidth="1"/>
    <col min="172" max="172" width="28" style="1" hidden="1" customWidth="1"/>
    <col min="173" max="182" width="40" style="1" hidden="1" customWidth="1"/>
    <col min="183" max="183" width="12" style="1" hidden="1" customWidth="1"/>
    <col min="184" max="184" width="11" style="1" hidden="1" customWidth="1"/>
    <col min="185" max="185" width="14" style="1" hidden="1" customWidth="1"/>
    <col min="186" max="186" width="8" style="1" hidden="1" customWidth="1"/>
    <col min="187" max="201" width="40" style="1" hidden="1" customWidth="1"/>
    <col min="202" max="202" width="18" style="1" hidden="1" customWidth="1"/>
    <col min="203" max="204" width="37" style="1" hidden="1" customWidth="1"/>
    <col min="205" max="205" width="40" style="1" hidden="1" customWidth="1"/>
    <col min="206" max="206" width="19" style="1" hidden="1" customWidth="1"/>
    <col min="207" max="207" width="26" style="1" hidden="1" customWidth="1"/>
    <col min="208" max="208" width="78.5" style="1" customWidth="1"/>
    <col min="209" max="209" width="82.6640625" style="1" customWidth="1"/>
    <col min="210" max="212" width="40" style="1" hidden="1" customWidth="1"/>
    <col min="213" max="213" width="39" style="1" hidden="1" customWidth="1"/>
    <col min="214" max="214" width="23" style="1" hidden="1" customWidth="1"/>
    <col min="215" max="215" width="28" style="1" hidden="1" customWidth="1"/>
    <col min="216" max="216" width="25" style="1" hidden="1" customWidth="1"/>
    <col min="217" max="217" width="27" style="1" hidden="1" customWidth="1"/>
    <col min="218" max="218" width="40" style="1" hidden="1" customWidth="1"/>
    <col min="219" max="219" width="35" style="1" hidden="1" customWidth="1"/>
    <col min="220" max="220" width="27" style="1" hidden="1" customWidth="1"/>
    <col min="221" max="221" width="33" style="1" hidden="1" customWidth="1"/>
    <col min="222" max="222" width="9" style="1" hidden="1" customWidth="1"/>
    <col min="223" max="223" width="20" style="1" hidden="1" customWidth="1"/>
    <col min="224" max="224" width="7" style="1" hidden="1" customWidth="1"/>
    <col min="225" max="226" width="19" style="1" hidden="1" customWidth="1"/>
    <col min="227" max="240" width="40" style="1" hidden="1" customWidth="1"/>
    <col min="241" max="241" width="14" style="1" hidden="1" customWidth="1"/>
    <col min="242" max="242" width="35" style="1" hidden="1" customWidth="1"/>
    <col min="243" max="243" width="15" style="1" hidden="1" customWidth="1"/>
    <col min="244" max="244" width="5" style="1" hidden="1" customWidth="1"/>
    <col min="245" max="245" width="29" style="1" hidden="1" customWidth="1"/>
    <col min="246" max="246" width="12" style="1" hidden="1" customWidth="1"/>
    <col min="247" max="247" width="29" style="1" hidden="1" customWidth="1"/>
    <col min="248" max="249" width="40" style="1" hidden="1" customWidth="1"/>
    <col min="250" max="251" width="16" style="1" hidden="1" customWidth="1"/>
    <col min="252" max="252" width="24" style="1" hidden="1" customWidth="1"/>
    <col min="253" max="254" width="40" style="1" hidden="1" customWidth="1"/>
    <col min="255" max="255" width="14" style="1" hidden="1" customWidth="1"/>
    <col min="256" max="256" width="35" style="1" hidden="1" customWidth="1"/>
    <col min="257" max="257" width="15" style="1" hidden="1" customWidth="1"/>
    <col min="258" max="258" width="5" style="1" hidden="1" customWidth="1"/>
    <col min="259" max="259" width="29" style="1" hidden="1" customWidth="1"/>
    <col min="260" max="260" width="24" style="1" hidden="1" customWidth="1"/>
    <col min="261" max="261" width="12" style="1" hidden="1" customWidth="1"/>
    <col min="262" max="263" width="40" style="1" hidden="1" customWidth="1"/>
    <col min="264" max="264" width="32" style="1" hidden="1" customWidth="1"/>
    <col min="265" max="266" width="40" style="1" hidden="1" customWidth="1"/>
    <col min="267" max="267" width="32" style="1" hidden="1" customWidth="1"/>
    <col min="268" max="268" width="36" style="1" hidden="1" customWidth="1"/>
    <col min="269" max="269" width="40" style="1" hidden="1" customWidth="1"/>
    <col min="270" max="270" width="36" style="1" hidden="1" customWidth="1"/>
    <col min="271" max="271" width="40" style="1" hidden="1" customWidth="1"/>
    <col min="272" max="272" width="37" style="1" hidden="1" customWidth="1"/>
    <col min="273" max="273" width="36" style="1" hidden="1" customWidth="1"/>
    <col min="274" max="274" width="40" style="1" hidden="1" customWidth="1"/>
    <col min="275" max="275" width="23" style="1" hidden="1" customWidth="1"/>
    <col min="276" max="277" width="13" style="1" hidden="1" customWidth="1"/>
    <col min="278" max="278" width="32" style="1" hidden="1" customWidth="1"/>
    <col min="279" max="279" width="40" style="1" hidden="1" customWidth="1"/>
    <col min="280" max="280" width="37" style="1" hidden="1" customWidth="1"/>
    <col min="281" max="281" width="31" style="1" hidden="1" customWidth="1"/>
    <col min="282" max="284" width="40" style="1" hidden="1" customWidth="1"/>
    <col min="285" max="285" width="11" style="1" hidden="1" customWidth="1"/>
    <col min="286" max="286" width="33" style="1" hidden="1" customWidth="1"/>
    <col min="287" max="288" width="26" style="1" hidden="1" customWidth="1"/>
    <col min="289" max="291" width="40" style="1" hidden="1" customWidth="1"/>
    <col min="292" max="292" width="32" style="1" hidden="1" customWidth="1"/>
    <col min="293" max="296" width="40" style="1" hidden="1" customWidth="1"/>
    <col min="297" max="297" width="36" style="1" hidden="1" customWidth="1"/>
    <col min="298" max="298" width="13" style="1" hidden="1" customWidth="1"/>
    <col min="299" max="299" width="23" style="1" hidden="1" customWidth="1"/>
    <col min="300" max="300" width="38" style="1" hidden="1" customWidth="1"/>
    <col min="301" max="301" width="40" style="1" hidden="1" customWidth="1"/>
    <col min="302" max="302" width="30" style="1" hidden="1" customWidth="1"/>
    <col min="303" max="303" width="31" style="1" hidden="1" customWidth="1"/>
    <col min="304" max="304" width="30" style="1" hidden="1" customWidth="1"/>
    <col min="305" max="305" width="13" style="1" hidden="1" customWidth="1"/>
    <col min="306" max="306" width="23" style="1" hidden="1" customWidth="1"/>
    <col min="307" max="307" width="38" style="1" hidden="1" customWidth="1"/>
    <col min="308" max="308" width="32" style="1" hidden="1" customWidth="1"/>
    <col min="309" max="309" width="30" style="1" hidden="1" customWidth="1"/>
    <col min="310" max="310" width="31" style="1" hidden="1" customWidth="1"/>
    <col min="311" max="311" width="30" style="1" hidden="1" customWidth="1"/>
    <col min="312" max="312" width="13" style="1" hidden="1" customWidth="1"/>
    <col min="313" max="313" width="23" style="1" hidden="1" customWidth="1"/>
    <col min="314" max="314" width="35" style="1" hidden="1" customWidth="1"/>
    <col min="315" max="315" width="39" style="1" hidden="1" customWidth="1"/>
    <col min="316" max="316" width="30" style="1" hidden="1" customWidth="1"/>
    <col min="317" max="317" width="31" style="1" hidden="1" customWidth="1"/>
    <col min="318" max="318" width="30" style="1" hidden="1" customWidth="1"/>
    <col min="319" max="319" width="13" style="1" hidden="1" customWidth="1"/>
    <col min="320" max="320" width="23" style="1" hidden="1" customWidth="1"/>
    <col min="321" max="321" width="40" style="1" hidden="1" customWidth="1"/>
    <col min="322" max="322" width="30" style="1" hidden="1" customWidth="1"/>
    <col min="323" max="323" width="31" style="1" hidden="1" customWidth="1"/>
    <col min="324" max="324" width="30" style="1" hidden="1" customWidth="1"/>
    <col min="325" max="326" width="31" style="1" hidden="1" customWidth="1"/>
    <col min="327" max="327" width="27" style="1" hidden="1" customWidth="1"/>
    <col min="328" max="329" width="40" style="1" hidden="1" customWidth="1"/>
    <col min="330" max="331" width="15" style="1" hidden="1" customWidth="1"/>
    <col min="332" max="332" width="19" style="1" hidden="1" customWidth="1"/>
    <col min="333" max="333" width="8" style="1" hidden="1" customWidth="1"/>
    <col min="334" max="336" width="31" style="1" hidden="1" customWidth="1"/>
    <col min="337" max="337" width="40" style="1" hidden="1" customWidth="1"/>
    <col min="338" max="338" width="23" style="1" hidden="1" customWidth="1"/>
    <col min="339" max="339" width="29" style="1" hidden="1" customWidth="1"/>
    <col min="340" max="343" width="40" style="1" hidden="1" customWidth="1"/>
    <col min="344" max="344" width="8" style="1" hidden="1" customWidth="1"/>
    <col min="345" max="345" width="33" style="1" hidden="1" customWidth="1"/>
    <col min="346" max="346" width="31" style="1" hidden="1" customWidth="1"/>
    <col min="347" max="347" width="40" style="1" hidden="1" customWidth="1"/>
    <col min="348" max="348" width="37" style="1" hidden="1" customWidth="1"/>
    <col min="349" max="352" width="40" style="1" hidden="1" customWidth="1"/>
    <col min="353" max="353" width="21" style="1" hidden="1" customWidth="1"/>
    <col min="354" max="356" width="40" style="1" hidden="1" customWidth="1"/>
    <col min="357" max="357" width="9" style="1" hidden="1" customWidth="1"/>
    <col min="358" max="358" width="8" style="1" hidden="1" customWidth="1"/>
    <col min="359" max="359" width="25" style="1" hidden="1" customWidth="1"/>
    <col min="360" max="360" width="31" style="1" hidden="1" customWidth="1"/>
    <col min="361" max="361" width="25" style="1" hidden="1" customWidth="1"/>
    <col min="362" max="369" width="40" style="1" hidden="1" customWidth="1"/>
    <col min="370" max="370" width="36" style="1" hidden="1" customWidth="1"/>
    <col min="371" max="371" width="18" style="1" hidden="1" customWidth="1"/>
    <col min="372" max="372" width="26" style="1" hidden="1" customWidth="1"/>
    <col min="373" max="373" width="27" style="1" hidden="1" customWidth="1"/>
    <col min="374" max="375" width="40" style="1" hidden="1" customWidth="1"/>
    <col min="376" max="376" width="32" style="1" hidden="1" customWidth="1"/>
    <col min="377" max="377" width="28" style="1" hidden="1" customWidth="1"/>
    <col min="378" max="378" width="40" style="1" hidden="1" customWidth="1"/>
    <col min="379" max="379" width="36" style="1" hidden="1" customWidth="1"/>
    <col min="380" max="380" width="40" style="1" hidden="1" customWidth="1"/>
    <col min="381" max="381" width="28" style="1" hidden="1" customWidth="1"/>
    <col min="382" max="382" width="27" style="1" hidden="1" customWidth="1"/>
    <col min="383" max="383" width="33" style="1" hidden="1" customWidth="1"/>
    <col min="384" max="384" width="30" style="1" hidden="1" customWidth="1"/>
    <col min="385" max="385" width="36" style="1" hidden="1" customWidth="1"/>
    <col min="386" max="386" width="40" style="1" hidden="1" customWidth="1"/>
    <col min="387" max="387" width="28" style="1" hidden="1" customWidth="1"/>
    <col min="388" max="388" width="27" style="1" hidden="1" customWidth="1"/>
    <col min="389" max="389" width="33" style="1" hidden="1" customWidth="1"/>
    <col min="390" max="392" width="40" style="1" hidden="1" customWidth="1"/>
    <col min="393" max="393" width="35" style="1" hidden="1" customWidth="1"/>
    <col min="394" max="394" width="31" style="1" hidden="1" customWidth="1"/>
    <col min="395" max="395" width="37" style="1" hidden="1" customWidth="1"/>
    <col min="396" max="400" width="40" style="1" hidden="1" customWidth="1"/>
    <col min="401" max="401" width="8" style="1" hidden="1" customWidth="1"/>
    <col min="402" max="402" width="25" style="1" hidden="1" customWidth="1"/>
    <col min="403" max="403" width="31" style="1" hidden="1" customWidth="1"/>
    <col min="404" max="404" width="25" style="1" hidden="1" customWidth="1"/>
    <col min="405" max="405" width="14" style="1" hidden="1" customWidth="1"/>
    <col min="406" max="406" width="26" style="1" hidden="1" customWidth="1"/>
    <col min="407" max="409" width="40" style="1" hidden="1" customWidth="1"/>
    <col min="410" max="410" width="21" style="1" hidden="1" customWidth="1"/>
    <col min="411" max="411" width="20" style="1" hidden="1" customWidth="1"/>
    <col min="412" max="412" width="21" style="1" hidden="1" customWidth="1"/>
    <col min="413" max="413" width="25" style="1" hidden="1" customWidth="1"/>
    <col min="414" max="414" width="37" style="1" hidden="1" customWidth="1"/>
    <col min="415" max="415" width="40" style="1" hidden="1" customWidth="1"/>
    <col min="416" max="416" width="37" style="1" hidden="1" customWidth="1"/>
    <col min="417" max="421" width="40" style="1" hidden="1" customWidth="1"/>
    <col min="422" max="422" width="25" style="1" hidden="1" customWidth="1"/>
    <col min="423" max="423" width="20" style="1" hidden="1" customWidth="1"/>
    <col min="424" max="424" width="1" style="1" hidden="1" customWidth="1"/>
    <col min="425" max="425" width="28" style="1" hidden="1" customWidth="1"/>
    <col min="426" max="431" width="40" style="1" hidden="1" customWidth="1"/>
    <col min="432" max="432" width="19" style="1" hidden="1" customWidth="1"/>
    <col min="433" max="438" width="40" style="1" hidden="1" customWidth="1"/>
    <col min="439" max="439" width="8" style="1" hidden="1" customWidth="1"/>
    <col min="440" max="440" width="39" style="1" hidden="1" customWidth="1"/>
    <col min="441" max="441" width="32" style="1" hidden="1" customWidth="1"/>
    <col min="442" max="442" width="13" style="1" hidden="1" customWidth="1"/>
    <col min="443" max="443" width="40" style="1" hidden="1" customWidth="1"/>
    <col min="444" max="444" width="32" style="1" hidden="1" customWidth="1"/>
    <col min="445" max="451" width="40" style="1" hidden="1" customWidth="1"/>
    <col min="452" max="452" width="36" style="1" hidden="1" customWidth="1"/>
    <col min="453" max="459" width="40" style="1" hidden="1" customWidth="1"/>
    <col min="460" max="460" width="6" style="1" hidden="1" customWidth="1"/>
    <col min="461" max="461" width="11" style="1" hidden="1" customWidth="1"/>
    <col min="462" max="462" width="33" style="1" hidden="1" customWidth="1"/>
    <col min="463" max="463" width="26" style="1" hidden="1" customWidth="1"/>
    <col min="464" max="464" width="27" style="1" hidden="1" customWidth="1"/>
    <col min="465" max="468" width="40" style="1" hidden="1" customWidth="1"/>
    <col min="469" max="469" width="33" style="1" hidden="1" customWidth="1"/>
    <col min="470" max="470" width="15" style="1" hidden="1" customWidth="1"/>
    <col min="471" max="471" width="36" style="1" hidden="1" customWidth="1"/>
    <col min="472" max="472" width="40" style="1" hidden="1" customWidth="1"/>
    <col min="473" max="473" width="5" style="1" hidden="1" customWidth="1"/>
    <col min="474" max="474" width="33" style="1" hidden="1" customWidth="1"/>
    <col min="475" max="475" width="19" style="1" hidden="1" customWidth="1"/>
    <col min="476" max="476" width="40" style="1" hidden="1" customWidth="1"/>
    <col min="477" max="477" width="25" style="1" hidden="1" customWidth="1"/>
    <col min="478" max="478" width="20" style="1" hidden="1" customWidth="1"/>
    <col min="479" max="483" width="40" style="1" hidden="1" customWidth="1"/>
    <col min="484" max="484" width="30" style="1" hidden="1" customWidth="1"/>
    <col min="485" max="485" width="40" style="1" hidden="1" customWidth="1"/>
    <col min="486" max="486" width="27" style="1" hidden="1" customWidth="1"/>
    <col min="487" max="487" width="26" style="1" hidden="1" customWidth="1"/>
    <col min="488" max="491" width="40" style="1" hidden="1" customWidth="1"/>
    <col min="492" max="492" width="35" style="1" hidden="1" customWidth="1"/>
    <col min="493" max="493" width="31" style="1" hidden="1" customWidth="1"/>
    <col min="494" max="497" width="40" style="1" hidden="1" customWidth="1"/>
    <col min="498" max="498" width="21" style="1" hidden="1" customWidth="1"/>
    <col min="499" max="499" width="27" style="1" hidden="1" customWidth="1"/>
    <col min="500" max="501" width="40" style="1" hidden="1" customWidth="1"/>
    <col min="502" max="502" width="22" style="1" hidden="1" customWidth="1"/>
    <col min="503" max="503" width="33" style="1" hidden="1" customWidth="1"/>
    <col min="504" max="504" width="31" style="1" hidden="1" customWidth="1"/>
    <col min="505" max="505" width="49" style="1" customWidth="1"/>
    <col min="506" max="506" width="36.83203125" style="1" customWidth="1"/>
    <col min="507" max="507" width="35.5" style="1" customWidth="1"/>
    <col min="508" max="508" width="42" style="1" customWidth="1"/>
    <col min="509" max="509" width="28.33203125" style="1" customWidth="1"/>
    <col min="510" max="510" width="30.6640625" style="1" customWidth="1"/>
    <col min="511" max="16384" width="9.1640625" style="1"/>
  </cols>
  <sheetData>
    <row r="1" spans="1:510" ht="192"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38</v>
      </c>
      <c r="AQ1" s="2" t="s">
        <v>38</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56</v>
      </c>
      <c r="BH1" s="2" t="s">
        <v>57</v>
      </c>
      <c r="BI1" s="2" t="s">
        <v>58</v>
      </c>
      <c r="BJ1" s="2" t="s">
        <v>59</v>
      </c>
      <c r="BK1" s="2" t="s">
        <v>60</v>
      </c>
      <c r="BL1" s="2" t="s">
        <v>61</v>
      </c>
      <c r="BM1" s="2" t="s">
        <v>54</v>
      </c>
      <c r="BN1" s="2" t="s">
        <v>62</v>
      </c>
      <c r="BO1" s="2" t="s">
        <v>63</v>
      </c>
      <c r="BP1" s="2" t="s">
        <v>64</v>
      </c>
      <c r="BQ1" s="2" t="s">
        <v>65</v>
      </c>
      <c r="BR1" s="2" t="s">
        <v>66</v>
      </c>
      <c r="BS1" s="2" t="s">
        <v>67</v>
      </c>
      <c r="BT1" s="2" t="s">
        <v>68</v>
      </c>
      <c r="BU1" s="2" t="s">
        <v>63</v>
      </c>
      <c r="BV1" s="2" t="s">
        <v>69</v>
      </c>
      <c r="BW1" s="2" t="s">
        <v>70</v>
      </c>
      <c r="BX1" s="2" t="s">
        <v>71</v>
      </c>
      <c r="BY1" s="2" t="s">
        <v>72</v>
      </c>
      <c r="BZ1" s="2" t="s">
        <v>32</v>
      </c>
      <c r="CA1" s="2" t="s">
        <v>73</v>
      </c>
      <c r="CB1" s="2" t="s">
        <v>74</v>
      </c>
      <c r="CC1" s="2" t="s">
        <v>75</v>
      </c>
      <c r="CD1" s="2" t="s">
        <v>76</v>
      </c>
      <c r="CE1" s="2" t="s">
        <v>77</v>
      </c>
      <c r="CF1" s="2" t="s">
        <v>78</v>
      </c>
      <c r="CG1" s="2" t="s">
        <v>79</v>
      </c>
      <c r="CH1" s="2" t="s">
        <v>80</v>
      </c>
      <c r="CI1" s="2" t="s">
        <v>81</v>
      </c>
      <c r="CJ1" s="2" t="s">
        <v>82</v>
      </c>
      <c r="CK1" s="2" t="s">
        <v>83</v>
      </c>
      <c r="CL1" s="2" t="s">
        <v>45</v>
      </c>
      <c r="CM1" s="2" t="s">
        <v>84</v>
      </c>
      <c r="CN1" s="2" t="s">
        <v>85</v>
      </c>
      <c r="CO1" s="2" t="s">
        <v>86</v>
      </c>
      <c r="CP1" s="2" t="s">
        <v>87</v>
      </c>
      <c r="CQ1" s="2" t="s">
        <v>88</v>
      </c>
      <c r="CR1" s="2" t="s">
        <v>89</v>
      </c>
      <c r="CS1" s="2" t="s">
        <v>90</v>
      </c>
      <c r="CT1" s="2" t="s">
        <v>91</v>
      </c>
      <c r="CU1" s="2" t="s">
        <v>92</v>
      </c>
      <c r="CV1" s="2" t="s">
        <v>93</v>
      </c>
      <c r="CW1" s="2" t="s">
        <v>94</v>
      </c>
      <c r="CX1" s="2" t="s">
        <v>95</v>
      </c>
      <c r="CY1" s="2" t="s">
        <v>96</v>
      </c>
      <c r="CZ1" s="2" t="s">
        <v>97</v>
      </c>
      <c r="DA1" s="2" t="s">
        <v>98</v>
      </c>
      <c r="DB1" s="2" t="s">
        <v>99</v>
      </c>
      <c r="DC1" s="2" t="s">
        <v>100</v>
      </c>
      <c r="DD1" s="2" t="s">
        <v>101</v>
      </c>
      <c r="DE1" s="2" t="s">
        <v>102</v>
      </c>
      <c r="DF1" s="2" t="s">
        <v>103</v>
      </c>
      <c r="DG1" s="2" t="s">
        <v>104</v>
      </c>
      <c r="DH1" s="2" t="s">
        <v>105</v>
      </c>
      <c r="DI1" s="2" t="s">
        <v>106</v>
      </c>
      <c r="DJ1" s="2" t="s">
        <v>107</v>
      </c>
      <c r="DK1" s="2" t="s">
        <v>101</v>
      </c>
      <c r="DL1" s="2" t="s">
        <v>108</v>
      </c>
      <c r="DM1" s="2" t="s">
        <v>109</v>
      </c>
      <c r="DN1" s="2" t="s">
        <v>110</v>
      </c>
      <c r="DO1" s="2" t="s">
        <v>111</v>
      </c>
      <c r="DP1" s="2" t="s">
        <v>112</v>
      </c>
      <c r="DQ1" s="2" t="s">
        <v>113</v>
      </c>
      <c r="DR1" s="2" t="s">
        <v>114</v>
      </c>
      <c r="DS1" s="2" t="s">
        <v>115</v>
      </c>
      <c r="DT1" s="2" t="s">
        <v>116</v>
      </c>
      <c r="DU1" s="2" t="s">
        <v>116</v>
      </c>
      <c r="DV1" s="2" t="s">
        <v>117</v>
      </c>
      <c r="DW1" s="2" t="s">
        <v>118</v>
      </c>
      <c r="DX1" s="2" t="s">
        <v>102</v>
      </c>
      <c r="DY1" s="2" t="s">
        <v>119</v>
      </c>
      <c r="DZ1" s="2" t="s">
        <v>120</v>
      </c>
      <c r="EA1" s="2" t="s">
        <v>111</v>
      </c>
      <c r="EB1" s="2" t="s">
        <v>116</v>
      </c>
      <c r="EC1" s="2" t="s">
        <v>108</v>
      </c>
      <c r="ED1" s="2" t="s">
        <v>113</v>
      </c>
      <c r="EE1" s="2" t="s">
        <v>121</v>
      </c>
      <c r="EF1" s="2" t="s">
        <v>122</v>
      </c>
      <c r="EG1" s="2" t="s">
        <v>123</v>
      </c>
      <c r="EH1" s="2" t="s">
        <v>124</v>
      </c>
      <c r="EI1" s="2" t="s">
        <v>125</v>
      </c>
      <c r="EJ1" s="2" t="s">
        <v>126</v>
      </c>
      <c r="EK1" s="2" t="s">
        <v>127</v>
      </c>
      <c r="EL1" s="2" t="s">
        <v>128</v>
      </c>
      <c r="EM1" s="2" t="s">
        <v>128</v>
      </c>
      <c r="EN1" s="2" t="s">
        <v>129</v>
      </c>
      <c r="EO1" s="2" t="s">
        <v>130</v>
      </c>
      <c r="EP1" s="2" t="s">
        <v>131</v>
      </c>
      <c r="EQ1" s="2" t="s">
        <v>132</v>
      </c>
      <c r="ER1" s="2" t="s">
        <v>133</v>
      </c>
      <c r="ES1" s="2" t="s">
        <v>133</v>
      </c>
      <c r="ET1" s="2" t="s">
        <v>134</v>
      </c>
      <c r="EU1" s="2" t="s">
        <v>135</v>
      </c>
      <c r="EV1" s="2" t="s">
        <v>136</v>
      </c>
      <c r="EW1" s="2" t="s">
        <v>137</v>
      </c>
      <c r="EX1" s="2" t="s">
        <v>128</v>
      </c>
      <c r="EY1" s="2" t="s">
        <v>128</v>
      </c>
      <c r="EZ1" s="2" t="s">
        <v>128</v>
      </c>
      <c r="FA1" s="2" t="s">
        <v>128</v>
      </c>
      <c r="FB1" s="2" t="s">
        <v>128</v>
      </c>
      <c r="FC1" s="2" t="s">
        <v>128</v>
      </c>
      <c r="FD1" s="2" t="s">
        <v>138</v>
      </c>
      <c r="FE1" s="2" t="s">
        <v>128</v>
      </c>
      <c r="FF1" s="2" t="s">
        <v>128</v>
      </c>
      <c r="FG1" s="2" t="s">
        <v>128</v>
      </c>
      <c r="FH1" s="2" t="s">
        <v>139</v>
      </c>
      <c r="FI1" s="2" t="s">
        <v>140</v>
      </c>
      <c r="FJ1" s="2" t="s">
        <v>141</v>
      </c>
      <c r="FK1" s="2" t="s">
        <v>142</v>
      </c>
      <c r="FL1" s="2" t="s">
        <v>143</v>
      </c>
      <c r="FM1" s="2" t="s">
        <v>125</v>
      </c>
      <c r="FN1" s="2" t="s">
        <v>144</v>
      </c>
      <c r="FO1" s="2" t="s">
        <v>145</v>
      </c>
      <c r="FP1" s="2" t="s">
        <v>146</v>
      </c>
      <c r="FQ1" s="2" t="s">
        <v>147</v>
      </c>
      <c r="FR1" s="2" t="s">
        <v>148</v>
      </c>
      <c r="FS1" s="2" t="s">
        <v>149</v>
      </c>
      <c r="FT1" s="2" t="s">
        <v>150</v>
      </c>
      <c r="FU1" s="2" t="s">
        <v>151</v>
      </c>
      <c r="FV1" s="2" t="s">
        <v>152</v>
      </c>
      <c r="FW1" s="2" t="s">
        <v>153</v>
      </c>
      <c r="FX1" s="2" t="s">
        <v>154</v>
      </c>
      <c r="FY1" s="2" t="s">
        <v>155</v>
      </c>
      <c r="FZ1" s="2" t="s">
        <v>156</v>
      </c>
      <c r="GA1" s="2" t="s">
        <v>157</v>
      </c>
      <c r="GB1" s="2" t="s">
        <v>158</v>
      </c>
      <c r="GC1" s="2" t="s">
        <v>107</v>
      </c>
      <c r="GD1" s="2" t="s">
        <v>98</v>
      </c>
      <c r="GE1" s="2" t="s">
        <v>159</v>
      </c>
      <c r="GF1" s="2" t="s">
        <v>160</v>
      </c>
      <c r="GG1" s="2" t="s">
        <v>161</v>
      </c>
      <c r="GH1" s="2" t="s">
        <v>162</v>
      </c>
      <c r="GI1" s="2" t="s">
        <v>163</v>
      </c>
      <c r="GJ1" s="2" t="s">
        <v>164</v>
      </c>
      <c r="GK1" s="2" t="s">
        <v>165</v>
      </c>
      <c r="GL1" s="2" t="s">
        <v>166</v>
      </c>
      <c r="GM1" s="2" t="s">
        <v>167</v>
      </c>
      <c r="GN1" s="2" t="s">
        <v>168</v>
      </c>
      <c r="GO1" s="2" t="s">
        <v>169</v>
      </c>
      <c r="GP1" s="2" t="s">
        <v>170</v>
      </c>
      <c r="GQ1" s="2" t="s">
        <v>171</v>
      </c>
      <c r="GR1" s="2" t="s">
        <v>172</v>
      </c>
      <c r="GS1" s="2" t="s">
        <v>173</v>
      </c>
      <c r="GT1" s="2" t="s">
        <v>174</v>
      </c>
      <c r="GU1" s="2" t="s">
        <v>175</v>
      </c>
      <c r="GV1" s="2" t="s">
        <v>176</v>
      </c>
      <c r="GW1" s="2" t="s">
        <v>177</v>
      </c>
      <c r="GX1" s="2" t="s">
        <v>178</v>
      </c>
      <c r="GY1" s="2" t="s">
        <v>2</v>
      </c>
      <c r="GZ1" s="2" t="s">
        <v>179</v>
      </c>
      <c r="HA1" s="2" t="s">
        <v>180</v>
      </c>
      <c r="HB1" s="2" t="s">
        <v>181</v>
      </c>
      <c r="HC1" s="2" t="s">
        <v>181</v>
      </c>
      <c r="HD1" s="2" t="s">
        <v>182</v>
      </c>
      <c r="HE1" s="2" t="s">
        <v>183</v>
      </c>
      <c r="HF1" s="2" t="s">
        <v>184</v>
      </c>
      <c r="HG1" s="2" t="s">
        <v>185</v>
      </c>
      <c r="HH1" s="2" t="s">
        <v>186</v>
      </c>
      <c r="HI1" s="2" t="s">
        <v>187</v>
      </c>
      <c r="HJ1" s="2" t="s">
        <v>188</v>
      </c>
      <c r="HK1" s="2" t="s">
        <v>189</v>
      </c>
      <c r="HL1" s="2" t="s">
        <v>190</v>
      </c>
      <c r="HM1" s="2" t="s">
        <v>191</v>
      </c>
      <c r="HN1" s="2" t="s">
        <v>192</v>
      </c>
      <c r="HO1" s="2" t="s">
        <v>193</v>
      </c>
      <c r="HP1" s="2" t="s">
        <v>194</v>
      </c>
      <c r="HQ1" s="2" t="s">
        <v>195</v>
      </c>
      <c r="HR1" s="2" t="s">
        <v>195</v>
      </c>
      <c r="HS1" s="2" t="s">
        <v>196</v>
      </c>
      <c r="HT1" s="2" t="s">
        <v>196</v>
      </c>
      <c r="HU1" s="2" t="s">
        <v>197</v>
      </c>
      <c r="HV1" s="2" t="s">
        <v>198</v>
      </c>
      <c r="HW1" s="2" t="s">
        <v>199</v>
      </c>
      <c r="HX1" s="2" t="s">
        <v>200</v>
      </c>
      <c r="HY1" s="2" t="s">
        <v>201</v>
      </c>
      <c r="HZ1" s="2" t="s">
        <v>202</v>
      </c>
      <c r="IA1" s="2" t="s">
        <v>203</v>
      </c>
      <c r="IB1" s="2" t="s">
        <v>204</v>
      </c>
      <c r="IC1" s="2" t="s">
        <v>205</v>
      </c>
      <c r="ID1" s="2" t="s">
        <v>206</v>
      </c>
      <c r="IE1" s="2" t="s">
        <v>207</v>
      </c>
      <c r="IF1" s="2" t="s">
        <v>208</v>
      </c>
      <c r="IG1" s="2" t="s">
        <v>209</v>
      </c>
      <c r="IH1" s="2" t="s">
        <v>210</v>
      </c>
      <c r="II1" s="2" t="s">
        <v>211</v>
      </c>
      <c r="IJ1" s="2" t="s">
        <v>212</v>
      </c>
      <c r="IK1" s="2" t="s">
        <v>213</v>
      </c>
      <c r="IL1" s="2" t="s">
        <v>214</v>
      </c>
      <c r="IM1" s="2" t="s">
        <v>215</v>
      </c>
      <c r="IN1" s="2" t="s">
        <v>216</v>
      </c>
      <c r="IO1" s="2" t="s">
        <v>216</v>
      </c>
      <c r="IP1" s="2" t="s">
        <v>217</v>
      </c>
      <c r="IQ1" s="2" t="s">
        <v>217</v>
      </c>
      <c r="IR1" s="2" t="s">
        <v>218</v>
      </c>
      <c r="IS1" s="2" t="s">
        <v>219</v>
      </c>
      <c r="IT1" s="2" t="s">
        <v>208</v>
      </c>
      <c r="IU1" s="2" t="s">
        <v>220</v>
      </c>
      <c r="IV1" s="2" t="s">
        <v>221</v>
      </c>
      <c r="IW1" s="2" t="s">
        <v>211</v>
      </c>
      <c r="IX1" s="2" t="s">
        <v>212</v>
      </c>
      <c r="IY1" s="2" t="s">
        <v>213</v>
      </c>
      <c r="IZ1" s="2" t="s">
        <v>218</v>
      </c>
      <c r="JA1" s="2" t="s">
        <v>222</v>
      </c>
      <c r="JB1" s="2" t="s">
        <v>223</v>
      </c>
      <c r="JC1" s="2" t="s">
        <v>143</v>
      </c>
      <c r="JD1" s="2" t="s">
        <v>224</v>
      </c>
      <c r="JE1" s="2" t="s">
        <v>225</v>
      </c>
      <c r="JF1" s="2" t="s">
        <v>226</v>
      </c>
      <c r="JG1" s="2" t="s">
        <v>227</v>
      </c>
      <c r="JH1" s="2" t="s">
        <v>228</v>
      </c>
      <c r="JI1" s="2" t="s">
        <v>229</v>
      </c>
      <c r="JJ1" s="2" t="s">
        <v>230</v>
      </c>
      <c r="JK1" s="2" t="s">
        <v>231</v>
      </c>
      <c r="JL1" s="2" t="s">
        <v>232</v>
      </c>
      <c r="JM1" s="2" t="s">
        <v>233</v>
      </c>
      <c r="JN1" s="2" t="s">
        <v>234</v>
      </c>
      <c r="JO1" s="2" t="s">
        <v>235</v>
      </c>
      <c r="JP1" s="2" t="s">
        <v>236</v>
      </c>
      <c r="JQ1" s="2" t="s">
        <v>237</v>
      </c>
      <c r="JR1" s="2" t="s">
        <v>238</v>
      </c>
      <c r="JS1" s="2" t="s">
        <v>239</v>
      </c>
      <c r="JT1" s="2" t="s">
        <v>240</v>
      </c>
      <c r="JU1" s="2" t="s">
        <v>241</v>
      </c>
      <c r="JV1" s="2" t="s">
        <v>242</v>
      </c>
      <c r="JW1" s="2" t="s">
        <v>243</v>
      </c>
      <c r="JX1" s="2" t="s">
        <v>244</v>
      </c>
      <c r="JY1" s="2" t="s">
        <v>245</v>
      </c>
      <c r="JZ1" s="2" t="s">
        <v>246</v>
      </c>
      <c r="KA1" s="2" t="s">
        <v>247</v>
      </c>
      <c r="KB1" s="2" t="s">
        <v>248</v>
      </c>
      <c r="KC1" s="2" t="s">
        <v>249</v>
      </c>
      <c r="KD1" s="2" t="s">
        <v>250</v>
      </c>
      <c r="KE1" s="2" t="s">
        <v>251</v>
      </c>
      <c r="KF1" s="2" t="s">
        <v>252</v>
      </c>
      <c r="KG1" s="2" t="s">
        <v>253</v>
      </c>
      <c r="KH1" s="2" t="s">
        <v>254</v>
      </c>
      <c r="KI1" s="2" t="s">
        <v>255</v>
      </c>
      <c r="KJ1" s="2" t="s">
        <v>256</v>
      </c>
      <c r="KK1" s="2" t="s">
        <v>257</v>
      </c>
      <c r="KL1" s="2" t="s">
        <v>258</v>
      </c>
      <c r="KM1" s="2" t="s">
        <v>259</v>
      </c>
      <c r="KN1" s="2" t="s">
        <v>260</v>
      </c>
      <c r="KO1" s="2" t="s">
        <v>261</v>
      </c>
      <c r="KP1" s="2" t="s">
        <v>262</v>
      </c>
      <c r="KQ1" s="2" t="s">
        <v>263</v>
      </c>
      <c r="KR1" s="2" t="s">
        <v>264</v>
      </c>
      <c r="KS1" s="2" t="s">
        <v>258</v>
      </c>
      <c r="KT1" s="2" t="s">
        <v>259</v>
      </c>
      <c r="KU1" s="2" t="s">
        <v>265</v>
      </c>
      <c r="KV1" s="2" t="s">
        <v>266</v>
      </c>
      <c r="KW1" s="2" t="s">
        <v>262</v>
      </c>
      <c r="KX1" s="2" t="s">
        <v>263</v>
      </c>
      <c r="KY1" s="2" t="s">
        <v>264</v>
      </c>
      <c r="KZ1" s="2" t="s">
        <v>258</v>
      </c>
      <c r="LA1" s="2" t="s">
        <v>259</v>
      </c>
      <c r="LB1" s="2" t="s">
        <v>267</v>
      </c>
      <c r="LC1" s="2" t="s">
        <v>268</v>
      </c>
      <c r="LD1" s="2" t="s">
        <v>262</v>
      </c>
      <c r="LE1" s="2" t="s">
        <v>263</v>
      </c>
      <c r="LF1" s="2" t="s">
        <v>264</v>
      </c>
      <c r="LG1" s="2" t="s">
        <v>258</v>
      </c>
      <c r="LH1" s="2" t="s">
        <v>259</v>
      </c>
      <c r="LI1" s="2" t="s">
        <v>269</v>
      </c>
      <c r="LJ1" s="2" t="s">
        <v>262</v>
      </c>
      <c r="LK1" s="2" t="s">
        <v>263</v>
      </c>
      <c r="LL1" s="2" t="s">
        <v>264</v>
      </c>
      <c r="LM1" s="2" t="s">
        <v>270</v>
      </c>
      <c r="LN1" s="2" t="s">
        <v>271</v>
      </c>
      <c r="LO1" s="2" t="s">
        <v>272</v>
      </c>
      <c r="LP1" s="2" t="s">
        <v>273</v>
      </c>
      <c r="LQ1" s="2" t="s">
        <v>274</v>
      </c>
      <c r="LR1" s="2" t="s">
        <v>275</v>
      </c>
      <c r="LS1" s="2" t="s">
        <v>276</v>
      </c>
      <c r="LT1" s="2" t="s">
        <v>277</v>
      </c>
      <c r="LU1" s="2" t="s">
        <v>278</v>
      </c>
      <c r="LV1" s="2" t="s">
        <v>279</v>
      </c>
      <c r="LW1" s="2" t="s">
        <v>280</v>
      </c>
      <c r="LX1" s="2" t="s">
        <v>281</v>
      </c>
      <c r="LY1" s="2" t="s">
        <v>282</v>
      </c>
      <c r="LZ1" s="2" t="s">
        <v>283</v>
      </c>
      <c r="MA1" s="2" t="s">
        <v>284</v>
      </c>
      <c r="MB1" s="2" t="s">
        <v>285</v>
      </c>
      <c r="MC1" s="2" t="s">
        <v>286</v>
      </c>
      <c r="MD1" s="2" t="s">
        <v>287</v>
      </c>
      <c r="ME1" s="2" t="s">
        <v>288</v>
      </c>
      <c r="MF1" s="2" t="s">
        <v>278</v>
      </c>
      <c r="MG1" s="2" t="s">
        <v>289</v>
      </c>
      <c r="MH1" s="2" t="s">
        <v>280</v>
      </c>
      <c r="MI1" s="2" t="s">
        <v>290</v>
      </c>
      <c r="MJ1" s="2" t="s">
        <v>291</v>
      </c>
      <c r="MK1" s="2" t="s">
        <v>292</v>
      </c>
      <c r="ML1" s="2" t="s">
        <v>286</v>
      </c>
      <c r="MM1" s="2" t="s">
        <v>287</v>
      </c>
      <c r="MN1" s="2" t="s">
        <v>288</v>
      </c>
      <c r="MO1" s="2" t="s">
        <v>293</v>
      </c>
      <c r="MP1" s="2" t="s">
        <v>294</v>
      </c>
      <c r="MQ1" s="2" t="s">
        <v>295</v>
      </c>
      <c r="MR1" s="2" t="s">
        <v>290</v>
      </c>
      <c r="MS1" s="2" t="s">
        <v>296</v>
      </c>
      <c r="MT1" s="2" t="s">
        <v>278</v>
      </c>
      <c r="MU1" s="2" t="s">
        <v>297</v>
      </c>
      <c r="MV1" s="2" t="s">
        <v>280</v>
      </c>
      <c r="MW1" s="2" t="s">
        <v>186</v>
      </c>
      <c r="MX1" s="2" t="s">
        <v>298</v>
      </c>
      <c r="MY1" s="2" t="s">
        <v>201</v>
      </c>
      <c r="MZ1" s="2" t="s">
        <v>299</v>
      </c>
      <c r="NA1" s="2" t="s">
        <v>300</v>
      </c>
      <c r="NB1" s="2" t="s">
        <v>301</v>
      </c>
      <c r="NC1" s="2" t="s">
        <v>302</v>
      </c>
      <c r="ND1" s="2" t="s">
        <v>303</v>
      </c>
      <c r="NE1" s="2" t="s">
        <v>304</v>
      </c>
      <c r="NF1" s="2" t="s">
        <v>305</v>
      </c>
      <c r="NG1" s="2" t="s">
        <v>306</v>
      </c>
      <c r="NH1" s="2" t="s">
        <v>307</v>
      </c>
      <c r="NI1" s="2" t="s">
        <v>308</v>
      </c>
      <c r="NJ1" s="2" t="s">
        <v>309</v>
      </c>
      <c r="NK1" s="2" t="s">
        <v>310</v>
      </c>
      <c r="NL1" s="2" t="s">
        <v>311</v>
      </c>
      <c r="NM1" s="2" t="s">
        <v>312</v>
      </c>
      <c r="NN1" s="2" t="s">
        <v>313</v>
      </c>
      <c r="NO1" s="2" t="s">
        <v>314</v>
      </c>
      <c r="NP1" s="2" t="s">
        <v>315</v>
      </c>
      <c r="NQ1" s="2" t="s">
        <v>316</v>
      </c>
      <c r="NR1" s="2" t="s">
        <v>317</v>
      </c>
      <c r="NS1" s="2" t="s">
        <v>318</v>
      </c>
      <c r="NT1" s="2" t="s">
        <v>319</v>
      </c>
      <c r="NU1" s="2" t="s">
        <v>320</v>
      </c>
      <c r="NV1" s="2" t="s">
        <v>315</v>
      </c>
      <c r="NW1" s="2" t="s">
        <v>316</v>
      </c>
      <c r="NX1" s="2" t="s">
        <v>317</v>
      </c>
      <c r="NY1" s="2" t="s">
        <v>321</v>
      </c>
      <c r="NZ1" s="2" t="s">
        <v>322</v>
      </c>
      <c r="OA1" s="2" t="s">
        <v>323</v>
      </c>
      <c r="OB1" s="2" t="s">
        <v>324</v>
      </c>
      <c r="OC1" s="2" t="s">
        <v>325</v>
      </c>
      <c r="OD1" s="2" t="s">
        <v>326</v>
      </c>
      <c r="OE1" s="2" t="s">
        <v>327</v>
      </c>
      <c r="OF1" s="2" t="s">
        <v>328</v>
      </c>
      <c r="OG1" s="2" t="s">
        <v>329</v>
      </c>
      <c r="OH1" s="2" t="s">
        <v>330</v>
      </c>
      <c r="OI1" s="2" t="s">
        <v>331</v>
      </c>
      <c r="OJ1" s="2" t="s">
        <v>332</v>
      </c>
      <c r="OK1" s="2" t="s">
        <v>278</v>
      </c>
      <c r="OL1" s="2" t="s">
        <v>297</v>
      </c>
      <c r="OM1" s="2" t="s">
        <v>280</v>
      </c>
      <c r="ON1" s="2" t="s">
        <v>186</v>
      </c>
      <c r="OO1" s="2" t="s">
        <v>333</v>
      </c>
      <c r="OP1" s="2" t="s">
        <v>334</v>
      </c>
      <c r="OQ1" s="2" t="s">
        <v>335</v>
      </c>
      <c r="OR1" s="2" t="s">
        <v>336</v>
      </c>
      <c r="OS1" s="2" t="s">
        <v>337</v>
      </c>
      <c r="OT1" s="2" t="s">
        <v>338</v>
      </c>
      <c r="OU1" s="2" t="s">
        <v>339</v>
      </c>
      <c r="OV1" s="2" t="s">
        <v>340</v>
      </c>
      <c r="OW1" s="2" t="s">
        <v>341</v>
      </c>
      <c r="OX1" s="2" t="s">
        <v>342</v>
      </c>
      <c r="OY1" s="2" t="s">
        <v>343</v>
      </c>
      <c r="OZ1" s="2" t="s">
        <v>344</v>
      </c>
      <c r="PA1" s="2" t="s">
        <v>345</v>
      </c>
      <c r="PB1" s="2" t="s">
        <v>346</v>
      </c>
      <c r="PC1" s="2" t="s">
        <v>347</v>
      </c>
      <c r="PD1" s="2" t="s">
        <v>348</v>
      </c>
      <c r="PE1" s="2" t="s">
        <v>349</v>
      </c>
      <c r="PF1" s="2" t="s">
        <v>350</v>
      </c>
      <c r="PG1" s="2" t="s">
        <v>351</v>
      </c>
      <c r="PH1" s="2" t="s">
        <v>352</v>
      </c>
      <c r="PI1" s="2" t="s">
        <v>353</v>
      </c>
      <c r="PJ1" s="2" t="s">
        <v>354</v>
      </c>
      <c r="PK1" s="2" t="s">
        <v>355</v>
      </c>
      <c r="PL1" s="2" t="s">
        <v>356</v>
      </c>
      <c r="PM1" s="2" t="s">
        <v>357</v>
      </c>
      <c r="PN1" s="2" t="s">
        <v>358</v>
      </c>
      <c r="PO1" s="2" t="s">
        <v>359</v>
      </c>
      <c r="PP1" s="2" t="s">
        <v>360</v>
      </c>
      <c r="PQ1" s="2" t="s">
        <v>361</v>
      </c>
      <c r="PR1" s="2" t="s">
        <v>362</v>
      </c>
      <c r="PS1" s="2" t="s">
        <v>363</v>
      </c>
      <c r="PT1" s="2" t="s">
        <v>364</v>
      </c>
      <c r="PU1" s="2" t="s">
        <v>365</v>
      </c>
      <c r="PV1" s="2" t="s">
        <v>366</v>
      </c>
      <c r="PW1" s="2" t="s">
        <v>278</v>
      </c>
      <c r="PX1" s="2" t="s">
        <v>367</v>
      </c>
      <c r="PY1" s="2" t="s">
        <v>368</v>
      </c>
      <c r="PZ1" s="2" t="s">
        <v>369</v>
      </c>
      <c r="QA1" s="2" t="s">
        <v>370</v>
      </c>
      <c r="QB1" s="2" t="s">
        <v>371</v>
      </c>
      <c r="QC1" s="2" t="s">
        <v>372</v>
      </c>
      <c r="QD1" s="2" t="s">
        <v>373</v>
      </c>
      <c r="QE1" s="2" t="s">
        <v>374</v>
      </c>
      <c r="QF1" s="2" t="s">
        <v>375</v>
      </c>
      <c r="QG1" s="2" t="s">
        <v>376</v>
      </c>
      <c r="QH1" s="2" t="s">
        <v>377</v>
      </c>
      <c r="QI1" s="2" t="s">
        <v>378</v>
      </c>
      <c r="QJ1" s="2" t="s">
        <v>379</v>
      </c>
      <c r="QK1" s="2" t="s">
        <v>380</v>
      </c>
      <c r="QL1" s="2" t="s">
        <v>381</v>
      </c>
      <c r="QM1" s="2" t="s">
        <v>382</v>
      </c>
      <c r="QN1" s="2" t="s">
        <v>383</v>
      </c>
      <c r="QO1" s="2" t="s">
        <v>384</v>
      </c>
      <c r="QP1" s="2" t="s">
        <v>385</v>
      </c>
      <c r="QQ1" s="2" t="s">
        <v>386</v>
      </c>
      <c r="QR1" s="2" t="s">
        <v>63</v>
      </c>
      <c r="QS1" s="2" t="s">
        <v>245</v>
      </c>
      <c r="QT1" s="2" t="s">
        <v>246</v>
      </c>
      <c r="QU1" s="2" t="s">
        <v>247</v>
      </c>
      <c r="QV1" s="2" t="s">
        <v>387</v>
      </c>
      <c r="QW1" s="2" t="s">
        <v>388</v>
      </c>
      <c r="QX1" s="2" t="s">
        <v>249</v>
      </c>
      <c r="QY1" s="2" t="s">
        <v>389</v>
      </c>
      <c r="QZ1" s="2" t="s">
        <v>390</v>
      </c>
      <c r="RA1" s="2" t="s">
        <v>391</v>
      </c>
      <c r="RB1" s="2" t="s">
        <v>392</v>
      </c>
      <c r="RC1" s="2" t="s">
        <v>393</v>
      </c>
      <c r="RD1" s="2" t="s">
        <v>394</v>
      </c>
      <c r="RE1" s="2" t="s">
        <v>212</v>
      </c>
      <c r="RF1" s="2" t="s">
        <v>395</v>
      </c>
      <c r="RG1" s="2" t="s">
        <v>396</v>
      </c>
      <c r="RH1" s="2" t="s">
        <v>216</v>
      </c>
      <c r="RI1" s="2" t="s">
        <v>397</v>
      </c>
      <c r="RJ1" s="2" t="s">
        <v>398</v>
      </c>
      <c r="RK1" s="2" t="s">
        <v>219</v>
      </c>
      <c r="RL1" s="2" t="s">
        <v>299</v>
      </c>
      <c r="RM1" s="2" t="s">
        <v>300</v>
      </c>
      <c r="RN1" s="2" t="s">
        <v>399</v>
      </c>
      <c r="RO1" s="2" t="s">
        <v>206</v>
      </c>
      <c r="RP1" s="2" t="s">
        <v>400</v>
      </c>
      <c r="RQ1" s="2" t="s">
        <v>401</v>
      </c>
      <c r="RR1" s="2" t="s">
        <v>402</v>
      </c>
      <c r="RS1" s="2" t="s">
        <v>403</v>
      </c>
      <c r="RT1" s="2" t="s">
        <v>404</v>
      </c>
      <c r="RU1" s="2" t="s">
        <v>405</v>
      </c>
      <c r="RV1" s="2" t="s">
        <v>406</v>
      </c>
      <c r="RW1" s="2" t="s">
        <v>407</v>
      </c>
      <c r="RX1" s="2" t="s">
        <v>408</v>
      </c>
      <c r="RY1" s="2" t="s">
        <v>409</v>
      </c>
      <c r="RZ1" s="2" t="s">
        <v>410</v>
      </c>
      <c r="SA1" s="2" t="s">
        <v>411</v>
      </c>
      <c r="SB1" s="2" t="s">
        <v>412</v>
      </c>
      <c r="SC1" s="2" t="s">
        <v>413</v>
      </c>
      <c r="SD1" s="2" t="s">
        <v>414</v>
      </c>
      <c r="SE1" s="2" t="s">
        <v>415</v>
      </c>
      <c r="SF1" s="2" t="s">
        <v>416</v>
      </c>
      <c r="SG1" s="2" t="s">
        <v>417</v>
      </c>
      <c r="SH1" s="2" t="s">
        <v>418</v>
      </c>
      <c r="SI1" s="2" t="s">
        <v>419</v>
      </c>
      <c r="SJ1" s="2" t="s">
        <v>420</v>
      </c>
      <c r="SK1" s="4" t="s">
        <v>421</v>
      </c>
      <c r="SL1" s="4" t="s">
        <v>422</v>
      </c>
      <c r="SM1" s="4" t="s">
        <v>423</v>
      </c>
      <c r="SN1" s="4" t="s">
        <v>424</v>
      </c>
      <c r="SO1" s="5" t="s">
        <v>425</v>
      </c>
      <c r="SP1" s="5" t="s">
        <v>426</v>
      </c>
    </row>
    <row r="2" spans="1:510" ht="32" x14ac:dyDescent="0.2">
      <c r="A2" s="1" t="s">
        <v>427</v>
      </c>
      <c r="B2" s="1">
        <v>10</v>
      </c>
      <c r="C2" s="1">
        <v>5</v>
      </c>
      <c r="D2" s="3">
        <v>46085.456400462965</v>
      </c>
      <c r="E2" s="1">
        <v>5262075</v>
      </c>
      <c r="F2" s="1" t="s">
        <v>428</v>
      </c>
      <c r="H2" s="1" t="s">
        <v>429</v>
      </c>
      <c r="J2" s="1" t="s">
        <v>430</v>
      </c>
      <c r="L2" s="1" t="s">
        <v>431</v>
      </c>
      <c r="O2" s="1" t="s">
        <v>432</v>
      </c>
      <c r="R2" s="1" t="s">
        <v>430</v>
      </c>
      <c r="AC2" s="3">
        <v>46085.547280092593</v>
      </c>
      <c r="AE2" s="1" t="s">
        <v>433</v>
      </c>
      <c r="BB2" s="1" t="s">
        <v>434</v>
      </c>
      <c r="CO2" s="1" t="s">
        <v>435</v>
      </c>
      <c r="CQ2" s="1" t="s">
        <v>432</v>
      </c>
      <c r="CT2" s="3">
        <v>46085.461585648147</v>
      </c>
      <c r="CU2" s="1" t="s">
        <v>436</v>
      </c>
      <c r="CV2" s="1" t="s">
        <v>437</v>
      </c>
      <c r="CY2" s="1" t="s">
        <v>438</v>
      </c>
      <c r="DP2" s="1" t="s">
        <v>439</v>
      </c>
      <c r="DU2" s="1" t="s">
        <v>440</v>
      </c>
      <c r="GZ2" s="1" t="s">
        <v>439</v>
      </c>
      <c r="HA2" s="1" t="s">
        <v>440</v>
      </c>
      <c r="NM2" s="1" t="s">
        <v>441</v>
      </c>
      <c r="NN2" s="1">
        <v>5</v>
      </c>
      <c r="NS2" s="1">
        <v>5</v>
      </c>
      <c r="NT2" s="1">
        <v>5</v>
      </c>
      <c r="OA2" s="1">
        <v>5</v>
      </c>
      <c r="OB2" s="1">
        <v>4</v>
      </c>
      <c r="OC2" s="1">
        <v>5</v>
      </c>
      <c r="OD2" s="1" t="s">
        <v>442</v>
      </c>
      <c r="SB2" s="1" t="s">
        <v>443</v>
      </c>
      <c r="SC2" s="1" t="s">
        <v>443</v>
      </c>
      <c r="SF2" s="1" t="s">
        <v>444</v>
      </c>
      <c r="SG2" s="1" t="s">
        <v>444</v>
      </c>
      <c r="SH2" s="1" t="s">
        <v>432</v>
      </c>
      <c r="SI2" s="1" t="s">
        <v>432</v>
      </c>
      <c r="SK2" s="1" t="s">
        <v>445</v>
      </c>
    </row>
    <row r="3" spans="1:510" ht="208" x14ac:dyDescent="0.2">
      <c r="A3" s="1" t="s">
        <v>446</v>
      </c>
      <c r="B3" s="1">
        <v>10</v>
      </c>
      <c r="C3" s="1">
        <v>4</v>
      </c>
      <c r="D3" s="3">
        <v>46085.430636574078</v>
      </c>
      <c r="E3" s="1">
        <v>5261649</v>
      </c>
      <c r="F3" s="1" t="s">
        <v>428</v>
      </c>
      <c r="H3" s="1" t="s">
        <v>447</v>
      </c>
      <c r="J3" s="1" t="s">
        <v>448</v>
      </c>
      <c r="L3" s="1" t="s">
        <v>449</v>
      </c>
      <c r="M3" s="1" t="s">
        <v>449</v>
      </c>
      <c r="N3" s="1" t="s">
        <v>450</v>
      </c>
      <c r="O3" s="1" t="s">
        <v>432</v>
      </c>
      <c r="R3" s="1" t="s">
        <v>448</v>
      </c>
      <c r="S3" s="1" t="s">
        <v>451</v>
      </c>
      <c r="AC3" s="3">
        <v>46085.546793981484</v>
      </c>
      <c r="AE3" s="1" t="s">
        <v>452</v>
      </c>
      <c r="BB3" s="1" t="s">
        <v>453</v>
      </c>
      <c r="CO3" s="1" t="s">
        <v>435</v>
      </c>
      <c r="CQ3" s="1" t="s">
        <v>432</v>
      </c>
      <c r="CT3" s="3">
        <v>46085.429814814815</v>
      </c>
      <c r="CU3" s="1" t="s">
        <v>436</v>
      </c>
      <c r="CV3" s="1" t="s">
        <v>437</v>
      </c>
      <c r="CY3" s="1" t="s">
        <v>438</v>
      </c>
      <c r="DP3" s="1" t="s">
        <v>454</v>
      </c>
      <c r="DU3" s="1" t="s">
        <v>455</v>
      </c>
      <c r="GZ3" s="1" t="s">
        <v>454</v>
      </c>
      <c r="HA3" s="1" t="s">
        <v>455</v>
      </c>
      <c r="NM3" s="1" t="s">
        <v>441</v>
      </c>
      <c r="NN3" s="1">
        <v>4</v>
      </c>
      <c r="NS3" s="1">
        <v>4</v>
      </c>
      <c r="NT3" s="1">
        <v>4</v>
      </c>
      <c r="OA3" s="1">
        <v>3</v>
      </c>
      <c r="OB3" s="1">
        <v>1</v>
      </c>
      <c r="OC3" s="1">
        <v>3</v>
      </c>
      <c r="OD3" s="1">
        <v>3</v>
      </c>
      <c r="SB3" s="1" t="s">
        <v>456</v>
      </c>
      <c r="SC3" s="1" t="s">
        <v>456</v>
      </c>
      <c r="SF3" s="1" t="s">
        <v>457</v>
      </c>
      <c r="SG3" s="1" t="s">
        <v>457</v>
      </c>
      <c r="SH3" s="1" t="s">
        <v>432</v>
      </c>
      <c r="SI3" s="1" t="s">
        <v>432</v>
      </c>
      <c r="SK3" s="1" t="s">
        <v>458</v>
      </c>
      <c r="SL3" s="1" t="s">
        <v>459</v>
      </c>
      <c r="SM3" s="1" t="s">
        <v>460</v>
      </c>
      <c r="SN3" s="1" t="s">
        <v>461</v>
      </c>
    </row>
    <row r="4" spans="1:510" ht="32" x14ac:dyDescent="0.2">
      <c r="A4" s="1" t="s">
        <v>462</v>
      </c>
      <c r="B4" s="1">
        <v>10</v>
      </c>
      <c r="C4" s="1">
        <v>5</v>
      </c>
      <c r="D4" s="3">
        <v>46085.427916666667</v>
      </c>
      <c r="E4" s="1">
        <v>5261674</v>
      </c>
      <c r="F4" s="1" t="s">
        <v>428</v>
      </c>
      <c r="H4" s="1" t="s">
        <v>463</v>
      </c>
      <c r="J4" s="1" t="s">
        <v>464</v>
      </c>
      <c r="L4" s="1" t="s">
        <v>465</v>
      </c>
      <c r="M4" s="1" t="s">
        <v>465</v>
      </c>
      <c r="N4" s="1" t="s">
        <v>466</v>
      </c>
      <c r="O4" s="1" t="s">
        <v>432</v>
      </c>
      <c r="R4" s="1" t="s">
        <v>464</v>
      </c>
      <c r="S4" s="1" t="s">
        <v>467</v>
      </c>
      <c r="AC4" s="3">
        <v>46085.548125000001</v>
      </c>
      <c r="AE4" s="1" t="s">
        <v>468</v>
      </c>
      <c r="BB4" s="1" t="s">
        <v>469</v>
      </c>
      <c r="CO4" s="1" t="s">
        <v>435</v>
      </c>
      <c r="CQ4" s="1" t="s">
        <v>432</v>
      </c>
      <c r="CT4" s="3">
        <v>46085.433680555558</v>
      </c>
      <c r="CU4" s="1" t="s">
        <v>436</v>
      </c>
      <c r="CV4" s="1" t="s">
        <v>437</v>
      </c>
      <c r="CY4" s="1" t="s">
        <v>438</v>
      </c>
      <c r="DP4" s="1" t="s">
        <v>470</v>
      </c>
      <c r="DU4" s="1" t="s">
        <v>471</v>
      </c>
      <c r="GZ4" s="1" t="s">
        <v>470</v>
      </c>
      <c r="HA4" s="1" t="s">
        <v>471</v>
      </c>
      <c r="NM4" s="1" t="s">
        <v>441</v>
      </c>
      <c r="NN4" s="1">
        <v>3</v>
      </c>
      <c r="NS4" s="1">
        <v>4</v>
      </c>
      <c r="NT4" s="1">
        <v>5</v>
      </c>
      <c r="OA4" s="1">
        <v>4</v>
      </c>
      <c r="OB4" s="1">
        <v>5</v>
      </c>
      <c r="OC4" s="1">
        <v>4</v>
      </c>
      <c r="OD4" s="1">
        <v>4</v>
      </c>
      <c r="SH4" s="1" t="s">
        <v>432</v>
      </c>
      <c r="SI4" s="1" t="s">
        <v>432</v>
      </c>
      <c r="SK4" s="1" t="s">
        <v>472</v>
      </c>
    </row>
    <row r="5" spans="1:510" ht="32" x14ac:dyDescent="0.2">
      <c r="A5" s="1" t="s">
        <v>473</v>
      </c>
      <c r="B5" s="1">
        <v>10</v>
      </c>
      <c r="C5" s="1">
        <v>5</v>
      </c>
      <c r="D5" s="3">
        <v>46085.426180555558</v>
      </c>
      <c r="E5" s="1">
        <v>5261673</v>
      </c>
      <c r="F5" s="1" t="s">
        <v>428</v>
      </c>
      <c r="H5" s="1" t="s">
        <v>474</v>
      </c>
      <c r="J5" s="1" t="s">
        <v>475</v>
      </c>
      <c r="L5" s="1" t="s">
        <v>476</v>
      </c>
      <c r="M5" s="1" t="s">
        <v>476</v>
      </c>
      <c r="N5" s="1" t="s">
        <v>477</v>
      </c>
      <c r="O5" s="1" t="s">
        <v>438</v>
      </c>
      <c r="R5" s="1" t="s">
        <v>475</v>
      </c>
      <c r="S5" s="1" t="s">
        <v>478</v>
      </c>
      <c r="AC5" s="3">
        <v>46085.546296296299</v>
      </c>
      <c r="AE5" s="1" t="s">
        <v>479</v>
      </c>
      <c r="BB5" s="1" t="s">
        <v>480</v>
      </c>
      <c r="CO5" s="1" t="s">
        <v>435</v>
      </c>
      <c r="CQ5" s="1" t="s">
        <v>432</v>
      </c>
      <c r="CT5" s="3">
        <v>46085.433680555558</v>
      </c>
      <c r="CU5" s="1" t="s">
        <v>436</v>
      </c>
      <c r="CV5" s="1" t="s">
        <v>437</v>
      </c>
      <c r="CY5" s="1" t="s">
        <v>438</v>
      </c>
      <c r="DP5" s="1" t="s">
        <v>481</v>
      </c>
      <c r="DU5" s="1" t="s">
        <v>482</v>
      </c>
      <c r="GZ5" s="1" t="s">
        <v>481</v>
      </c>
      <c r="HA5" s="1" t="s">
        <v>482</v>
      </c>
      <c r="NM5" s="1" t="s">
        <v>441</v>
      </c>
      <c r="NN5" s="1">
        <v>5</v>
      </c>
      <c r="NS5" s="1">
        <v>5</v>
      </c>
      <c r="NT5" s="1">
        <v>5</v>
      </c>
      <c r="OA5" s="1">
        <v>5</v>
      </c>
      <c r="OB5" s="1">
        <v>5</v>
      </c>
      <c r="OC5" s="1">
        <v>5</v>
      </c>
      <c r="OD5" s="1">
        <v>5</v>
      </c>
      <c r="SB5" s="1" t="s">
        <v>483</v>
      </c>
      <c r="SC5" s="1" t="s">
        <v>483</v>
      </c>
      <c r="SE5" s="1" t="s">
        <v>484</v>
      </c>
      <c r="SF5" s="1" t="s">
        <v>485</v>
      </c>
      <c r="SG5" s="1" t="s">
        <v>485</v>
      </c>
      <c r="SH5" s="1" t="s">
        <v>432</v>
      </c>
      <c r="SI5" s="1" t="s">
        <v>432</v>
      </c>
      <c r="SK5" s="1" t="s">
        <v>458</v>
      </c>
      <c r="SL5" s="1" t="s">
        <v>486</v>
      </c>
    </row>
    <row r="6" spans="1:510" ht="80" x14ac:dyDescent="0.2">
      <c r="A6" s="1" t="s">
        <v>487</v>
      </c>
      <c r="B6" s="1">
        <v>9</v>
      </c>
      <c r="C6" s="1">
        <v>5</v>
      </c>
      <c r="D6" s="3">
        <v>46084.591828703706</v>
      </c>
      <c r="E6" s="1">
        <v>5260422</v>
      </c>
      <c r="F6" s="1" t="s">
        <v>428</v>
      </c>
      <c r="H6" s="1" t="s">
        <v>488</v>
      </c>
      <c r="J6" s="1" t="s">
        <v>489</v>
      </c>
      <c r="L6" s="1" t="s">
        <v>490</v>
      </c>
      <c r="M6" s="1" t="s">
        <v>490</v>
      </c>
      <c r="N6" s="1" t="s">
        <v>491</v>
      </c>
      <c r="O6" s="1" t="s">
        <v>432</v>
      </c>
      <c r="R6" s="1" t="s">
        <v>489</v>
      </c>
      <c r="S6" s="1" t="s">
        <v>492</v>
      </c>
      <c r="AC6" s="3">
        <v>46078.762071759258</v>
      </c>
      <c r="AE6" s="1" t="s">
        <v>493</v>
      </c>
      <c r="BB6" s="1" t="s">
        <v>494</v>
      </c>
      <c r="CO6" s="1" t="s">
        <v>435</v>
      </c>
      <c r="CQ6" s="1" t="s">
        <v>432</v>
      </c>
      <c r="CR6" s="1" t="s">
        <v>495</v>
      </c>
      <c r="CS6" s="1" t="s">
        <v>495</v>
      </c>
      <c r="CT6" s="3">
        <v>46084.591354166667</v>
      </c>
      <c r="CU6" s="1" t="s">
        <v>436</v>
      </c>
      <c r="CV6" s="1" t="s">
        <v>437</v>
      </c>
      <c r="CY6" s="1" t="s">
        <v>438</v>
      </c>
      <c r="DP6" s="1" t="s">
        <v>496</v>
      </c>
      <c r="DU6" s="1" t="s">
        <v>497</v>
      </c>
      <c r="GZ6" s="1" t="s">
        <v>496</v>
      </c>
      <c r="HA6" s="1" t="s">
        <v>497</v>
      </c>
      <c r="NM6" s="1" t="s">
        <v>441</v>
      </c>
      <c r="NN6" s="1">
        <v>4</v>
      </c>
      <c r="NS6" s="1">
        <v>5</v>
      </c>
      <c r="NT6" s="1">
        <v>5</v>
      </c>
      <c r="OA6" s="1">
        <v>4</v>
      </c>
      <c r="OB6" s="1">
        <v>4</v>
      </c>
      <c r="OC6" s="1">
        <v>5</v>
      </c>
      <c r="OD6" s="1">
        <v>5</v>
      </c>
      <c r="SB6" s="1" t="s">
        <v>498</v>
      </c>
      <c r="SC6" s="1" t="s">
        <v>498</v>
      </c>
      <c r="SF6" s="1" t="s">
        <v>499</v>
      </c>
      <c r="SG6" s="1" t="s">
        <v>499</v>
      </c>
      <c r="SH6" s="1" t="s">
        <v>432</v>
      </c>
      <c r="SI6" s="1" t="s">
        <v>432</v>
      </c>
      <c r="SK6" s="1" t="s">
        <v>500</v>
      </c>
      <c r="SL6" s="1" t="s">
        <v>501</v>
      </c>
    </row>
    <row r="7" spans="1:510" ht="32" x14ac:dyDescent="0.2">
      <c r="A7" s="1" t="s">
        <v>502</v>
      </c>
      <c r="B7" s="1">
        <v>10</v>
      </c>
      <c r="C7" s="1">
        <v>5</v>
      </c>
      <c r="D7" s="3">
        <v>46084.366041666668</v>
      </c>
      <c r="E7" s="1">
        <v>5260037</v>
      </c>
      <c r="F7" s="1" t="s">
        <v>428</v>
      </c>
      <c r="H7" s="1" t="s">
        <v>503</v>
      </c>
      <c r="J7" s="1" t="s">
        <v>504</v>
      </c>
      <c r="L7" s="1" t="s">
        <v>505</v>
      </c>
      <c r="M7" s="1" t="s">
        <v>506</v>
      </c>
      <c r="N7" s="1" t="s">
        <v>507</v>
      </c>
      <c r="O7" s="1" t="s">
        <v>432</v>
      </c>
      <c r="R7" s="1" t="s">
        <v>504</v>
      </c>
      <c r="S7" s="1" t="s">
        <v>508</v>
      </c>
      <c r="AB7" s="3">
        <v>46085.339421296296</v>
      </c>
      <c r="AC7" s="3">
        <v>46071.532743055555</v>
      </c>
      <c r="AE7" s="1" t="s">
        <v>509</v>
      </c>
      <c r="BB7" s="1" t="s">
        <v>510</v>
      </c>
      <c r="CO7" s="1" t="s">
        <v>435</v>
      </c>
      <c r="CQ7" s="1" t="s">
        <v>432</v>
      </c>
      <c r="CR7" s="1" t="s">
        <v>511</v>
      </c>
      <c r="CS7" s="1" t="s">
        <v>511</v>
      </c>
      <c r="CT7" s="3">
        <v>46084.367986111109</v>
      </c>
      <c r="CU7" s="1" t="s">
        <v>436</v>
      </c>
      <c r="CV7" s="1" t="s">
        <v>512</v>
      </c>
      <c r="CY7" s="1" t="s">
        <v>438</v>
      </c>
      <c r="DP7" s="1" t="s">
        <v>513</v>
      </c>
      <c r="DU7" s="1" t="s">
        <v>514</v>
      </c>
      <c r="GZ7" s="1" t="s">
        <v>513</v>
      </c>
      <c r="HA7" s="1" t="s">
        <v>514</v>
      </c>
      <c r="NM7" s="1" t="s">
        <v>441</v>
      </c>
      <c r="NN7" s="1">
        <v>5</v>
      </c>
      <c r="NS7" s="1">
        <v>5</v>
      </c>
      <c r="NT7" s="1">
        <v>5</v>
      </c>
      <c r="OA7" s="1">
        <v>5</v>
      </c>
      <c r="OB7" s="1" t="s">
        <v>442</v>
      </c>
      <c r="OC7" s="1">
        <v>5</v>
      </c>
      <c r="OD7" s="1">
        <v>5</v>
      </c>
      <c r="SC7" s="1" t="s">
        <v>443</v>
      </c>
      <c r="SG7" s="1" t="s">
        <v>444</v>
      </c>
      <c r="SH7" s="1" t="s">
        <v>438</v>
      </c>
      <c r="SI7" s="1" t="s">
        <v>432</v>
      </c>
      <c r="SK7" s="1" t="s">
        <v>445</v>
      </c>
    </row>
    <row r="8" spans="1:510" ht="32" x14ac:dyDescent="0.2">
      <c r="A8" s="1" t="s">
        <v>515</v>
      </c>
      <c r="B8" s="1">
        <v>8</v>
      </c>
      <c r="C8" s="1">
        <v>4</v>
      </c>
      <c r="D8" s="3">
        <v>46083.905069444445</v>
      </c>
      <c r="E8" s="1">
        <v>5259684</v>
      </c>
      <c r="F8" s="1" t="s">
        <v>428</v>
      </c>
      <c r="H8" s="1" t="s">
        <v>516</v>
      </c>
      <c r="J8" s="1" t="s">
        <v>517</v>
      </c>
      <c r="L8" s="1" t="s">
        <v>518</v>
      </c>
      <c r="N8" s="1" t="s">
        <v>519</v>
      </c>
      <c r="O8" s="1" t="s">
        <v>432</v>
      </c>
      <c r="R8" s="1" t="s">
        <v>517</v>
      </c>
      <c r="S8" s="1" t="s">
        <v>520</v>
      </c>
      <c r="AB8" s="3">
        <v>46085.392824074072</v>
      </c>
      <c r="AC8" s="3">
        <v>46083.678159722222</v>
      </c>
      <c r="AE8" s="1" t="s">
        <v>521</v>
      </c>
      <c r="BB8" s="1" t="s">
        <v>522</v>
      </c>
      <c r="CO8" s="1" t="s">
        <v>435</v>
      </c>
      <c r="CQ8" s="1" t="s">
        <v>432</v>
      </c>
      <c r="CR8" s="1" t="s">
        <v>523</v>
      </c>
      <c r="CS8" s="1" t="s">
        <v>523</v>
      </c>
      <c r="CT8" s="3">
        <v>46083.904178240744</v>
      </c>
      <c r="CU8" s="1" t="s">
        <v>524</v>
      </c>
      <c r="CV8" s="1" t="s">
        <v>512</v>
      </c>
      <c r="CY8" s="1" t="s">
        <v>438</v>
      </c>
      <c r="DP8" s="1" t="s">
        <v>525</v>
      </c>
      <c r="GZ8" s="1" t="s">
        <v>525</v>
      </c>
      <c r="NM8" s="1" t="s">
        <v>441</v>
      </c>
      <c r="NN8" s="1">
        <v>4</v>
      </c>
      <c r="NS8" s="1">
        <v>5</v>
      </c>
      <c r="NT8" s="1">
        <v>5</v>
      </c>
      <c r="OA8" s="1">
        <v>4</v>
      </c>
      <c r="OB8" s="1">
        <v>5</v>
      </c>
      <c r="OC8" s="1">
        <v>5</v>
      </c>
      <c r="OD8" s="1">
        <v>5</v>
      </c>
      <c r="SB8" s="1" t="s">
        <v>526</v>
      </c>
      <c r="SC8" s="1" t="s">
        <v>443</v>
      </c>
      <c r="SF8" s="1" t="s">
        <v>527</v>
      </c>
      <c r="SG8" s="1" t="s">
        <v>444</v>
      </c>
      <c r="SH8" s="1" t="s">
        <v>438</v>
      </c>
      <c r="SI8" s="1" t="s">
        <v>432</v>
      </c>
      <c r="SK8" s="1" t="s">
        <v>445</v>
      </c>
    </row>
    <row r="9" spans="1:510" ht="48" x14ac:dyDescent="0.2">
      <c r="A9" s="1" t="s">
        <v>528</v>
      </c>
      <c r="B9" s="1">
        <v>10</v>
      </c>
      <c r="C9" s="1">
        <v>5</v>
      </c>
      <c r="D9" s="3">
        <v>46083.776469907411</v>
      </c>
      <c r="E9" s="1">
        <v>5259471</v>
      </c>
      <c r="F9" s="1" t="s">
        <v>428</v>
      </c>
      <c r="H9" s="1" t="s">
        <v>529</v>
      </c>
      <c r="J9" s="1" t="s">
        <v>530</v>
      </c>
      <c r="L9" s="1" t="s">
        <v>531</v>
      </c>
      <c r="O9" s="1" t="s">
        <v>432</v>
      </c>
      <c r="R9" s="1" t="s">
        <v>530</v>
      </c>
      <c r="AB9" s="3">
        <v>46085.385405092595</v>
      </c>
      <c r="AC9" s="3">
        <v>46079.537210648145</v>
      </c>
      <c r="AE9" s="1" t="s">
        <v>532</v>
      </c>
      <c r="BB9" s="1" t="s">
        <v>533</v>
      </c>
      <c r="CO9" s="1" t="s">
        <v>435</v>
      </c>
      <c r="CQ9" s="1" t="s">
        <v>432</v>
      </c>
      <c r="CR9" s="1" t="s">
        <v>534</v>
      </c>
      <c r="CS9" s="1" t="s">
        <v>534</v>
      </c>
      <c r="CT9" s="3">
        <v>46083.775173611109</v>
      </c>
      <c r="CU9" s="1" t="s">
        <v>436</v>
      </c>
      <c r="CV9" s="1" t="s">
        <v>512</v>
      </c>
      <c r="CY9" s="1" t="s">
        <v>438</v>
      </c>
      <c r="DP9" s="1" t="s">
        <v>535</v>
      </c>
      <c r="DU9" s="1" t="s">
        <v>536</v>
      </c>
      <c r="GZ9" s="1" t="s">
        <v>535</v>
      </c>
      <c r="HA9" s="1" t="s">
        <v>536</v>
      </c>
      <c r="NM9" s="1" t="s">
        <v>441</v>
      </c>
      <c r="NN9" s="1">
        <v>5</v>
      </c>
      <c r="NS9" s="1">
        <v>5</v>
      </c>
      <c r="NT9" s="1">
        <v>5</v>
      </c>
      <c r="OA9" s="1">
        <v>4</v>
      </c>
      <c r="OB9" s="1">
        <v>5</v>
      </c>
      <c r="OC9" s="1">
        <v>5</v>
      </c>
      <c r="OD9" s="1">
        <v>5</v>
      </c>
      <c r="SC9" s="1" t="s">
        <v>537</v>
      </c>
      <c r="SG9" s="1" t="s">
        <v>538</v>
      </c>
      <c r="SH9" s="1" t="s">
        <v>438</v>
      </c>
      <c r="SI9" s="1" t="s">
        <v>438</v>
      </c>
      <c r="SK9" s="1" t="s">
        <v>539</v>
      </c>
      <c r="SL9" s="1" t="s">
        <v>540</v>
      </c>
    </row>
    <row r="10" spans="1:510" ht="32" x14ac:dyDescent="0.2">
      <c r="A10" s="1" t="s">
        <v>541</v>
      </c>
      <c r="B10" s="1">
        <v>10</v>
      </c>
      <c r="C10" s="1">
        <v>5</v>
      </c>
      <c r="D10" s="3">
        <v>46083.607928240737</v>
      </c>
      <c r="E10" s="1">
        <v>5259012</v>
      </c>
      <c r="F10" s="1" t="s">
        <v>428</v>
      </c>
      <c r="H10" s="1" t="s">
        <v>542</v>
      </c>
      <c r="J10" s="1" t="s">
        <v>543</v>
      </c>
      <c r="L10" s="1" t="s">
        <v>544</v>
      </c>
      <c r="N10" s="1" t="s">
        <v>545</v>
      </c>
      <c r="O10" s="1" t="s">
        <v>432</v>
      </c>
      <c r="R10" s="1" t="s">
        <v>543</v>
      </c>
      <c r="S10" s="1" t="s">
        <v>546</v>
      </c>
      <c r="AB10" s="3">
        <v>46085.373449074075</v>
      </c>
      <c r="AC10" s="3">
        <v>46083.720405092594</v>
      </c>
      <c r="AE10" s="1" t="s">
        <v>547</v>
      </c>
      <c r="BB10" s="1" t="s">
        <v>548</v>
      </c>
      <c r="CO10" s="1" t="s">
        <v>435</v>
      </c>
      <c r="CQ10" s="1" t="s">
        <v>432</v>
      </c>
      <c r="CR10" s="1" t="s">
        <v>549</v>
      </c>
      <c r="CS10" s="1" t="s">
        <v>549</v>
      </c>
      <c r="CT10" s="3">
        <v>46083.607418981483</v>
      </c>
      <c r="CU10" s="1" t="s">
        <v>436</v>
      </c>
      <c r="CV10" s="1" t="s">
        <v>512</v>
      </c>
      <c r="CY10" s="1" t="s">
        <v>438</v>
      </c>
      <c r="DP10" s="1" t="s">
        <v>550</v>
      </c>
      <c r="DU10" s="1" t="s">
        <v>551</v>
      </c>
      <c r="GZ10" s="1" t="s">
        <v>550</v>
      </c>
      <c r="HA10" s="1" t="s">
        <v>551</v>
      </c>
      <c r="NM10" s="1" t="s">
        <v>441</v>
      </c>
      <c r="NN10" s="1">
        <v>4</v>
      </c>
      <c r="NS10" s="1">
        <v>2</v>
      </c>
      <c r="NT10" s="1">
        <v>5</v>
      </c>
      <c r="OA10" s="1">
        <v>5</v>
      </c>
      <c r="OB10" s="1">
        <v>5</v>
      </c>
      <c r="OC10" s="1">
        <v>5</v>
      </c>
      <c r="OD10" s="1">
        <v>4</v>
      </c>
      <c r="SB10" s="1" t="s">
        <v>552</v>
      </c>
      <c r="SC10" s="1" t="s">
        <v>552</v>
      </c>
      <c r="SF10" s="1" t="s">
        <v>553</v>
      </c>
      <c r="SG10" s="1" t="s">
        <v>553</v>
      </c>
      <c r="SH10" s="1" t="s">
        <v>432</v>
      </c>
      <c r="SI10" s="1" t="s">
        <v>432</v>
      </c>
      <c r="SK10" s="1" t="s">
        <v>445</v>
      </c>
      <c r="SL10" s="1" t="s">
        <v>554</v>
      </c>
    </row>
    <row r="11" spans="1:510" ht="176" x14ac:dyDescent="0.2">
      <c r="A11" s="1" t="s">
        <v>555</v>
      </c>
      <c r="B11" s="1">
        <v>10</v>
      </c>
      <c r="C11" s="1">
        <v>4</v>
      </c>
      <c r="D11" s="3">
        <v>46083.551458333335</v>
      </c>
      <c r="E11" s="1">
        <v>5249048</v>
      </c>
      <c r="F11" s="1" t="s">
        <v>428</v>
      </c>
      <c r="H11" s="1" t="s">
        <v>556</v>
      </c>
      <c r="J11" s="1" t="s">
        <v>557</v>
      </c>
      <c r="L11" s="1" t="s">
        <v>558</v>
      </c>
      <c r="O11" s="1" t="s">
        <v>432</v>
      </c>
      <c r="R11" s="1" t="s">
        <v>557</v>
      </c>
      <c r="AB11" s="3">
        <v>46085.39640046296</v>
      </c>
      <c r="AC11" s="3">
        <v>46083.594722222224</v>
      </c>
      <c r="AE11" s="1" t="s">
        <v>559</v>
      </c>
      <c r="BB11" s="1" t="s">
        <v>560</v>
      </c>
      <c r="CO11" s="1" t="s">
        <v>435</v>
      </c>
      <c r="CQ11" s="1" t="s">
        <v>432</v>
      </c>
      <c r="CR11" s="1" t="s">
        <v>561</v>
      </c>
      <c r="CS11" s="1" t="s">
        <v>561</v>
      </c>
      <c r="CT11" s="3">
        <v>46083.521863425929</v>
      </c>
      <c r="CU11" s="1" t="s">
        <v>436</v>
      </c>
      <c r="CV11" s="1" t="s">
        <v>512</v>
      </c>
      <c r="CY11" s="1" t="s">
        <v>438</v>
      </c>
      <c r="DP11" s="1" t="s">
        <v>562</v>
      </c>
      <c r="DU11" s="1" t="s">
        <v>563</v>
      </c>
      <c r="GZ11" s="1" t="s">
        <v>562</v>
      </c>
      <c r="HA11" s="1" t="s">
        <v>563</v>
      </c>
      <c r="NM11" s="1" t="s">
        <v>441</v>
      </c>
      <c r="NN11" s="1">
        <v>5</v>
      </c>
      <c r="NS11" s="1">
        <v>5</v>
      </c>
      <c r="NT11" s="1">
        <v>5</v>
      </c>
      <c r="OA11" s="1">
        <v>5</v>
      </c>
      <c r="OB11" s="1">
        <v>4</v>
      </c>
      <c r="OC11" s="1">
        <v>5</v>
      </c>
      <c r="OD11" s="1">
        <v>4</v>
      </c>
      <c r="SB11" s="1" t="s">
        <v>564</v>
      </c>
      <c r="SC11" s="1" t="s">
        <v>565</v>
      </c>
      <c r="SF11" s="1" t="s">
        <v>566</v>
      </c>
      <c r="SG11" s="1" t="s">
        <v>567</v>
      </c>
      <c r="SH11" s="1" t="s">
        <v>438</v>
      </c>
      <c r="SI11" s="1" t="s">
        <v>432</v>
      </c>
      <c r="SK11" s="1" t="s">
        <v>568</v>
      </c>
      <c r="SL11" s="1" t="s">
        <v>500</v>
      </c>
      <c r="SM11" s="1" t="s">
        <v>569</v>
      </c>
    </row>
    <row r="12" spans="1:510" ht="32" x14ac:dyDescent="0.2">
      <c r="A12" s="1" t="s">
        <v>570</v>
      </c>
      <c r="B12" s="1">
        <v>10</v>
      </c>
      <c r="C12" s="1">
        <v>5</v>
      </c>
      <c r="D12" s="3">
        <v>46082.881550925929</v>
      </c>
      <c r="E12" s="1">
        <v>5247853</v>
      </c>
      <c r="F12" s="1" t="s">
        <v>428</v>
      </c>
      <c r="H12" s="1" t="s">
        <v>571</v>
      </c>
      <c r="J12" s="1" t="s">
        <v>572</v>
      </c>
      <c r="L12" s="1" t="s">
        <v>573</v>
      </c>
      <c r="M12" s="1" t="s">
        <v>573</v>
      </c>
      <c r="N12" s="1" t="s">
        <v>574</v>
      </c>
      <c r="O12" s="1" t="s">
        <v>432</v>
      </c>
      <c r="R12" s="1" t="s">
        <v>572</v>
      </c>
      <c r="S12" s="1" t="s">
        <v>575</v>
      </c>
      <c r="AB12" s="3">
        <v>46083.456493055557</v>
      </c>
      <c r="AC12" s="3">
        <v>46082.718657407408</v>
      </c>
      <c r="AE12" s="1" t="s">
        <v>576</v>
      </c>
      <c r="BB12" s="1" t="s">
        <v>577</v>
      </c>
      <c r="CO12" s="1" t="s">
        <v>435</v>
      </c>
      <c r="CQ12" s="1" t="s">
        <v>432</v>
      </c>
      <c r="CR12" s="1" t="s">
        <v>561</v>
      </c>
      <c r="CS12" s="1" t="s">
        <v>561</v>
      </c>
      <c r="CT12" s="3">
        <v>46082.880567129629</v>
      </c>
      <c r="CU12" s="1" t="s">
        <v>436</v>
      </c>
      <c r="CV12" s="1" t="s">
        <v>512</v>
      </c>
      <c r="CY12" s="1" t="s">
        <v>438</v>
      </c>
      <c r="DP12" s="1" t="s">
        <v>578</v>
      </c>
      <c r="GZ12" s="1" t="s">
        <v>578</v>
      </c>
      <c r="NM12" s="1" t="s">
        <v>441</v>
      </c>
      <c r="NN12" s="1">
        <v>4</v>
      </c>
      <c r="NS12" s="1">
        <v>4</v>
      </c>
      <c r="NT12" s="1">
        <v>5</v>
      </c>
      <c r="OA12" s="1">
        <v>5</v>
      </c>
      <c r="OB12" s="1" t="s">
        <v>442</v>
      </c>
      <c r="OC12" s="1">
        <v>5</v>
      </c>
      <c r="OD12" s="1" t="s">
        <v>442</v>
      </c>
      <c r="SB12" s="1" t="s">
        <v>443</v>
      </c>
      <c r="SC12" s="1" t="s">
        <v>443</v>
      </c>
      <c r="SF12" s="1" t="s">
        <v>579</v>
      </c>
      <c r="SG12" s="1" t="s">
        <v>444</v>
      </c>
      <c r="SH12" s="1" t="s">
        <v>438</v>
      </c>
      <c r="SI12" s="1" t="s">
        <v>438</v>
      </c>
      <c r="SK12" s="1" t="s">
        <v>580</v>
      </c>
    </row>
    <row r="13" spans="1:510" ht="32" x14ac:dyDescent="0.2">
      <c r="A13" s="1" t="s">
        <v>581</v>
      </c>
      <c r="B13" s="1">
        <v>10</v>
      </c>
      <c r="C13" s="1">
        <v>5</v>
      </c>
      <c r="D13" s="3">
        <v>46082.642384259256</v>
      </c>
      <c r="E13" s="1">
        <v>5247238</v>
      </c>
      <c r="F13" s="1" t="s">
        <v>428</v>
      </c>
      <c r="H13" s="1" t="s">
        <v>582</v>
      </c>
      <c r="J13" s="1" t="s">
        <v>583</v>
      </c>
      <c r="L13" s="1" t="s">
        <v>584</v>
      </c>
      <c r="M13" s="1" t="s">
        <v>584</v>
      </c>
      <c r="N13" s="1" t="s">
        <v>585</v>
      </c>
      <c r="O13" s="1" t="s">
        <v>438</v>
      </c>
      <c r="R13" s="1" t="s">
        <v>583</v>
      </c>
      <c r="S13" s="1" t="s">
        <v>586</v>
      </c>
      <c r="AB13" s="3">
        <v>46083.370023148149</v>
      </c>
      <c r="AC13" s="3">
        <v>46082.635625000003</v>
      </c>
      <c r="AE13" s="1" t="s">
        <v>587</v>
      </c>
      <c r="BB13" s="1" t="s">
        <v>588</v>
      </c>
      <c r="CO13" s="1" t="s">
        <v>435</v>
      </c>
      <c r="CQ13" s="1" t="s">
        <v>432</v>
      </c>
      <c r="CR13" s="1" t="s">
        <v>549</v>
      </c>
      <c r="CS13" s="1" t="s">
        <v>549</v>
      </c>
      <c r="CT13" s="3">
        <v>46082.643263888887</v>
      </c>
      <c r="CU13" s="1" t="s">
        <v>436</v>
      </c>
      <c r="CV13" s="1" t="s">
        <v>512</v>
      </c>
      <c r="CY13" s="1" t="s">
        <v>438</v>
      </c>
      <c r="DP13" s="1" t="s">
        <v>589</v>
      </c>
      <c r="GZ13" s="1" t="s">
        <v>589</v>
      </c>
      <c r="NM13" s="1" t="s">
        <v>441</v>
      </c>
      <c r="NN13" s="1">
        <v>4</v>
      </c>
      <c r="NS13" s="1">
        <v>5</v>
      </c>
      <c r="NT13" s="1">
        <v>5</v>
      </c>
      <c r="OA13" s="1">
        <v>5</v>
      </c>
      <c r="OB13" s="1" t="s">
        <v>442</v>
      </c>
      <c r="OC13" s="1">
        <v>5</v>
      </c>
      <c r="OD13" s="1">
        <v>5</v>
      </c>
      <c r="SB13" s="1" t="s">
        <v>483</v>
      </c>
      <c r="SC13" s="1" t="s">
        <v>590</v>
      </c>
      <c r="SE13" s="1" t="s">
        <v>484</v>
      </c>
      <c r="SF13" s="1" t="s">
        <v>485</v>
      </c>
      <c r="SG13" s="1" t="s">
        <v>591</v>
      </c>
      <c r="SH13" s="1" t="s">
        <v>438</v>
      </c>
      <c r="SI13" s="1" t="s">
        <v>432</v>
      </c>
      <c r="SK13" s="1" t="s">
        <v>486</v>
      </c>
    </row>
    <row r="14" spans="1:510" ht="32" x14ac:dyDescent="0.2">
      <c r="A14" s="1" t="s">
        <v>592</v>
      </c>
      <c r="B14" s="1">
        <v>10</v>
      </c>
      <c r="C14" s="1">
        <v>5</v>
      </c>
      <c r="D14" s="3">
        <v>46082.409479166665</v>
      </c>
      <c r="E14" s="1">
        <v>5246482</v>
      </c>
      <c r="F14" s="1" t="s">
        <v>428</v>
      </c>
      <c r="H14" s="1" t="s">
        <v>593</v>
      </c>
      <c r="J14" s="1" t="s">
        <v>594</v>
      </c>
      <c r="L14" s="1" t="s">
        <v>595</v>
      </c>
      <c r="M14" s="1" t="s">
        <v>595</v>
      </c>
      <c r="N14" s="1" t="s">
        <v>596</v>
      </c>
      <c r="O14" s="1" t="s">
        <v>432</v>
      </c>
      <c r="R14" s="1" t="s">
        <v>594</v>
      </c>
      <c r="S14" s="1" t="s">
        <v>597</v>
      </c>
      <c r="AB14" s="3">
        <v>46083.368159722224</v>
      </c>
      <c r="AC14" s="3">
        <v>46021.540578703702</v>
      </c>
      <c r="AE14" s="1" t="s">
        <v>598</v>
      </c>
      <c r="BB14" s="1" t="s">
        <v>599</v>
      </c>
      <c r="CO14" s="1" t="s">
        <v>435</v>
      </c>
      <c r="CQ14" s="1" t="s">
        <v>432</v>
      </c>
      <c r="CR14" s="1" t="s">
        <v>511</v>
      </c>
      <c r="CS14" s="1" t="s">
        <v>511</v>
      </c>
      <c r="CT14" s="3">
        <v>46082.408796296295</v>
      </c>
      <c r="CU14" s="1" t="s">
        <v>436</v>
      </c>
      <c r="CV14" s="1" t="s">
        <v>512</v>
      </c>
      <c r="CY14" s="1" t="s">
        <v>438</v>
      </c>
      <c r="DP14" s="1" t="s">
        <v>600</v>
      </c>
      <c r="DU14" s="1" t="s">
        <v>601</v>
      </c>
      <c r="GZ14" s="1" t="s">
        <v>600</v>
      </c>
      <c r="HA14" s="1" t="s">
        <v>601</v>
      </c>
      <c r="NM14" s="1" t="s">
        <v>441</v>
      </c>
      <c r="NN14" s="1">
        <v>5</v>
      </c>
      <c r="NS14" s="1">
        <v>5</v>
      </c>
      <c r="NT14" s="1">
        <v>5</v>
      </c>
      <c r="OA14" s="1">
        <v>5</v>
      </c>
      <c r="OB14" s="1">
        <v>5</v>
      </c>
      <c r="OC14" s="1">
        <v>5</v>
      </c>
      <c r="OD14" s="1">
        <v>5</v>
      </c>
      <c r="SB14" s="1" t="s">
        <v>443</v>
      </c>
      <c r="SC14" s="1" t="s">
        <v>602</v>
      </c>
      <c r="SF14" s="1" t="s">
        <v>444</v>
      </c>
      <c r="SG14" s="1" t="s">
        <v>603</v>
      </c>
      <c r="SH14" s="1" t="s">
        <v>438</v>
      </c>
      <c r="SI14" s="1" t="s">
        <v>432</v>
      </c>
      <c r="SK14" s="1" t="s">
        <v>445</v>
      </c>
      <c r="SL14" s="1" t="s">
        <v>604</v>
      </c>
    </row>
    <row r="15" spans="1:510" ht="80" x14ac:dyDescent="0.2">
      <c r="A15" s="1" t="s">
        <v>605</v>
      </c>
      <c r="B15" s="1">
        <v>10</v>
      </c>
      <c r="C15" s="1">
        <v>5</v>
      </c>
      <c r="D15" s="3">
        <v>46080.743900462963</v>
      </c>
      <c r="E15" s="1">
        <v>5245395</v>
      </c>
      <c r="F15" s="1" t="s">
        <v>428</v>
      </c>
      <c r="H15" s="1" t="s">
        <v>606</v>
      </c>
      <c r="J15" s="1" t="s">
        <v>607</v>
      </c>
      <c r="L15" s="1" t="s">
        <v>608</v>
      </c>
      <c r="M15" s="1" t="s">
        <v>608</v>
      </c>
      <c r="N15" s="1" t="s">
        <v>609</v>
      </c>
      <c r="O15" s="1" t="s">
        <v>432</v>
      </c>
      <c r="R15" s="1" t="s">
        <v>607</v>
      </c>
      <c r="S15" s="1" t="s">
        <v>610</v>
      </c>
      <c r="AB15" s="3">
        <v>46083.421134259261</v>
      </c>
      <c r="AC15" s="3">
        <v>46080.531504629631</v>
      </c>
      <c r="AE15" s="1" t="s">
        <v>611</v>
      </c>
      <c r="BB15" s="1" t="s">
        <v>612</v>
      </c>
      <c r="CO15" s="1" t="s">
        <v>435</v>
      </c>
      <c r="CQ15" s="1" t="s">
        <v>432</v>
      </c>
      <c r="CR15" s="1" t="s">
        <v>495</v>
      </c>
      <c r="CS15" s="1" t="s">
        <v>495</v>
      </c>
      <c r="CT15" s="3">
        <v>46080.74322916667</v>
      </c>
      <c r="CU15" s="1" t="s">
        <v>436</v>
      </c>
      <c r="CV15" s="1" t="s">
        <v>512</v>
      </c>
      <c r="CY15" s="1" t="s">
        <v>438</v>
      </c>
      <c r="DP15" s="1" t="s">
        <v>613</v>
      </c>
      <c r="DU15" s="1" t="s">
        <v>614</v>
      </c>
      <c r="GZ15" s="1" t="s">
        <v>613</v>
      </c>
      <c r="HA15" s="1" t="s">
        <v>614</v>
      </c>
      <c r="NM15" s="1" t="s">
        <v>441</v>
      </c>
      <c r="NN15" s="1">
        <v>3</v>
      </c>
      <c r="NS15" s="1">
        <v>4</v>
      </c>
      <c r="NT15" s="1">
        <v>4</v>
      </c>
      <c r="OA15" s="1">
        <v>5</v>
      </c>
      <c r="OB15" s="1">
        <v>5</v>
      </c>
      <c r="OC15" s="1">
        <v>5</v>
      </c>
      <c r="OD15" s="1">
        <v>4</v>
      </c>
      <c r="SB15" s="1" t="s">
        <v>615</v>
      </c>
      <c r="SC15" s="1" t="s">
        <v>616</v>
      </c>
      <c r="SF15" s="1" t="s">
        <v>617</v>
      </c>
      <c r="SG15" s="1" t="s">
        <v>618</v>
      </c>
      <c r="SH15" s="1" t="s">
        <v>438</v>
      </c>
      <c r="SI15" s="1" t="s">
        <v>438</v>
      </c>
      <c r="SK15" s="1" t="s">
        <v>619</v>
      </c>
      <c r="SL15" s="1" t="s">
        <v>620</v>
      </c>
    </row>
    <row r="16" spans="1:510" ht="48" x14ac:dyDescent="0.2">
      <c r="A16" s="1" t="s">
        <v>621</v>
      </c>
      <c r="B16" s="1">
        <v>10</v>
      </c>
      <c r="C16" s="1">
        <v>5</v>
      </c>
      <c r="D16" s="3">
        <v>46080.453576388885</v>
      </c>
      <c r="E16" s="1">
        <v>5244532</v>
      </c>
      <c r="F16" s="1" t="s">
        <v>428</v>
      </c>
      <c r="H16" s="1" t="s">
        <v>622</v>
      </c>
      <c r="J16" s="1" t="s">
        <v>623</v>
      </c>
      <c r="L16" s="1" t="s">
        <v>624</v>
      </c>
      <c r="M16" s="1" t="s">
        <v>624</v>
      </c>
      <c r="N16" s="1" t="s">
        <v>625</v>
      </c>
      <c r="O16" s="1" t="s">
        <v>432</v>
      </c>
      <c r="R16" s="1" t="s">
        <v>623</v>
      </c>
      <c r="S16" s="1" t="s">
        <v>626</v>
      </c>
      <c r="AB16" s="3">
        <v>46082.416944444441</v>
      </c>
      <c r="AC16" s="3">
        <v>46070.723877314813</v>
      </c>
      <c r="AE16" s="1" t="s">
        <v>627</v>
      </c>
      <c r="BB16" s="1" t="s">
        <v>628</v>
      </c>
      <c r="CO16" s="1" t="s">
        <v>435</v>
      </c>
      <c r="CQ16" s="1" t="s">
        <v>432</v>
      </c>
      <c r="CR16" s="1" t="s">
        <v>511</v>
      </c>
      <c r="CS16" s="1" t="s">
        <v>511</v>
      </c>
      <c r="CT16" s="3">
        <v>46080.452280092592</v>
      </c>
      <c r="CU16" s="1" t="s">
        <v>436</v>
      </c>
      <c r="CV16" s="1" t="s">
        <v>512</v>
      </c>
      <c r="CY16" s="1" t="s">
        <v>438</v>
      </c>
      <c r="DP16" s="1" t="s">
        <v>629</v>
      </c>
      <c r="DU16" s="1" t="s">
        <v>630</v>
      </c>
      <c r="GZ16" s="1" t="s">
        <v>629</v>
      </c>
      <c r="HA16" s="1" t="s">
        <v>630</v>
      </c>
      <c r="NM16" s="1" t="s">
        <v>441</v>
      </c>
      <c r="NN16" s="1">
        <v>5</v>
      </c>
      <c r="NS16" s="1">
        <v>5</v>
      </c>
      <c r="NT16" s="1">
        <v>5</v>
      </c>
      <c r="OA16" s="1">
        <v>5</v>
      </c>
      <c r="OB16" s="1" t="s">
        <v>442</v>
      </c>
      <c r="OC16" s="1">
        <v>5</v>
      </c>
      <c r="OD16" s="1">
        <v>5</v>
      </c>
      <c r="SB16" s="1" t="s">
        <v>631</v>
      </c>
      <c r="SC16" s="1" t="s">
        <v>632</v>
      </c>
      <c r="SE16" s="1" t="s">
        <v>633</v>
      </c>
      <c r="SF16" s="1" t="s">
        <v>634</v>
      </c>
      <c r="SG16" s="1" t="s">
        <v>635</v>
      </c>
      <c r="SH16" s="1" t="s">
        <v>438</v>
      </c>
      <c r="SI16" s="1" t="s">
        <v>432</v>
      </c>
      <c r="SK16" s="1" t="s">
        <v>486</v>
      </c>
    </row>
    <row r="17" spans="1:507" ht="48" x14ac:dyDescent="0.2">
      <c r="A17" s="1" t="s">
        <v>636</v>
      </c>
      <c r="B17" s="1">
        <v>10</v>
      </c>
      <c r="C17" s="1">
        <v>4</v>
      </c>
      <c r="D17" s="3">
        <v>46080.432858796295</v>
      </c>
      <c r="E17" s="1">
        <v>5244438</v>
      </c>
      <c r="F17" s="1" t="s">
        <v>428</v>
      </c>
      <c r="H17" s="1" t="s">
        <v>637</v>
      </c>
      <c r="J17" s="1" t="s">
        <v>638</v>
      </c>
      <c r="L17" s="1" t="s">
        <v>639</v>
      </c>
      <c r="N17" s="1" t="s">
        <v>640</v>
      </c>
      <c r="O17" s="1" t="s">
        <v>432</v>
      </c>
      <c r="R17" s="1" t="s">
        <v>638</v>
      </c>
      <c r="S17" s="1" t="s">
        <v>641</v>
      </c>
      <c r="AB17" s="3">
        <v>46082.399317129632</v>
      </c>
      <c r="AC17" s="3">
        <v>46080.532592592594</v>
      </c>
      <c r="AE17" s="1" t="s">
        <v>642</v>
      </c>
      <c r="BB17" s="1" t="s">
        <v>643</v>
      </c>
      <c r="CO17" s="1" t="s">
        <v>435</v>
      </c>
      <c r="CQ17" s="1" t="s">
        <v>432</v>
      </c>
      <c r="CR17" s="1" t="s">
        <v>511</v>
      </c>
      <c r="CS17" s="1" t="s">
        <v>511</v>
      </c>
      <c r="CT17" s="3">
        <v>46080.432766203703</v>
      </c>
      <c r="CU17" s="1" t="s">
        <v>436</v>
      </c>
      <c r="CV17" s="1" t="s">
        <v>512</v>
      </c>
      <c r="CY17" s="1" t="s">
        <v>438</v>
      </c>
      <c r="DP17" s="1" t="s">
        <v>644</v>
      </c>
      <c r="DU17" s="1" t="s">
        <v>645</v>
      </c>
      <c r="GZ17" s="1" t="s">
        <v>644</v>
      </c>
      <c r="HA17" s="1" t="s">
        <v>645</v>
      </c>
      <c r="NM17" s="1" t="s">
        <v>441</v>
      </c>
      <c r="NN17" s="1">
        <v>4</v>
      </c>
      <c r="NS17" s="1">
        <v>4</v>
      </c>
      <c r="NT17" s="1">
        <v>4</v>
      </c>
      <c r="OA17" s="1">
        <v>5</v>
      </c>
      <c r="OB17" s="1">
        <v>5</v>
      </c>
      <c r="OC17" s="1">
        <v>5</v>
      </c>
      <c r="OD17" s="1">
        <v>5</v>
      </c>
      <c r="SB17" s="1" t="s">
        <v>443</v>
      </c>
      <c r="SC17" s="1" t="s">
        <v>646</v>
      </c>
      <c r="SF17" s="1" t="s">
        <v>444</v>
      </c>
      <c r="SG17" s="1" t="s">
        <v>647</v>
      </c>
      <c r="SH17" s="1" t="s">
        <v>438</v>
      </c>
      <c r="SI17" s="1" t="s">
        <v>432</v>
      </c>
      <c r="SK17" s="1" t="s">
        <v>568</v>
      </c>
      <c r="SL17" s="1" t="s">
        <v>620</v>
      </c>
    </row>
    <row r="18" spans="1:507" ht="48" x14ac:dyDescent="0.2">
      <c r="A18" s="1" t="s">
        <v>648</v>
      </c>
      <c r="B18" s="1">
        <v>10</v>
      </c>
      <c r="C18" s="1">
        <v>5</v>
      </c>
      <c r="D18" s="3">
        <v>46080.418576388889</v>
      </c>
      <c r="E18" s="1">
        <v>5244356</v>
      </c>
      <c r="F18" s="1" t="s">
        <v>428</v>
      </c>
      <c r="H18" s="1" t="s">
        <v>649</v>
      </c>
      <c r="J18" s="1" t="s">
        <v>650</v>
      </c>
      <c r="L18" s="1" t="s">
        <v>651</v>
      </c>
      <c r="O18" s="1" t="s">
        <v>432</v>
      </c>
      <c r="R18" s="1" t="s">
        <v>650</v>
      </c>
      <c r="AB18" s="3">
        <v>46083.397118055553</v>
      </c>
      <c r="AC18" s="3">
        <v>46080.533009259256</v>
      </c>
      <c r="AE18" s="1" t="s">
        <v>652</v>
      </c>
      <c r="BB18" s="1" t="s">
        <v>653</v>
      </c>
      <c r="CO18" s="1" t="s">
        <v>435</v>
      </c>
      <c r="CQ18" s="1" t="s">
        <v>432</v>
      </c>
      <c r="CR18" s="1" t="s">
        <v>534</v>
      </c>
      <c r="CS18" s="1" t="s">
        <v>534</v>
      </c>
      <c r="CT18" s="3">
        <v>46080.418645833335</v>
      </c>
      <c r="CU18" s="1" t="s">
        <v>436</v>
      </c>
      <c r="CV18" s="1" t="s">
        <v>512</v>
      </c>
      <c r="CY18" s="1" t="s">
        <v>438</v>
      </c>
      <c r="DP18" s="1" t="s">
        <v>654</v>
      </c>
      <c r="DU18" s="1" t="s">
        <v>655</v>
      </c>
      <c r="GZ18" s="1" t="s">
        <v>654</v>
      </c>
      <c r="HA18" s="1" t="s">
        <v>655</v>
      </c>
      <c r="NM18" s="1" t="s">
        <v>441</v>
      </c>
      <c r="NN18" s="1">
        <v>5</v>
      </c>
      <c r="NS18" s="1">
        <v>4</v>
      </c>
      <c r="NT18" s="1">
        <v>4</v>
      </c>
      <c r="OA18" s="1">
        <v>5</v>
      </c>
      <c r="OB18" s="1">
        <v>4</v>
      </c>
      <c r="OC18" s="1">
        <v>5</v>
      </c>
      <c r="OD18" s="1">
        <v>5</v>
      </c>
      <c r="SB18" s="1" t="s">
        <v>656</v>
      </c>
      <c r="SC18" s="1" t="s">
        <v>656</v>
      </c>
      <c r="SF18" s="1" t="s">
        <v>657</v>
      </c>
      <c r="SG18" s="1" t="s">
        <v>658</v>
      </c>
      <c r="SH18" s="1" t="s">
        <v>438</v>
      </c>
      <c r="SI18" s="1" t="s">
        <v>438</v>
      </c>
      <c r="SK18" s="1" t="s">
        <v>659</v>
      </c>
    </row>
    <row r="19" spans="1:507" ht="32" x14ac:dyDescent="0.2">
      <c r="A19" s="1" t="s">
        <v>660</v>
      </c>
      <c r="B19" s="1">
        <v>10</v>
      </c>
      <c r="C19" s="1">
        <v>5</v>
      </c>
      <c r="D19" s="3">
        <v>46080.412662037037</v>
      </c>
      <c r="E19" s="1">
        <v>5244322</v>
      </c>
      <c r="F19" s="1" t="s">
        <v>428</v>
      </c>
      <c r="H19" s="1" t="s">
        <v>661</v>
      </c>
      <c r="J19" s="1" t="s">
        <v>662</v>
      </c>
      <c r="L19" s="1" t="s">
        <v>663</v>
      </c>
      <c r="N19" s="1" t="s">
        <v>664</v>
      </c>
      <c r="O19" s="1" t="s">
        <v>438</v>
      </c>
      <c r="R19" s="1" t="s">
        <v>662</v>
      </c>
      <c r="S19" s="1" t="s">
        <v>665</v>
      </c>
      <c r="AB19" s="3">
        <v>46083.398402777777</v>
      </c>
      <c r="AC19" s="3">
        <v>46080.531458333331</v>
      </c>
      <c r="AE19" s="1" t="s">
        <v>666</v>
      </c>
      <c r="BB19" s="1" t="s">
        <v>667</v>
      </c>
      <c r="CO19" s="1" t="s">
        <v>435</v>
      </c>
      <c r="CQ19" s="1" t="s">
        <v>432</v>
      </c>
      <c r="CR19" s="1" t="s">
        <v>534</v>
      </c>
      <c r="CS19" s="1" t="s">
        <v>534</v>
      </c>
      <c r="CT19" s="3">
        <v>46080.412152777775</v>
      </c>
      <c r="CU19" s="1" t="s">
        <v>436</v>
      </c>
      <c r="CV19" s="1" t="s">
        <v>512</v>
      </c>
      <c r="CY19" s="1" t="s">
        <v>438</v>
      </c>
      <c r="DP19" s="1" t="s">
        <v>668</v>
      </c>
      <c r="DU19" s="1" t="s">
        <v>669</v>
      </c>
      <c r="GZ19" s="1" t="s">
        <v>668</v>
      </c>
      <c r="HA19" s="1" t="s">
        <v>669</v>
      </c>
      <c r="NM19" s="1" t="s">
        <v>441</v>
      </c>
      <c r="NN19" s="1">
        <v>5</v>
      </c>
      <c r="NS19" s="1">
        <v>5</v>
      </c>
      <c r="NT19" s="1">
        <v>5</v>
      </c>
      <c r="OA19" s="1">
        <v>5</v>
      </c>
      <c r="OB19" s="1">
        <v>5</v>
      </c>
      <c r="OC19" s="1">
        <v>5</v>
      </c>
      <c r="OD19" s="1">
        <v>5</v>
      </c>
      <c r="SC19" s="1" t="s">
        <v>670</v>
      </c>
      <c r="SG19" s="1" t="s">
        <v>671</v>
      </c>
      <c r="SH19" s="1" t="s">
        <v>438</v>
      </c>
      <c r="SI19" s="1" t="s">
        <v>432</v>
      </c>
      <c r="SK19" s="1" t="s">
        <v>672</v>
      </c>
    </row>
    <row r="20" spans="1:507" ht="32" x14ac:dyDescent="0.2">
      <c r="A20" s="1" t="s">
        <v>673</v>
      </c>
      <c r="B20" s="1">
        <v>10</v>
      </c>
      <c r="C20" s="1">
        <v>5</v>
      </c>
      <c r="D20" s="3">
        <v>46080.407199074078</v>
      </c>
      <c r="E20" s="1">
        <v>5244302</v>
      </c>
      <c r="F20" s="1" t="s">
        <v>428</v>
      </c>
      <c r="H20" s="1" t="s">
        <v>674</v>
      </c>
      <c r="J20" s="1" t="s">
        <v>675</v>
      </c>
      <c r="L20" s="1" t="s">
        <v>676</v>
      </c>
      <c r="N20" s="1" t="s">
        <v>677</v>
      </c>
      <c r="O20" s="1" t="s">
        <v>438</v>
      </c>
      <c r="R20" s="1" t="s">
        <v>675</v>
      </c>
      <c r="S20" s="1" t="s">
        <v>678</v>
      </c>
      <c r="AB20" s="3">
        <v>46083.399976851855</v>
      </c>
      <c r="AC20" s="3">
        <v>46080.53125</v>
      </c>
      <c r="AE20" s="1" t="s">
        <v>679</v>
      </c>
      <c r="BB20" s="1" t="s">
        <v>680</v>
      </c>
      <c r="CO20" s="1" t="s">
        <v>435</v>
      </c>
      <c r="CQ20" s="1" t="s">
        <v>432</v>
      </c>
      <c r="CR20" s="1" t="s">
        <v>534</v>
      </c>
      <c r="CS20" s="1" t="s">
        <v>534</v>
      </c>
      <c r="CT20" s="3">
        <v>46080.407465277778</v>
      </c>
      <c r="CU20" s="1" t="s">
        <v>436</v>
      </c>
      <c r="CV20" s="1" t="s">
        <v>512</v>
      </c>
      <c r="CY20" s="1" t="s">
        <v>438</v>
      </c>
      <c r="DP20" s="1" t="s">
        <v>681</v>
      </c>
      <c r="DU20" s="1" t="s">
        <v>682</v>
      </c>
      <c r="GZ20" s="1" t="s">
        <v>681</v>
      </c>
      <c r="HA20" s="1" t="s">
        <v>682</v>
      </c>
      <c r="NM20" s="1" t="s">
        <v>441</v>
      </c>
      <c r="NN20" s="1">
        <v>5</v>
      </c>
      <c r="NS20" s="1">
        <v>5</v>
      </c>
      <c r="NT20" s="1">
        <v>5</v>
      </c>
      <c r="OA20" s="1">
        <v>5</v>
      </c>
      <c r="OB20" s="1">
        <v>5</v>
      </c>
      <c r="OC20" s="1">
        <v>5</v>
      </c>
      <c r="OD20" s="1">
        <v>5</v>
      </c>
      <c r="SC20" s="1" t="s">
        <v>443</v>
      </c>
      <c r="SG20" s="1" t="s">
        <v>444</v>
      </c>
      <c r="SH20" s="1" t="s">
        <v>438</v>
      </c>
      <c r="SI20" s="1" t="s">
        <v>432</v>
      </c>
      <c r="SK20" s="1" t="s">
        <v>445</v>
      </c>
    </row>
    <row r="21" spans="1:507" ht="32" x14ac:dyDescent="0.2">
      <c r="A21" s="1" t="s">
        <v>683</v>
      </c>
      <c r="B21" s="1">
        <v>10</v>
      </c>
      <c r="C21" s="1">
        <v>5</v>
      </c>
      <c r="D21" s="3">
        <v>46080.342800925922</v>
      </c>
      <c r="E21" s="1">
        <v>5244043</v>
      </c>
      <c r="F21" s="1" t="s">
        <v>428</v>
      </c>
      <c r="H21" s="1" t="s">
        <v>684</v>
      </c>
      <c r="J21" s="1" t="s">
        <v>685</v>
      </c>
      <c r="L21" s="1" t="s">
        <v>686</v>
      </c>
      <c r="N21" s="1" t="s">
        <v>687</v>
      </c>
      <c r="O21" s="1" t="s">
        <v>432</v>
      </c>
      <c r="R21" s="1" t="s">
        <v>685</v>
      </c>
      <c r="S21" s="1" t="s">
        <v>688</v>
      </c>
      <c r="AB21" s="3">
        <v>46080.426180555558</v>
      </c>
      <c r="AC21" s="3">
        <v>46079.536874999998</v>
      </c>
      <c r="AE21" s="1" t="s">
        <v>689</v>
      </c>
      <c r="BB21" s="1" t="s">
        <v>690</v>
      </c>
      <c r="CO21" s="1" t="s">
        <v>435</v>
      </c>
      <c r="CQ21" s="1" t="s">
        <v>432</v>
      </c>
      <c r="CR21" s="1" t="s">
        <v>691</v>
      </c>
      <c r="CS21" s="1" t="s">
        <v>691</v>
      </c>
      <c r="CT21" s="3">
        <v>46080.339386574073</v>
      </c>
      <c r="CU21" s="1" t="s">
        <v>436</v>
      </c>
      <c r="CV21" s="1" t="s">
        <v>512</v>
      </c>
      <c r="CY21" s="1" t="s">
        <v>438</v>
      </c>
      <c r="DP21" s="1" t="s">
        <v>692</v>
      </c>
      <c r="DU21" s="1" t="s">
        <v>693</v>
      </c>
      <c r="GZ21" s="1" t="s">
        <v>692</v>
      </c>
      <c r="HA21" s="1" t="s">
        <v>693</v>
      </c>
      <c r="NM21" s="1" t="s">
        <v>441</v>
      </c>
      <c r="NN21" s="1">
        <v>4</v>
      </c>
      <c r="NS21" s="1">
        <v>5</v>
      </c>
      <c r="NT21" s="1">
        <v>5</v>
      </c>
      <c r="OA21" s="1">
        <v>5</v>
      </c>
      <c r="OB21" s="1">
        <v>5</v>
      </c>
      <c r="OC21" s="1">
        <v>5</v>
      </c>
      <c r="OD21" s="1">
        <v>4</v>
      </c>
      <c r="SC21" s="1" t="s">
        <v>646</v>
      </c>
      <c r="SG21" s="1" t="s">
        <v>694</v>
      </c>
      <c r="SH21" s="1" t="s">
        <v>438</v>
      </c>
      <c r="SI21" s="1" t="s">
        <v>438</v>
      </c>
      <c r="SK21" s="1" t="s">
        <v>445</v>
      </c>
      <c r="SL21" s="1" t="s">
        <v>620</v>
      </c>
    </row>
    <row r="22" spans="1:507" ht="48" x14ac:dyDescent="0.2">
      <c r="A22" s="1" t="s">
        <v>695</v>
      </c>
      <c r="B22" s="1">
        <v>10</v>
      </c>
      <c r="C22" s="1">
        <v>5</v>
      </c>
      <c r="D22" s="3">
        <v>46079.762615740743</v>
      </c>
      <c r="E22" s="1">
        <v>5243209</v>
      </c>
      <c r="F22" s="1" t="s">
        <v>428</v>
      </c>
      <c r="H22" s="1" t="s">
        <v>696</v>
      </c>
      <c r="J22" s="1" t="s">
        <v>697</v>
      </c>
      <c r="L22" s="1" t="s">
        <v>698</v>
      </c>
      <c r="O22" s="1" t="s">
        <v>432</v>
      </c>
      <c r="R22" s="1" t="s">
        <v>697</v>
      </c>
      <c r="AB22" s="3">
        <v>46080.379803240743</v>
      </c>
      <c r="AC22" s="3">
        <v>46079.536898148152</v>
      </c>
      <c r="AE22" s="1" t="s">
        <v>699</v>
      </c>
      <c r="BB22" s="1" t="s">
        <v>700</v>
      </c>
      <c r="CO22" s="1" t="s">
        <v>435</v>
      </c>
      <c r="CQ22" s="1" t="s">
        <v>432</v>
      </c>
      <c r="CR22" s="1" t="s">
        <v>523</v>
      </c>
      <c r="CS22" s="1" t="s">
        <v>523</v>
      </c>
      <c r="CT22" s="3">
        <v>46079.762604166666</v>
      </c>
      <c r="CU22" s="1" t="s">
        <v>436</v>
      </c>
      <c r="CV22" s="1" t="s">
        <v>512</v>
      </c>
      <c r="CY22" s="1" t="s">
        <v>438</v>
      </c>
      <c r="DP22" s="1" t="s">
        <v>701</v>
      </c>
      <c r="DU22" s="1" t="s">
        <v>702</v>
      </c>
      <c r="GZ22" s="1" t="s">
        <v>701</v>
      </c>
      <c r="HA22" s="1" t="s">
        <v>702</v>
      </c>
      <c r="NM22" s="1" t="s">
        <v>441</v>
      </c>
      <c r="NN22" s="1">
        <v>5</v>
      </c>
      <c r="NS22" s="1">
        <v>5</v>
      </c>
      <c r="NT22" s="1">
        <v>5</v>
      </c>
      <c r="OA22" s="1">
        <v>5</v>
      </c>
      <c r="OB22" s="1">
        <v>5</v>
      </c>
      <c r="OC22" s="1">
        <v>5</v>
      </c>
      <c r="OD22" s="1">
        <v>5</v>
      </c>
      <c r="SB22" s="1" t="s">
        <v>703</v>
      </c>
      <c r="SC22" s="1" t="s">
        <v>704</v>
      </c>
      <c r="SF22" s="1" t="s">
        <v>705</v>
      </c>
      <c r="SG22" s="1" t="s">
        <v>706</v>
      </c>
      <c r="SH22" s="1" t="s">
        <v>438</v>
      </c>
      <c r="SI22" s="1" t="s">
        <v>438</v>
      </c>
      <c r="SK22" s="1" t="s">
        <v>445</v>
      </c>
      <c r="SL22" s="1" t="s">
        <v>619</v>
      </c>
      <c r="SM22" s="1" t="s">
        <v>707</v>
      </c>
    </row>
    <row r="23" spans="1:507" ht="32" x14ac:dyDescent="0.2">
      <c r="A23" s="1" t="s">
        <v>708</v>
      </c>
      <c r="B23" s="1">
        <v>8</v>
      </c>
      <c r="C23" s="1">
        <v>4</v>
      </c>
      <c r="D23" s="3">
        <v>46079.722372685188</v>
      </c>
      <c r="E23" s="1">
        <v>5243087</v>
      </c>
      <c r="F23" s="1" t="s">
        <v>428</v>
      </c>
      <c r="H23" s="1" t="s">
        <v>709</v>
      </c>
      <c r="J23" s="1" t="s">
        <v>710</v>
      </c>
      <c r="L23" s="1" t="s">
        <v>711</v>
      </c>
      <c r="O23" s="1" t="s">
        <v>432</v>
      </c>
      <c r="R23" s="1" t="s">
        <v>710</v>
      </c>
      <c r="AB23" s="3">
        <v>46080.378518518519</v>
      </c>
      <c r="AC23" s="3">
        <v>46077.551296296297</v>
      </c>
      <c r="AE23" s="1" t="s">
        <v>712</v>
      </c>
      <c r="BB23" s="1" t="s">
        <v>713</v>
      </c>
      <c r="CO23" s="1" t="s">
        <v>435</v>
      </c>
      <c r="CQ23" s="1" t="s">
        <v>432</v>
      </c>
      <c r="CR23" s="1" t="s">
        <v>495</v>
      </c>
      <c r="CS23" s="1" t="s">
        <v>495</v>
      </c>
      <c r="CT23" s="3">
        <v>46079.721620370372</v>
      </c>
      <c r="CU23" s="1" t="s">
        <v>524</v>
      </c>
      <c r="CV23" s="1" t="s">
        <v>512</v>
      </c>
      <c r="CY23" s="1" t="s">
        <v>438</v>
      </c>
      <c r="DP23" s="1" t="s">
        <v>714</v>
      </c>
      <c r="DU23" s="1" t="s">
        <v>715</v>
      </c>
      <c r="GZ23" s="1" t="s">
        <v>714</v>
      </c>
      <c r="HA23" s="1" t="s">
        <v>715</v>
      </c>
      <c r="NM23" s="1" t="s">
        <v>441</v>
      </c>
      <c r="NN23" s="1">
        <v>3</v>
      </c>
      <c r="NS23" s="1">
        <v>5</v>
      </c>
      <c r="NT23" s="1">
        <v>5</v>
      </c>
      <c r="OA23" s="1">
        <v>4</v>
      </c>
      <c r="OB23" s="1">
        <v>5</v>
      </c>
      <c r="OC23" s="1">
        <v>5</v>
      </c>
      <c r="OD23" s="1">
        <v>5</v>
      </c>
      <c r="SB23" s="1" t="s">
        <v>716</v>
      </c>
      <c r="SC23" s="1" t="s">
        <v>717</v>
      </c>
      <c r="SF23" s="1" t="s">
        <v>718</v>
      </c>
      <c r="SG23" s="1" t="s">
        <v>719</v>
      </c>
      <c r="SH23" s="1" t="s">
        <v>438</v>
      </c>
      <c r="SI23" s="1" t="s">
        <v>432</v>
      </c>
      <c r="SK23" s="1" t="s">
        <v>486</v>
      </c>
      <c r="SL23" s="1" t="s">
        <v>620</v>
      </c>
    </row>
    <row r="24" spans="1:507" ht="32" x14ac:dyDescent="0.2">
      <c r="A24" s="1" t="s">
        <v>720</v>
      </c>
      <c r="B24" s="1">
        <v>10</v>
      </c>
      <c r="C24" s="1">
        <v>5</v>
      </c>
      <c r="D24" s="3">
        <v>46079.687974537039</v>
      </c>
      <c r="E24" s="1">
        <v>5242984</v>
      </c>
      <c r="F24" s="1" t="s">
        <v>428</v>
      </c>
      <c r="H24" s="1" t="s">
        <v>721</v>
      </c>
      <c r="J24" s="1" t="s">
        <v>722</v>
      </c>
      <c r="L24" s="1" t="s">
        <v>723</v>
      </c>
      <c r="M24" s="1" t="s">
        <v>723</v>
      </c>
      <c r="N24" s="1" t="s">
        <v>724</v>
      </c>
      <c r="O24" s="1" t="s">
        <v>438</v>
      </c>
      <c r="R24" s="1" t="s">
        <v>722</v>
      </c>
      <c r="S24" s="1" t="s">
        <v>725</v>
      </c>
      <c r="AC24" s="3">
        <v>46079.808564814812</v>
      </c>
      <c r="AE24" s="1" t="s">
        <v>726</v>
      </c>
      <c r="BB24" s="1" t="s">
        <v>727</v>
      </c>
      <c r="CO24" s="1" t="s">
        <v>435</v>
      </c>
      <c r="CQ24" s="1" t="s">
        <v>432</v>
      </c>
      <c r="CR24" s="1" t="s">
        <v>728</v>
      </c>
      <c r="CS24" s="1" t="s">
        <v>729</v>
      </c>
      <c r="CT24" s="3">
        <v>46079.686354166668</v>
      </c>
      <c r="CU24" s="1" t="s">
        <v>436</v>
      </c>
      <c r="CV24" s="1" t="s">
        <v>730</v>
      </c>
      <c r="CY24" s="1" t="s">
        <v>438</v>
      </c>
      <c r="DU24" s="1" t="s">
        <v>731</v>
      </c>
      <c r="HA24" s="1" t="s">
        <v>731</v>
      </c>
      <c r="NM24" s="1" t="s">
        <v>441</v>
      </c>
      <c r="NN24" s="1">
        <v>3</v>
      </c>
      <c r="NS24" s="1">
        <v>5</v>
      </c>
      <c r="NT24" s="1">
        <v>5</v>
      </c>
      <c r="OA24" s="1">
        <v>4</v>
      </c>
      <c r="OB24" s="1">
        <v>3</v>
      </c>
      <c r="OC24" s="1">
        <v>5</v>
      </c>
      <c r="OD24" s="1">
        <v>4</v>
      </c>
      <c r="SB24" s="1" t="s">
        <v>732</v>
      </c>
      <c r="SC24" s="1" t="s">
        <v>733</v>
      </c>
      <c r="SF24" s="1" t="s">
        <v>734</v>
      </c>
      <c r="SG24" s="1" t="s">
        <v>735</v>
      </c>
      <c r="SH24" s="1" t="s">
        <v>438</v>
      </c>
      <c r="SI24" s="1" t="s">
        <v>438</v>
      </c>
      <c r="SK24" s="1" t="s">
        <v>736</v>
      </c>
    </row>
    <row r="25" spans="1:507" ht="32" x14ac:dyDescent="0.2">
      <c r="A25" s="1" t="s">
        <v>737</v>
      </c>
      <c r="B25" s="1">
        <v>10</v>
      </c>
      <c r="C25" s="1">
        <v>5</v>
      </c>
      <c r="D25" s="3">
        <v>46079.575775462959</v>
      </c>
      <c r="E25" s="1">
        <v>5242595</v>
      </c>
      <c r="F25" s="1" t="s">
        <v>428</v>
      </c>
      <c r="H25" s="1" t="s">
        <v>738</v>
      </c>
      <c r="J25" s="1" t="s">
        <v>739</v>
      </c>
      <c r="L25" s="1" t="s">
        <v>740</v>
      </c>
      <c r="O25" s="1" t="s">
        <v>432</v>
      </c>
      <c r="R25" s="1" t="s">
        <v>739</v>
      </c>
      <c r="AB25" s="3">
        <v>46079.580243055556</v>
      </c>
      <c r="AC25" s="3">
        <v>46079.682222222225</v>
      </c>
      <c r="AE25" s="1" t="s">
        <v>741</v>
      </c>
      <c r="BB25" s="1" t="s">
        <v>742</v>
      </c>
      <c r="CO25" s="1" t="s">
        <v>435</v>
      </c>
      <c r="CQ25" s="1" t="s">
        <v>432</v>
      </c>
      <c r="CR25" s="1" t="s">
        <v>561</v>
      </c>
      <c r="CS25" s="1" t="s">
        <v>561</v>
      </c>
      <c r="CT25" s="3">
        <v>46079.575960648152</v>
      </c>
      <c r="CU25" s="1" t="s">
        <v>436</v>
      </c>
      <c r="CV25" s="1" t="s">
        <v>512</v>
      </c>
      <c r="CY25" s="1" t="s">
        <v>438</v>
      </c>
      <c r="DP25" s="1" t="s">
        <v>743</v>
      </c>
      <c r="DU25" s="1" t="s">
        <v>744</v>
      </c>
      <c r="GZ25" s="1" t="s">
        <v>743</v>
      </c>
      <c r="HA25" s="1" t="s">
        <v>744</v>
      </c>
      <c r="NM25" s="1" t="s">
        <v>441</v>
      </c>
      <c r="NN25" s="1">
        <v>5</v>
      </c>
      <c r="NS25" s="1">
        <v>5</v>
      </c>
      <c r="NT25" s="1">
        <v>5</v>
      </c>
      <c r="OA25" s="1">
        <v>5</v>
      </c>
      <c r="OB25" s="1">
        <v>5</v>
      </c>
      <c r="OC25" s="1">
        <v>5</v>
      </c>
      <c r="OD25" s="1">
        <v>5</v>
      </c>
      <c r="SB25" s="1" t="s">
        <v>745</v>
      </c>
      <c r="SC25" s="1" t="s">
        <v>746</v>
      </c>
      <c r="SF25" s="1" t="s">
        <v>747</v>
      </c>
      <c r="SG25" s="1" t="s">
        <v>748</v>
      </c>
      <c r="SH25" s="1" t="s">
        <v>438</v>
      </c>
      <c r="SI25" s="1" t="s">
        <v>432</v>
      </c>
      <c r="SK25" s="1" t="s">
        <v>749</v>
      </c>
    </row>
    <row r="26" spans="1:507" ht="96" x14ac:dyDescent="0.2">
      <c r="A26" s="1" t="s">
        <v>750</v>
      </c>
      <c r="B26" s="1">
        <v>10</v>
      </c>
      <c r="C26" s="1">
        <v>4</v>
      </c>
      <c r="D26" s="3">
        <v>46079.550613425927</v>
      </c>
      <c r="E26" s="1">
        <v>5242492</v>
      </c>
      <c r="F26" s="1" t="s">
        <v>428</v>
      </c>
      <c r="H26" s="1" t="s">
        <v>751</v>
      </c>
      <c r="J26" s="1" t="s">
        <v>752</v>
      </c>
      <c r="L26" s="1" t="s">
        <v>753</v>
      </c>
      <c r="O26" s="1" t="s">
        <v>432</v>
      </c>
      <c r="R26" s="1" t="s">
        <v>752</v>
      </c>
      <c r="AB26" s="3">
        <v>46079.559571759259</v>
      </c>
      <c r="AC26" s="3">
        <v>46079.639641203707</v>
      </c>
      <c r="AE26" s="1" t="s">
        <v>754</v>
      </c>
      <c r="BB26" s="1" t="s">
        <v>755</v>
      </c>
      <c r="CO26" s="1" t="s">
        <v>435</v>
      </c>
      <c r="CQ26" s="1" t="s">
        <v>432</v>
      </c>
      <c r="CR26" s="1" t="s">
        <v>561</v>
      </c>
      <c r="CS26" s="1" t="s">
        <v>561</v>
      </c>
      <c r="CT26" s="3">
        <v>46079.551469907405</v>
      </c>
      <c r="CU26" s="1" t="s">
        <v>436</v>
      </c>
      <c r="CV26" s="1" t="s">
        <v>512</v>
      </c>
      <c r="CY26" s="1" t="s">
        <v>438</v>
      </c>
      <c r="DP26" s="1" t="s">
        <v>756</v>
      </c>
      <c r="DU26" s="1" t="s">
        <v>757</v>
      </c>
      <c r="GZ26" s="1" t="s">
        <v>756</v>
      </c>
      <c r="HA26" s="1" t="s">
        <v>757</v>
      </c>
      <c r="NM26" s="1" t="s">
        <v>441</v>
      </c>
      <c r="NN26" s="1">
        <v>4</v>
      </c>
      <c r="NS26" s="1">
        <v>4</v>
      </c>
      <c r="NT26" s="1">
        <v>4</v>
      </c>
      <c r="OA26" s="1">
        <v>4</v>
      </c>
      <c r="OB26" s="1" t="s">
        <v>442</v>
      </c>
      <c r="OC26" s="1" t="s">
        <v>442</v>
      </c>
      <c r="OD26" s="1" t="s">
        <v>442</v>
      </c>
      <c r="SB26" s="1" t="s">
        <v>443</v>
      </c>
      <c r="SC26" s="1" t="s">
        <v>758</v>
      </c>
      <c r="SF26" s="1" t="s">
        <v>444</v>
      </c>
      <c r="SG26" s="1" t="s">
        <v>759</v>
      </c>
      <c r="SH26" s="1" t="s">
        <v>438</v>
      </c>
      <c r="SI26" s="1" t="s">
        <v>438</v>
      </c>
      <c r="SK26" s="1" t="s">
        <v>760</v>
      </c>
      <c r="SL26" s="1" t="s">
        <v>500</v>
      </c>
      <c r="SM26" s="1" t="s">
        <v>540</v>
      </c>
    </row>
    <row r="27" spans="1:507" ht="48" x14ac:dyDescent="0.2">
      <c r="A27" s="1" t="s">
        <v>761</v>
      </c>
      <c r="B27" s="1">
        <v>8</v>
      </c>
      <c r="C27" s="1">
        <v>2</v>
      </c>
      <c r="D27" s="3">
        <v>46079.532152777778</v>
      </c>
      <c r="E27" s="1">
        <v>5241506</v>
      </c>
      <c r="F27" s="1" t="s">
        <v>428</v>
      </c>
      <c r="H27" s="1" t="s">
        <v>762</v>
      </c>
      <c r="J27" s="1" t="s">
        <v>763</v>
      </c>
      <c r="L27" s="1" t="s">
        <v>764</v>
      </c>
      <c r="M27" s="1" t="s">
        <v>764</v>
      </c>
      <c r="N27" s="1" t="s">
        <v>765</v>
      </c>
      <c r="O27" s="1" t="s">
        <v>432</v>
      </c>
      <c r="R27" s="1" t="s">
        <v>763</v>
      </c>
      <c r="S27" s="1" t="s">
        <v>766</v>
      </c>
      <c r="AC27" s="3">
        <v>46078.555937500001</v>
      </c>
      <c r="AE27" s="1" t="s">
        <v>767</v>
      </c>
      <c r="BB27" s="1" t="s">
        <v>768</v>
      </c>
      <c r="CO27" s="1" t="s">
        <v>435</v>
      </c>
      <c r="CQ27" s="1" t="s">
        <v>432</v>
      </c>
      <c r="CR27" s="1" t="s">
        <v>769</v>
      </c>
      <c r="CS27" s="1" t="s">
        <v>729</v>
      </c>
      <c r="CT27" s="3">
        <v>46079.399837962963</v>
      </c>
      <c r="CU27" s="1" t="s">
        <v>524</v>
      </c>
      <c r="CV27" s="1" t="s">
        <v>730</v>
      </c>
      <c r="CY27" s="1" t="s">
        <v>438</v>
      </c>
      <c r="DP27" s="1" t="s">
        <v>770</v>
      </c>
      <c r="DU27" s="1" t="s">
        <v>771</v>
      </c>
      <c r="GZ27" s="1" t="s">
        <v>770</v>
      </c>
      <c r="HA27" s="1" t="s">
        <v>771</v>
      </c>
      <c r="NM27" s="1" t="s">
        <v>441</v>
      </c>
      <c r="NN27" s="1" t="s">
        <v>442</v>
      </c>
      <c r="NS27" s="1">
        <v>5</v>
      </c>
      <c r="NT27" s="1">
        <v>5</v>
      </c>
      <c r="OA27" s="1" t="s">
        <v>442</v>
      </c>
      <c r="OB27" s="1" t="s">
        <v>442</v>
      </c>
      <c r="OC27" s="1" t="s">
        <v>442</v>
      </c>
      <c r="OD27" s="1" t="s">
        <v>442</v>
      </c>
      <c r="SB27" s="1" t="s">
        <v>772</v>
      </c>
      <c r="SC27" s="1" t="s">
        <v>773</v>
      </c>
      <c r="SF27" s="1" t="s">
        <v>774</v>
      </c>
      <c r="SG27" s="1" t="s">
        <v>775</v>
      </c>
      <c r="SH27" s="1" t="s">
        <v>438</v>
      </c>
      <c r="SI27" s="1" t="s">
        <v>438</v>
      </c>
      <c r="SK27" s="1" t="s">
        <v>445</v>
      </c>
      <c r="SL27" s="1" t="s">
        <v>707</v>
      </c>
      <c r="SM27" s="1" t="s">
        <v>569</v>
      </c>
    </row>
    <row r="28" spans="1:507" ht="32" x14ac:dyDescent="0.2">
      <c r="A28" s="1" t="s">
        <v>776</v>
      </c>
      <c r="B28" s="1">
        <v>8</v>
      </c>
      <c r="C28" s="1">
        <v>5</v>
      </c>
      <c r="D28" s="3">
        <v>46079.495127314818</v>
      </c>
      <c r="E28" s="1">
        <v>5242255</v>
      </c>
      <c r="F28" s="1" t="s">
        <v>428</v>
      </c>
      <c r="H28" s="1" t="s">
        <v>777</v>
      </c>
      <c r="J28" s="1" t="s">
        <v>778</v>
      </c>
      <c r="L28" s="1" t="s">
        <v>779</v>
      </c>
      <c r="M28" s="1" t="s">
        <v>779</v>
      </c>
      <c r="N28" s="1" t="s">
        <v>780</v>
      </c>
      <c r="O28" s="1" t="s">
        <v>438</v>
      </c>
      <c r="R28" s="1" t="s">
        <v>778</v>
      </c>
      <c r="S28" s="1" t="s">
        <v>781</v>
      </c>
      <c r="AB28" s="3">
        <v>46079.570092592592</v>
      </c>
      <c r="AC28" s="3">
        <v>46079.537280092591</v>
      </c>
      <c r="AE28" s="1" t="s">
        <v>782</v>
      </c>
      <c r="BB28" s="1" t="s">
        <v>783</v>
      </c>
      <c r="CO28" s="1" t="s">
        <v>435</v>
      </c>
      <c r="CQ28" s="1" t="s">
        <v>432</v>
      </c>
      <c r="CR28" s="1" t="s">
        <v>495</v>
      </c>
      <c r="CS28" s="1" t="s">
        <v>495</v>
      </c>
      <c r="CT28" s="3">
        <v>46079.494398148148</v>
      </c>
      <c r="CU28" s="1" t="s">
        <v>524</v>
      </c>
      <c r="CV28" s="1" t="s">
        <v>512</v>
      </c>
      <c r="CY28" s="1" t="s">
        <v>438</v>
      </c>
      <c r="DP28" s="1" t="s">
        <v>784</v>
      </c>
      <c r="DU28" s="1" t="s">
        <v>785</v>
      </c>
      <c r="GZ28" s="1" t="s">
        <v>784</v>
      </c>
      <c r="HA28" s="1" t="s">
        <v>785</v>
      </c>
      <c r="NM28" s="1" t="s">
        <v>441</v>
      </c>
      <c r="NN28" s="1">
        <v>4</v>
      </c>
      <c r="NS28" s="1">
        <v>4</v>
      </c>
      <c r="NT28" s="1">
        <v>4</v>
      </c>
      <c r="OA28" s="1">
        <v>4</v>
      </c>
      <c r="OB28" s="1">
        <v>4</v>
      </c>
      <c r="OC28" s="1">
        <v>4</v>
      </c>
      <c r="OD28" s="1">
        <v>3</v>
      </c>
      <c r="SC28" s="1" t="s">
        <v>773</v>
      </c>
      <c r="SG28" s="1" t="s">
        <v>786</v>
      </c>
      <c r="SH28" s="1" t="s">
        <v>438</v>
      </c>
      <c r="SI28" s="1" t="s">
        <v>432</v>
      </c>
      <c r="SK28" s="1" t="s">
        <v>445</v>
      </c>
      <c r="SL28" s="1" t="s">
        <v>787</v>
      </c>
    </row>
    <row r="29" spans="1:507" ht="64" x14ac:dyDescent="0.2">
      <c r="A29" s="1" t="s">
        <v>788</v>
      </c>
      <c r="B29" s="1">
        <v>8</v>
      </c>
      <c r="C29" s="1">
        <v>5</v>
      </c>
      <c r="D29" s="3">
        <v>46079.454317129632</v>
      </c>
      <c r="E29" s="1">
        <v>5242030</v>
      </c>
      <c r="F29" s="1" t="s">
        <v>428</v>
      </c>
      <c r="H29" s="1" t="s">
        <v>789</v>
      </c>
      <c r="J29" s="1" t="s">
        <v>790</v>
      </c>
      <c r="L29" s="1" t="s">
        <v>791</v>
      </c>
      <c r="O29" s="1" t="s">
        <v>432</v>
      </c>
      <c r="R29" s="1" t="s">
        <v>790</v>
      </c>
      <c r="AB29" s="3">
        <v>46079.569618055553</v>
      </c>
      <c r="AC29" s="3">
        <v>46079.53670138889</v>
      </c>
      <c r="AE29" s="1" t="s">
        <v>792</v>
      </c>
      <c r="BB29" s="1" t="s">
        <v>793</v>
      </c>
      <c r="CO29" s="1" t="s">
        <v>435</v>
      </c>
      <c r="CQ29" s="1" t="s">
        <v>432</v>
      </c>
      <c r="CR29" s="1" t="s">
        <v>511</v>
      </c>
      <c r="CS29" s="1" t="s">
        <v>511</v>
      </c>
      <c r="CT29" s="3">
        <v>46079.454884259256</v>
      </c>
      <c r="CU29" s="1" t="s">
        <v>524</v>
      </c>
      <c r="CV29" s="1" t="s">
        <v>512</v>
      </c>
      <c r="CY29" s="1" t="s">
        <v>438</v>
      </c>
      <c r="DP29" s="1" t="s">
        <v>794</v>
      </c>
      <c r="DU29" s="1" t="s">
        <v>682</v>
      </c>
      <c r="GZ29" s="1" t="s">
        <v>794</v>
      </c>
      <c r="HA29" s="1" t="s">
        <v>682</v>
      </c>
      <c r="NM29" s="1" t="s">
        <v>441</v>
      </c>
      <c r="NN29" s="1">
        <v>5</v>
      </c>
      <c r="NS29" s="1">
        <v>4</v>
      </c>
      <c r="NT29" s="1">
        <v>5</v>
      </c>
      <c r="OA29" s="1">
        <v>5</v>
      </c>
      <c r="OB29" s="1">
        <v>5</v>
      </c>
      <c r="OC29" s="1">
        <v>4</v>
      </c>
      <c r="OD29" s="1">
        <v>5</v>
      </c>
      <c r="SB29" s="1" t="s">
        <v>795</v>
      </c>
      <c r="SC29" s="1" t="s">
        <v>796</v>
      </c>
      <c r="SF29" s="1" t="s">
        <v>797</v>
      </c>
      <c r="SG29" s="1" t="s">
        <v>798</v>
      </c>
      <c r="SH29" s="1" t="s">
        <v>438</v>
      </c>
      <c r="SI29" s="1" t="s">
        <v>432</v>
      </c>
      <c r="SK29" s="1" t="s">
        <v>672</v>
      </c>
      <c r="SL29" s="1" t="s">
        <v>799</v>
      </c>
    </row>
    <row r="30" spans="1:507" ht="32" x14ac:dyDescent="0.2">
      <c r="A30" s="1" t="s">
        <v>800</v>
      </c>
      <c r="B30" s="1">
        <v>10</v>
      </c>
      <c r="C30" s="1">
        <v>5</v>
      </c>
      <c r="D30" s="3">
        <v>46079.424340277779</v>
      </c>
      <c r="E30" s="1">
        <v>5241840</v>
      </c>
      <c r="F30" s="1" t="s">
        <v>428</v>
      </c>
      <c r="H30" s="1" t="s">
        <v>801</v>
      </c>
      <c r="J30" s="1" t="s">
        <v>802</v>
      </c>
      <c r="L30" s="1" t="s">
        <v>803</v>
      </c>
      <c r="O30" s="1" t="s">
        <v>432</v>
      </c>
      <c r="R30" s="1" t="s">
        <v>802</v>
      </c>
      <c r="AB30" s="3">
        <v>46079.586828703701</v>
      </c>
      <c r="AC30" s="3">
        <v>46079.536504629628</v>
      </c>
      <c r="AE30" s="1" t="s">
        <v>804</v>
      </c>
      <c r="BB30" s="1" t="s">
        <v>805</v>
      </c>
      <c r="CO30" s="1" t="s">
        <v>435</v>
      </c>
      <c r="CQ30" s="1" t="s">
        <v>432</v>
      </c>
      <c r="CR30" s="1" t="s">
        <v>549</v>
      </c>
      <c r="CS30" s="1" t="s">
        <v>549</v>
      </c>
      <c r="CT30" s="3">
        <v>46079.42491898148</v>
      </c>
      <c r="CU30" s="1" t="s">
        <v>436</v>
      </c>
      <c r="CV30" s="1" t="s">
        <v>512</v>
      </c>
      <c r="CY30" s="1" t="s">
        <v>438</v>
      </c>
      <c r="DP30" s="1" t="s">
        <v>806</v>
      </c>
      <c r="DU30" s="1" t="s">
        <v>807</v>
      </c>
      <c r="GZ30" s="1" t="s">
        <v>806</v>
      </c>
      <c r="HA30" s="1" t="s">
        <v>807</v>
      </c>
      <c r="NM30" s="1" t="s">
        <v>441</v>
      </c>
      <c r="NN30" s="1">
        <v>5</v>
      </c>
      <c r="NS30" s="1">
        <v>5</v>
      </c>
      <c r="NT30" s="1">
        <v>5</v>
      </c>
      <c r="OA30" s="1">
        <v>5</v>
      </c>
      <c r="OB30" s="1">
        <v>5</v>
      </c>
      <c r="OC30" s="1">
        <v>5</v>
      </c>
      <c r="OD30" s="1">
        <v>5</v>
      </c>
      <c r="SC30" s="1" t="s">
        <v>443</v>
      </c>
      <c r="SG30" s="1" t="s">
        <v>444</v>
      </c>
      <c r="SH30" s="1" t="s">
        <v>438</v>
      </c>
      <c r="SI30" s="1" t="s">
        <v>432</v>
      </c>
      <c r="SK30" s="1" t="s">
        <v>445</v>
      </c>
      <c r="SL30" s="1" t="s">
        <v>808</v>
      </c>
    </row>
    <row r="31" spans="1:507" ht="32" x14ac:dyDescent="0.2">
      <c r="A31" s="1" t="s">
        <v>809</v>
      </c>
      <c r="B31" s="1">
        <v>10</v>
      </c>
      <c r="C31" s="1">
        <v>5</v>
      </c>
      <c r="D31" s="3">
        <v>46079.222824074073</v>
      </c>
      <c r="E31" s="1">
        <v>5241117</v>
      </c>
      <c r="F31" s="1" t="s">
        <v>428</v>
      </c>
      <c r="H31" s="1" t="s">
        <v>810</v>
      </c>
      <c r="J31" s="1" t="s">
        <v>811</v>
      </c>
      <c r="L31" s="1" t="s">
        <v>812</v>
      </c>
      <c r="O31" s="1" t="s">
        <v>432</v>
      </c>
      <c r="R31" s="1" t="s">
        <v>811</v>
      </c>
      <c r="AB31" s="3">
        <v>46079.412986111114</v>
      </c>
      <c r="AC31" s="3">
        <v>46078.557118055556</v>
      </c>
      <c r="AE31" s="1" t="s">
        <v>813</v>
      </c>
      <c r="BB31" s="1" t="s">
        <v>814</v>
      </c>
      <c r="CO31" s="1" t="s">
        <v>435</v>
      </c>
      <c r="CQ31" s="1" t="s">
        <v>432</v>
      </c>
      <c r="CR31" s="1" t="s">
        <v>523</v>
      </c>
      <c r="CS31" s="1" t="s">
        <v>523</v>
      </c>
      <c r="CT31" s="3">
        <v>46079.222071759257</v>
      </c>
      <c r="CU31" s="1" t="s">
        <v>436</v>
      </c>
      <c r="CV31" s="1" t="s">
        <v>512</v>
      </c>
      <c r="CY31" s="1" t="s">
        <v>438</v>
      </c>
      <c r="DP31" s="1" t="s">
        <v>815</v>
      </c>
      <c r="DU31" s="1" t="s">
        <v>440</v>
      </c>
      <c r="GZ31" s="1" t="s">
        <v>815</v>
      </c>
      <c r="HA31" s="1" t="s">
        <v>440</v>
      </c>
      <c r="NM31" s="1" t="s">
        <v>441</v>
      </c>
      <c r="NN31" s="1">
        <v>5</v>
      </c>
      <c r="NS31" s="1">
        <v>5</v>
      </c>
      <c r="NT31" s="1">
        <v>5</v>
      </c>
      <c r="OA31" s="1">
        <v>5</v>
      </c>
      <c r="OB31" s="1">
        <v>5</v>
      </c>
      <c r="OC31" s="1">
        <v>5</v>
      </c>
      <c r="OD31" s="1">
        <v>5</v>
      </c>
      <c r="SB31" s="1" t="s">
        <v>443</v>
      </c>
      <c r="SC31" s="1" t="s">
        <v>443</v>
      </c>
      <c r="SF31" s="1" t="s">
        <v>444</v>
      </c>
      <c r="SG31" s="1" t="s">
        <v>444</v>
      </c>
      <c r="SH31" s="1" t="s">
        <v>432</v>
      </c>
      <c r="SI31" s="1" t="s">
        <v>432</v>
      </c>
      <c r="SK31" s="1" t="s">
        <v>445</v>
      </c>
    </row>
    <row r="32" spans="1:507" ht="32" x14ac:dyDescent="0.2">
      <c r="A32" s="1" t="s">
        <v>816</v>
      </c>
      <c r="B32" s="1">
        <v>10</v>
      </c>
      <c r="C32" s="1">
        <v>5</v>
      </c>
      <c r="D32" s="3">
        <v>46078.939398148148</v>
      </c>
      <c r="E32" s="1">
        <v>5240812</v>
      </c>
      <c r="F32" s="1" t="s">
        <v>428</v>
      </c>
      <c r="H32" s="1" t="s">
        <v>817</v>
      </c>
      <c r="J32" s="1" t="s">
        <v>818</v>
      </c>
      <c r="L32" s="1" t="s">
        <v>819</v>
      </c>
      <c r="M32" s="1" t="s">
        <v>819</v>
      </c>
      <c r="N32" s="1" t="s">
        <v>820</v>
      </c>
      <c r="O32" s="1" t="s">
        <v>432</v>
      </c>
      <c r="R32" s="1" t="s">
        <v>818</v>
      </c>
      <c r="S32" s="1" t="s">
        <v>821</v>
      </c>
      <c r="AB32" s="3">
        <v>46079.3906712963</v>
      </c>
      <c r="AC32" s="3">
        <v>46078.557685185187</v>
      </c>
      <c r="AE32" s="1" t="s">
        <v>822</v>
      </c>
      <c r="BB32" s="1" t="s">
        <v>823</v>
      </c>
      <c r="CO32" s="1" t="s">
        <v>435</v>
      </c>
      <c r="CQ32" s="1" t="s">
        <v>432</v>
      </c>
      <c r="CR32" s="1" t="s">
        <v>523</v>
      </c>
      <c r="CS32" s="1" t="s">
        <v>523</v>
      </c>
      <c r="CT32" s="3">
        <v>46078.940057870372</v>
      </c>
      <c r="CU32" s="1" t="s">
        <v>436</v>
      </c>
      <c r="CV32" s="1" t="s">
        <v>512</v>
      </c>
      <c r="CY32" s="1" t="s">
        <v>438</v>
      </c>
      <c r="DP32" s="1" t="s">
        <v>824</v>
      </c>
      <c r="GZ32" s="1" t="s">
        <v>824</v>
      </c>
      <c r="NM32" s="1" t="s">
        <v>441</v>
      </c>
      <c r="NN32" s="1">
        <v>4</v>
      </c>
      <c r="NS32" s="1">
        <v>5</v>
      </c>
      <c r="NT32" s="1">
        <v>5</v>
      </c>
      <c r="OA32" s="1">
        <v>5</v>
      </c>
      <c r="OB32" s="1">
        <v>5</v>
      </c>
      <c r="OC32" s="1">
        <v>5</v>
      </c>
      <c r="OD32" s="1">
        <v>5</v>
      </c>
      <c r="SH32" s="1" t="s">
        <v>432</v>
      </c>
      <c r="SI32" s="1" t="s">
        <v>432</v>
      </c>
      <c r="SK32" s="1" t="s">
        <v>486</v>
      </c>
    </row>
    <row r="33" spans="1:506" ht="32" x14ac:dyDescent="0.2">
      <c r="A33" s="1" t="s">
        <v>825</v>
      </c>
      <c r="B33" s="1">
        <v>10</v>
      </c>
      <c r="C33" s="1">
        <v>5</v>
      </c>
      <c r="D33" s="3">
        <v>46078.90457175926</v>
      </c>
      <c r="E33" s="1">
        <v>5240736</v>
      </c>
      <c r="F33" s="1" t="s">
        <v>428</v>
      </c>
      <c r="H33" s="1" t="s">
        <v>826</v>
      </c>
      <c r="J33" s="1" t="s">
        <v>827</v>
      </c>
      <c r="L33" s="1" t="s">
        <v>828</v>
      </c>
      <c r="O33" s="1" t="s">
        <v>432</v>
      </c>
      <c r="R33" s="1" t="s">
        <v>827</v>
      </c>
      <c r="AB33" s="3">
        <v>46079.389363425929</v>
      </c>
      <c r="AC33" s="3">
        <v>46078.558379629627</v>
      </c>
      <c r="AE33" s="1" t="s">
        <v>829</v>
      </c>
      <c r="BB33" s="1" t="s">
        <v>830</v>
      </c>
      <c r="CO33" s="1" t="s">
        <v>435</v>
      </c>
      <c r="CQ33" s="1" t="s">
        <v>432</v>
      </c>
      <c r="CR33" s="1" t="s">
        <v>523</v>
      </c>
      <c r="CS33" s="1" t="s">
        <v>523</v>
      </c>
      <c r="CT33" s="3">
        <v>46078.901412037034</v>
      </c>
      <c r="CU33" s="1" t="s">
        <v>436</v>
      </c>
      <c r="CV33" s="1" t="s">
        <v>512</v>
      </c>
      <c r="CY33" s="1" t="s">
        <v>438</v>
      </c>
      <c r="DP33" s="1" t="s">
        <v>831</v>
      </c>
      <c r="GZ33" s="1" t="s">
        <v>831</v>
      </c>
      <c r="NM33" s="1" t="s">
        <v>441</v>
      </c>
      <c r="NN33" s="1">
        <v>5</v>
      </c>
      <c r="NS33" s="1">
        <v>5</v>
      </c>
      <c r="NT33" s="1">
        <v>5</v>
      </c>
      <c r="OA33" s="1">
        <v>5</v>
      </c>
      <c r="OB33" s="1">
        <v>5</v>
      </c>
      <c r="OC33" s="1">
        <v>5</v>
      </c>
      <c r="OD33" s="1">
        <v>4</v>
      </c>
      <c r="SH33" s="1" t="s">
        <v>432</v>
      </c>
      <c r="SI33" s="1" t="s">
        <v>432</v>
      </c>
      <c r="SK33" s="1" t="s">
        <v>832</v>
      </c>
    </row>
    <row r="34" spans="1:506" ht="32" x14ac:dyDescent="0.2">
      <c r="A34" s="1" t="s">
        <v>833</v>
      </c>
      <c r="B34" s="1">
        <v>10</v>
      </c>
      <c r="C34" s="1">
        <v>5</v>
      </c>
      <c r="D34" s="3">
        <v>46078.878333333334</v>
      </c>
      <c r="E34" s="1">
        <v>5240679</v>
      </c>
      <c r="F34" s="1" t="s">
        <v>428</v>
      </c>
      <c r="H34" s="1" t="s">
        <v>834</v>
      </c>
      <c r="J34" s="1" t="s">
        <v>835</v>
      </c>
      <c r="L34" s="1" t="s">
        <v>836</v>
      </c>
      <c r="M34" s="1" t="s">
        <v>836</v>
      </c>
      <c r="N34" s="1" t="s">
        <v>837</v>
      </c>
      <c r="O34" s="1" t="s">
        <v>432</v>
      </c>
      <c r="R34" s="1" t="s">
        <v>835</v>
      </c>
      <c r="S34" s="1" t="s">
        <v>838</v>
      </c>
      <c r="AB34" s="3">
        <v>46079.611180555556</v>
      </c>
      <c r="AC34" s="3">
        <v>46078.556388888886</v>
      </c>
      <c r="AE34" s="1" t="s">
        <v>839</v>
      </c>
      <c r="BB34" s="1" t="s">
        <v>840</v>
      </c>
      <c r="CO34" s="1" t="s">
        <v>435</v>
      </c>
      <c r="CQ34" s="1" t="s">
        <v>432</v>
      </c>
      <c r="CR34" s="1" t="s">
        <v>841</v>
      </c>
      <c r="CS34" s="1" t="s">
        <v>523</v>
      </c>
      <c r="CT34" s="3">
        <v>46078.878425925926</v>
      </c>
      <c r="CU34" s="1" t="s">
        <v>436</v>
      </c>
      <c r="CV34" s="1" t="s">
        <v>512</v>
      </c>
      <c r="CY34" s="1" t="s">
        <v>438</v>
      </c>
      <c r="DP34" s="1" t="s">
        <v>842</v>
      </c>
      <c r="DU34" s="1" t="s">
        <v>442</v>
      </c>
      <c r="GZ34" s="1" t="s">
        <v>842</v>
      </c>
      <c r="HA34" s="1" t="s">
        <v>442</v>
      </c>
      <c r="NM34" s="1" t="s">
        <v>441</v>
      </c>
      <c r="NN34" s="1">
        <v>5</v>
      </c>
      <c r="NS34" s="1">
        <v>5</v>
      </c>
      <c r="NT34" s="1">
        <v>5</v>
      </c>
      <c r="OA34" s="1">
        <v>5</v>
      </c>
      <c r="OB34" s="1">
        <v>5</v>
      </c>
      <c r="OC34" s="1">
        <v>5</v>
      </c>
      <c r="OD34" s="1">
        <v>5</v>
      </c>
      <c r="SB34" s="1" t="s">
        <v>615</v>
      </c>
      <c r="SC34" s="1" t="s">
        <v>843</v>
      </c>
      <c r="SF34" s="1" t="s">
        <v>844</v>
      </c>
      <c r="SG34" s="1" t="s">
        <v>845</v>
      </c>
      <c r="SH34" s="1" t="s">
        <v>438</v>
      </c>
      <c r="SI34" s="1" t="s">
        <v>432</v>
      </c>
      <c r="SK34" s="1" t="s">
        <v>500</v>
      </c>
    </row>
    <row r="35" spans="1:506" ht="32" x14ac:dyDescent="0.2">
      <c r="A35" s="1" t="s">
        <v>846</v>
      </c>
      <c r="B35" s="1">
        <v>10</v>
      </c>
      <c r="C35" s="1">
        <v>5</v>
      </c>
      <c r="D35" s="3">
        <v>46078.840729166666</v>
      </c>
      <c r="E35" s="1">
        <v>5240551</v>
      </c>
      <c r="F35" s="1" t="s">
        <v>428</v>
      </c>
      <c r="H35" s="1" t="s">
        <v>847</v>
      </c>
      <c r="J35" s="1" t="s">
        <v>848</v>
      </c>
      <c r="L35" s="1" t="s">
        <v>849</v>
      </c>
      <c r="O35" s="1" t="s">
        <v>432</v>
      </c>
      <c r="R35" s="1" t="s">
        <v>848</v>
      </c>
      <c r="AB35" s="3">
        <v>46079.334444444445</v>
      </c>
      <c r="AC35" s="3">
        <v>46078.55709490741</v>
      </c>
      <c r="AE35" s="1" t="s">
        <v>850</v>
      </c>
      <c r="BB35" s="1" t="s">
        <v>851</v>
      </c>
      <c r="CO35" s="1" t="s">
        <v>435</v>
      </c>
      <c r="CQ35" s="1" t="s">
        <v>432</v>
      </c>
      <c r="CR35" s="1" t="s">
        <v>852</v>
      </c>
      <c r="CS35" s="1" t="s">
        <v>852</v>
      </c>
      <c r="CT35" s="3">
        <v>46078.841678240744</v>
      </c>
      <c r="CU35" s="1" t="s">
        <v>436</v>
      </c>
      <c r="CV35" s="1" t="s">
        <v>512</v>
      </c>
      <c r="CY35" s="1" t="s">
        <v>438</v>
      </c>
      <c r="DP35" s="1" t="s">
        <v>853</v>
      </c>
      <c r="DU35" s="1" t="s">
        <v>682</v>
      </c>
      <c r="GZ35" s="1" t="s">
        <v>853</v>
      </c>
      <c r="HA35" s="1" t="s">
        <v>682</v>
      </c>
      <c r="NM35" s="1" t="s">
        <v>441</v>
      </c>
      <c r="NN35" s="1">
        <v>5</v>
      </c>
      <c r="NS35" s="1">
        <v>4</v>
      </c>
      <c r="NT35" s="1">
        <v>5</v>
      </c>
      <c r="OA35" s="1">
        <v>5</v>
      </c>
      <c r="OB35" s="1">
        <v>5</v>
      </c>
      <c r="OC35" s="1">
        <v>5</v>
      </c>
      <c r="OD35" s="1">
        <v>5</v>
      </c>
      <c r="SB35" s="1" t="s">
        <v>745</v>
      </c>
      <c r="SC35" s="1" t="s">
        <v>745</v>
      </c>
      <c r="SE35" s="1" t="s">
        <v>484</v>
      </c>
      <c r="SF35" s="1" t="s">
        <v>747</v>
      </c>
      <c r="SG35" s="1" t="s">
        <v>747</v>
      </c>
      <c r="SH35" s="1" t="s">
        <v>432</v>
      </c>
      <c r="SI35" s="1" t="s">
        <v>432</v>
      </c>
      <c r="SK35" s="1" t="s">
        <v>854</v>
      </c>
    </row>
    <row r="36" spans="1:506" ht="32" x14ac:dyDescent="0.2">
      <c r="A36" s="1" t="s">
        <v>855</v>
      </c>
      <c r="B36" s="1">
        <v>10</v>
      </c>
      <c r="C36" s="1">
        <v>5</v>
      </c>
      <c r="D36" s="3">
        <v>46078.734756944446</v>
      </c>
      <c r="E36" s="1">
        <v>5240153</v>
      </c>
      <c r="F36" s="1" t="s">
        <v>428</v>
      </c>
      <c r="H36" s="1" t="s">
        <v>856</v>
      </c>
      <c r="J36" s="1" t="s">
        <v>857</v>
      </c>
      <c r="L36" s="1" t="s">
        <v>858</v>
      </c>
      <c r="M36" s="1" t="s">
        <v>858</v>
      </c>
      <c r="N36" s="1" t="s">
        <v>859</v>
      </c>
      <c r="O36" s="1" t="s">
        <v>432</v>
      </c>
      <c r="R36" s="1" t="s">
        <v>857</v>
      </c>
      <c r="S36" s="1" t="s">
        <v>860</v>
      </c>
      <c r="AB36" s="3">
        <v>46079.327499999999</v>
      </c>
      <c r="AC36" s="3">
        <v>46078.849432870367</v>
      </c>
      <c r="AE36" s="1" t="s">
        <v>861</v>
      </c>
      <c r="BB36" s="1" t="s">
        <v>862</v>
      </c>
      <c r="CO36" s="1" t="s">
        <v>435</v>
      </c>
      <c r="CQ36" s="1" t="s">
        <v>432</v>
      </c>
      <c r="CR36" s="1" t="s">
        <v>511</v>
      </c>
      <c r="CS36" s="1" t="s">
        <v>511</v>
      </c>
      <c r="CT36" s="3">
        <v>46078.735011574077</v>
      </c>
      <c r="CU36" s="1" t="s">
        <v>436</v>
      </c>
      <c r="CV36" s="1" t="s">
        <v>512</v>
      </c>
      <c r="CY36" s="1" t="s">
        <v>438</v>
      </c>
      <c r="DP36" s="1" t="s">
        <v>863</v>
      </c>
      <c r="DU36" s="1" t="s">
        <v>864</v>
      </c>
      <c r="GZ36" s="1" t="s">
        <v>863</v>
      </c>
      <c r="HA36" s="1" t="s">
        <v>864</v>
      </c>
      <c r="NM36" s="1" t="s">
        <v>441</v>
      </c>
      <c r="NN36" s="1">
        <v>5</v>
      </c>
      <c r="NS36" s="1">
        <v>5</v>
      </c>
      <c r="NT36" s="1">
        <v>5</v>
      </c>
      <c r="OA36" s="1">
        <v>5</v>
      </c>
      <c r="OB36" s="1">
        <v>5</v>
      </c>
      <c r="OC36" s="1">
        <v>5</v>
      </c>
      <c r="OD36" s="1">
        <v>5</v>
      </c>
      <c r="SC36" s="1" t="s">
        <v>443</v>
      </c>
      <c r="SG36" s="1" t="s">
        <v>865</v>
      </c>
      <c r="SH36" s="1" t="s">
        <v>438</v>
      </c>
      <c r="SI36" s="1" t="s">
        <v>438</v>
      </c>
      <c r="SK36" s="1" t="s">
        <v>445</v>
      </c>
      <c r="SL36" s="1" t="s">
        <v>866</v>
      </c>
    </row>
    <row r="37" spans="1:506" ht="32" x14ac:dyDescent="0.2">
      <c r="A37" s="1" t="s">
        <v>867</v>
      </c>
      <c r="B37" s="1">
        <v>10</v>
      </c>
      <c r="C37" s="1">
        <v>5</v>
      </c>
      <c r="D37" s="3">
        <v>46078.681527777779</v>
      </c>
      <c r="E37" s="1">
        <v>5240002</v>
      </c>
      <c r="F37" s="1" t="s">
        <v>428</v>
      </c>
      <c r="H37" s="1" t="s">
        <v>868</v>
      </c>
      <c r="J37" s="1" t="s">
        <v>869</v>
      </c>
      <c r="L37" s="1" t="s">
        <v>870</v>
      </c>
      <c r="O37" s="1" t="s">
        <v>432</v>
      </c>
      <c r="R37" s="1" t="s">
        <v>869</v>
      </c>
      <c r="AB37" s="3">
        <v>46079.377395833333</v>
      </c>
      <c r="AC37" s="3">
        <v>46078.556157407409</v>
      </c>
      <c r="AE37" s="1" t="s">
        <v>871</v>
      </c>
      <c r="BB37" s="1" t="s">
        <v>872</v>
      </c>
      <c r="CO37" s="1" t="s">
        <v>435</v>
      </c>
      <c r="CQ37" s="1" t="s">
        <v>432</v>
      </c>
      <c r="CR37" s="1" t="s">
        <v>549</v>
      </c>
      <c r="CS37" s="1" t="s">
        <v>549</v>
      </c>
      <c r="CT37" s="3">
        <v>46078.682916666665</v>
      </c>
      <c r="CU37" s="1" t="s">
        <v>436</v>
      </c>
      <c r="CV37" s="1" t="s">
        <v>512</v>
      </c>
      <c r="CY37" s="1" t="s">
        <v>438</v>
      </c>
      <c r="DP37" s="1" t="s">
        <v>873</v>
      </c>
      <c r="DU37" s="1" t="s">
        <v>874</v>
      </c>
      <c r="GZ37" s="1" t="s">
        <v>873</v>
      </c>
      <c r="HA37" s="1" t="s">
        <v>874</v>
      </c>
      <c r="NM37" s="1" t="s">
        <v>441</v>
      </c>
      <c r="NN37" s="1">
        <v>4</v>
      </c>
      <c r="NS37" s="1">
        <v>5</v>
      </c>
      <c r="NT37" s="1">
        <v>5</v>
      </c>
      <c r="OA37" s="1">
        <v>5</v>
      </c>
      <c r="OB37" s="1">
        <v>5</v>
      </c>
      <c r="OC37" s="1">
        <v>5</v>
      </c>
      <c r="OD37" s="1">
        <v>5</v>
      </c>
      <c r="SB37" s="1" t="s">
        <v>483</v>
      </c>
      <c r="SC37" s="1" t="s">
        <v>483</v>
      </c>
      <c r="SF37" s="1" t="s">
        <v>485</v>
      </c>
      <c r="SG37" s="1" t="s">
        <v>485</v>
      </c>
      <c r="SH37" s="1" t="s">
        <v>432</v>
      </c>
      <c r="SI37" s="1" t="s">
        <v>432</v>
      </c>
      <c r="SK37" s="1" t="s">
        <v>486</v>
      </c>
    </row>
    <row r="38" spans="1:506" ht="80" x14ac:dyDescent="0.2">
      <c r="A38" s="1" t="s">
        <v>875</v>
      </c>
      <c r="B38" s="1">
        <v>10</v>
      </c>
      <c r="C38" s="1">
        <v>5</v>
      </c>
      <c r="D38" s="3">
        <v>46078.535162037035</v>
      </c>
      <c r="E38" s="1">
        <v>5239490</v>
      </c>
      <c r="F38" s="1" t="s">
        <v>428</v>
      </c>
      <c r="H38" s="1" t="s">
        <v>876</v>
      </c>
      <c r="J38" s="1" t="s">
        <v>877</v>
      </c>
      <c r="L38" s="1" t="s">
        <v>878</v>
      </c>
      <c r="O38" s="1" t="s">
        <v>432</v>
      </c>
      <c r="R38" s="1" t="s">
        <v>877</v>
      </c>
      <c r="AB38" s="3">
        <v>46078.623923611114</v>
      </c>
      <c r="AC38" s="3">
        <v>46078.556539351855</v>
      </c>
      <c r="AE38" s="1" t="s">
        <v>879</v>
      </c>
      <c r="BB38" s="1" t="s">
        <v>880</v>
      </c>
      <c r="CO38" s="1" t="s">
        <v>435</v>
      </c>
      <c r="CQ38" s="1" t="s">
        <v>432</v>
      </c>
      <c r="CR38" s="1" t="s">
        <v>523</v>
      </c>
      <c r="CS38" s="1" t="s">
        <v>523</v>
      </c>
      <c r="CT38" s="3">
        <v>46078.535358796296</v>
      </c>
      <c r="CU38" s="1" t="s">
        <v>436</v>
      </c>
      <c r="CV38" s="1" t="s">
        <v>512</v>
      </c>
      <c r="CY38" s="1" t="s">
        <v>438</v>
      </c>
      <c r="DP38" s="1" t="s">
        <v>881</v>
      </c>
      <c r="DU38" s="1" t="s">
        <v>744</v>
      </c>
      <c r="GZ38" s="1" t="s">
        <v>881</v>
      </c>
      <c r="HA38" s="1" t="s">
        <v>744</v>
      </c>
      <c r="NM38" s="1" t="s">
        <v>441</v>
      </c>
      <c r="NN38" s="1">
        <v>5</v>
      </c>
      <c r="NS38" s="1">
        <v>5</v>
      </c>
      <c r="NT38" s="1">
        <v>5</v>
      </c>
      <c r="OA38" s="1">
        <v>5</v>
      </c>
      <c r="OB38" s="1">
        <v>5</v>
      </c>
      <c r="OC38" s="1">
        <v>5</v>
      </c>
      <c r="OD38" s="1">
        <v>5</v>
      </c>
      <c r="SB38" s="1" t="s">
        <v>882</v>
      </c>
      <c r="SC38" s="1" t="s">
        <v>883</v>
      </c>
      <c r="SF38" s="1" t="s">
        <v>884</v>
      </c>
      <c r="SG38" s="1" t="s">
        <v>885</v>
      </c>
      <c r="SH38" s="1" t="s">
        <v>438</v>
      </c>
      <c r="SI38" s="1" t="s">
        <v>438</v>
      </c>
      <c r="SK38" s="1" t="s">
        <v>445</v>
      </c>
      <c r="SL38" s="1" t="s">
        <v>707</v>
      </c>
    </row>
    <row r="39" spans="1:506" ht="48" x14ac:dyDescent="0.2">
      <c r="A39" s="1" t="s">
        <v>886</v>
      </c>
      <c r="B39" s="1">
        <v>10</v>
      </c>
      <c r="C39" s="1">
        <v>5</v>
      </c>
      <c r="D39" s="3">
        <v>46078.487187500003</v>
      </c>
      <c r="E39" s="1">
        <v>5239274</v>
      </c>
      <c r="F39" s="1" t="s">
        <v>428</v>
      </c>
      <c r="H39" s="1" t="s">
        <v>887</v>
      </c>
      <c r="J39" s="1" t="s">
        <v>888</v>
      </c>
      <c r="L39" s="1" t="s">
        <v>889</v>
      </c>
      <c r="M39" s="1" t="s">
        <v>889</v>
      </c>
      <c r="N39" s="1" t="s">
        <v>890</v>
      </c>
      <c r="O39" s="1" t="s">
        <v>438</v>
      </c>
      <c r="R39" s="1" t="s">
        <v>888</v>
      </c>
      <c r="S39" s="1" t="s">
        <v>891</v>
      </c>
      <c r="AB39" s="3">
        <v>46078.583229166667</v>
      </c>
      <c r="AC39" s="3">
        <v>46078.557835648149</v>
      </c>
      <c r="AE39" s="1" t="s">
        <v>892</v>
      </c>
      <c r="BB39" s="1" t="s">
        <v>893</v>
      </c>
      <c r="CO39" s="1" t="s">
        <v>435</v>
      </c>
      <c r="CQ39" s="1" t="s">
        <v>432</v>
      </c>
      <c r="CR39" s="1" t="s">
        <v>511</v>
      </c>
      <c r="CS39" s="1" t="s">
        <v>511</v>
      </c>
      <c r="CT39" s="3">
        <v>46078.487685185188</v>
      </c>
      <c r="CU39" s="1" t="s">
        <v>436</v>
      </c>
      <c r="CV39" s="1" t="s">
        <v>512</v>
      </c>
      <c r="CY39" s="1" t="s">
        <v>438</v>
      </c>
      <c r="DP39" s="1" t="s">
        <v>894</v>
      </c>
      <c r="DU39" s="1" t="s">
        <v>895</v>
      </c>
      <c r="GZ39" s="1" t="s">
        <v>894</v>
      </c>
      <c r="HA39" s="1" t="s">
        <v>895</v>
      </c>
      <c r="NM39" s="1" t="s">
        <v>441</v>
      </c>
      <c r="NN39" s="1">
        <v>5</v>
      </c>
      <c r="NS39" s="1">
        <v>5</v>
      </c>
      <c r="NT39" s="1">
        <v>5</v>
      </c>
      <c r="OA39" s="1">
        <v>5</v>
      </c>
      <c r="OB39" s="1">
        <v>5</v>
      </c>
      <c r="OC39" s="1">
        <v>5</v>
      </c>
      <c r="OD39" s="1">
        <v>5</v>
      </c>
      <c r="SB39" s="1" t="s">
        <v>896</v>
      </c>
      <c r="SC39" s="1" t="s">
        <v>773</v>
      </c>
      <c r="SF39" s="1" t="s">
        <v>897</v>
      </c>
      <c r="SG39" s="1" t="s">
        <v>898</v>
      </c>
      <c r="SH39" s="1" t="s">
        <v>438</v>
      </c>
      <c r="SI39" s="1" t="s">
        <v>432</v>
      </c>
      <c r="SK39" s="1" t="s">
        <v>445</v>
      </c>
      <c r="SL39" s="1" t="s">
        <v>866</v>
      </c>
    </row>
    <row r="40" spans="1:506" ht="48" x14ac:dyDescent="0.2">
      <c r="A40" s="1" t="s">
        <v>899</v>
      </c>
      <c r="B40" s="1">
        <v>10</v>
      </c>
      <c r="C40" s="1">
        <v>5</v>
      </c>
      <c r="D40" s="3">
        <v>46078.474108796298</v>
      </c>
      <c r="E40" s="1">
        <v>5239210</v>
      </c>
      <c r="F40" s="1" t="s">
        <v>428</v>
      </c>
      <c r="H40" s="1" t="s">
        <v>900</v>
      </c>
      <c r="J40" s="1" t="s">
        <v>901</v>
      </c>
      <c r="L40" s="1" t="s">
        <v>902</v>
      </c>
      <c r="M40" s="1" t="s">
        <v>902</v>
      </c>
      <c r="N40" s="1" t="s">
        <v>903</v>
      </c>
      <c r="O40" s="1" t="s">
        <v>432</v>
      </c>
      <c r="R40" s="1" t="s">
        <v>901</v>
      </c>
      <c r="S40" s="1" t="s">
        <v>904</v>
      </c>
      <c r="AB40" s="3">
        <v>46078.590960648151</v>
      </c>
      <c r="AC40" s="3">
        <v>46078.557071759256</v>
      </c>
      <c r="AE40" s="1" t="s">
        <v>905</v>
      </c>
      <c r="BB40" s="1" t="s">
        <v>906</v>
      </c>
      <c r="CO40" s="1" t="s">
        <v>435</v>
      </c>
      <c r="CQ40" s="1" t="s">
        <v>432</v>
      </c>
      <c r="CR40" s="1" t="s">
        <v>534</v>
      </c>
      <c r="CS40" s="1" t="s">
        <v>534</v>
      </c>
      <c r="CT40" s="3">
        <v>46078.474780092591</v>
      </c>
      <c r="CU40" s="1" t="s">
        <v>436</v>
      </c>
      <c r="CV40" s="1" t="s">
        <v>512</v>
      </c>
      <c r="CY40" s="1" t="s">
        <v>438</v>
      </c>
      <c r="DP40" s="1" t="s">
        <v>907</v>
      </c>
      <c r="DU40" s="1" t="s">
        <v>908</v>
      </c>
      <c r="GZ40" s="1" t="s">
        <v>907</v>
      </c>
      <c r="HA40" s="1" t="s">
        <v>908</v>
      </c>
      <c r="NM40" s="1" t="s">
        <v>441</v>
      </c>
      <c r="NN40" s="1">
        <v>3</v>
      </c>
      <c r="NS40" s="1">
        <v>5</v>
      </c>
      <c r="NT40" s="1">
        <v>5</v>
      </c>
      <c r="OA40" s="1">
        <v>5</v>
      </c>
      <c r="OB40" s="1">
        <v>5</v>
      </c>
      <c r="OC40" s="1">
        <v>5</v>
      </c>
      <c r="OD40" s="1">
        <v>5</v>
      </c>
      <c r="SB40" s="1" t="s">
        <v>646</v>
      </c>
      <c r="SC40" s="1" t="s">
        <v>646</v>
      </c>
      <c r="SF40" s="1" t="s">
        <v>909</v>
      </c>
      <c r="SG40" s="1" t="s">
        <v>647</v>
      </c>
      <c r="SH40" s="1" t="s">
        <v>438</v>
      </c>
      <c r="SI40" s="1" t="s">
        <v>432</v>
      </c>
      <c r="SK40" s="1" t="s">
        <v>445</v>
      </c>
      <c r="SL40" s="1" t="s">
        <v>620</v>
      </c>
    </row>
    <row r="41" spans="1:506" ht="32" x14ac:dyDescent="0.2">
      <c r="A41" s="1" t="s">
        <v>910</v>
      </c>
      <c r="B41" s="1">
        <v>10</v>
      </c>
      <c r="C41" s="1">
        <v>5</v>
      </c>
      <c r="D41" s="3">
        <v>46078.444305555553</v>
      </c>
      <c r="E41" s="1">
        <v>5239048</v>
      </c>
      <c r="F41" s="1" t="s">
        <v>428</v>
      </c>
      <c r="H41" s="1" t="s">
        <v>911</v>
      </c>
      <c r="J41" s="1" t="s">
        <v>912</v>
      </c>
      <c r="L41" s="1" t="s">
        <v>913</v>
      </c>
      <c r="O41" s="1" t="s">
        <v>432</v>
      </c>
      <c r="R41" s="1" t="s">
        <v>912</v>
      </c>
      <c r="AB41" s="3">
        <v>46078.587719907409</v>
      </c>
      <c r="AC41" s="3">
        <v>46078.557453703703</v>
      </c>
      <c r="AE41" s="1" t="s">
        <v>914</v>
      </c>
      <c r="BB41" s="1" t="s">
        <v>915</v>
      </c>
      <c r="CO41" s="1" t="s">
        <v>435</v>
      </c>
      <c r="CQ41" s="1" t="s">
        <v>432</v>
      </c>
      <c r="CR41" s="1" t="s">
        <v>534</v>
      </c>
      <c r="CS41" s="1" t="s">
        <v>534</v>
      </c>
      <c r="CT41" s="3">
        <v>46078.444548611114</v>
      </c>
      <c r="CU41" s="1" t="s">
        <v>436</v>
      </c>
      <c r="CV41" s="1" t="s">
        <v>512</v>
      </c>
      <c r="CY41" s="1" t="s">
        <v>438</v>
      </c>
      <c r="DP41" s="1" t="s">
        <v>916</v>
      </c>
      <c r="DU41" s="1" t="s">
        <v>744</v>
      </c>
      <c r="GZ41" s="1" t="s">
        <v>916</v>
      </c>
      <c r="HA41" s="1" t="s">
        <v>744</v>
      </c>
      <c r="NM41" s="1" t="s">
        <v>441</v>
      </c>
      <c r="NN41" s="1">
        <v>5</v>
      </c>
      <c r="NS41" s="1">
        <v>5</v>
      </c>
      <c r="NT41" s="1">
        <v>5</v>
      </c>
      <c r="OA41" s="1">
        <v>5</v>
      </c>
      <c r="OB41" s="1">
        <v>5</v>
      </c>
      <c r="OC41" s="1">
        <v>5</v>
      </c>
      <c r="OD41" s="1">
        <v>5</v>
      </c>
      <c r="SB41" s="1" t="s">
        <v>745</v>
      </c>
      <c r="SC41" s="1" t="s">
        <v>917</v>
      </c>
      <c r="SF41" s="1" t="s">
        <v>747</v>
      </c>
      <c r="SG41" s="1" t="s">
        <v>918</v>
      </c>
      <c r="SH41" s="1" t="s">
        <v>438</v>
      </c>
      <c r="SI41" s="1" t="s">
        <v>432</v>
      </c>
      <c r="SK41" s="1" t="s">
        <v>445</v>
      </c>
      <c r="SL41" s="1" t="s">
        <v>919</v>
      </c>
    </row>
    <row r="42" spans="1:506" ht="48" x14ac:dyDescent="0.2">
      <c r="A42" s="1" t="s">
        <v>920</v>
      </c>
      <c r="B42" s="1">
        <v>10</v>
      </c>
      <c r="C42" s="1">
        <v>5</v>
      </c>
      <c r="D42" s="3">
        <v>46078.441932870373</v>
      </c>
      <c r="E42" s="1">
        <v>5239037</v>
      </c>
      <c r="F42" s="1" t="s">
        <v>428</v>
      </c>
      <c r="H42" s="1" t="s">
        <v>921</v>
      </c>
      <c r="J42" s="1" t="s">
        <v>922</v>
      </c>
      <c r="L42" s="1" t="s">
        <v>923</v>
      </c>
      <c r="O42" s="1" t="s">
        <v>432</v>
      </c>
      <c r="R42" s="1" t="s">
        <v>922</v>
      </c>
      <c r="AB42" s="3">
        <v>46078.586770833332</v>
      </c>
      <c r="AC42" s="3">
        <v>46078.556817129633</v>
      </c>
      <c r="AE42" s="1" t="s">
        <v>924</v>
      </c>
      <c r="BB42" s="1" t="s">
        <v>925</v>
      </c>
      <c r="CO42" s="1" t="s">
        <v>435</v>
      </c>
      <c r="CQ42" s="1" t="s">
        <v>432</v>
      </c>
      <c r="CR42" s="1" t="s">
        <v>534</v>
      </c>
      <c r="CS42" s="1" t="s">
        <v>534</v>
      </c>
      <c r="CT42" s="3">
        <v>46078.442685185182</v>
      </c>
      <c r="CU42" s="1" t="s">
        <v>436</v>
      </c>
      <c r="CV42" s="1" t="s">
        <v>512</v>
      </c>
      <c r="CY42" s="1" t="s">
        <v>438</v>
      </c>
      <c r="DP42" s="1" t="s">
        <v>926</v>
      </c>
      <c r="DU42" s="1" t="s">
        <v>927</v>
      </c>
      <c r="GZ42" s="1" t="s">
        <v>926</v>
      </c>
      <c r="HA42" s="1" t="s">
        <v>927</v>
      </c>
      <c r="NM42" s="1" t="s">
        <v>441</v>
      </c>
      <c r="NN42" s="1">
        <v>4</v>
      </c>
      <c r="NS42" s="1">
        <v>5</v>
      </c>
      <c r="NT42" s="1">
        <v>5</v>
      </c>
      <c r="OA42" s="1">
        <v>5</v>
      </c>
      <c r="OB42" s="1" t="s">
        <v>442</v>
      </c>
      <c r="OC42" s="1">
        <v>5</v>
      </c>
      <c r="OD42" s="1">
        <v>5</v>
      </c>
      <c r="SB42" s="1" t="s">
        <v>443</v>
      </c>
      <c r="SC42" s="1" t="s">
        <v>443</v>
      </c>
      <c r="SF42" s="1" t="s">
        <v>579</v>
      </c>
      <c r="SG42" s="1" t="s">
        <v>865</v>
      </c>
      <c r="SH42" s="1" t="s">
        <v>438</v>
      </c>
      <c r="SI42" s="1" t="s">
        <v>438</v>
      </c>
      <c r="SK42" s="1" t="s">
        <v>760</v>
      </c>
      <c r="SL42" s="1" t="s">
        <v>928</v>
      </c>
    </row>
    <row r="43" spans="1:506" ht="144" x14ac:dyDescent="0.2">
      <c r="A43" s="1" t="s">
        <v>929</v>
      </c>
      <c r="B43" s="1">
        <v>10</v>
      </c>
      <c r="C43" s="1">
        <v>5</v>
      </c>
      <c r="D43" s="3">
        <v>46077.810474537036</v>
      </c>
      <c r="E43" s="1">
        <v>5237746</v>
      </c>
      <c r="F43" s="1" t="s">
        <v>428</v>
      </c>
      <c r="H43" s="1" t="s">
        <v>930</v>
      </c>
      <c r="J43" s="1" t="s">
        <v>931</v>
      </c>
      <c r="L43" s="1" t="s">
        <v>932</v>
      </c>
      <c r="M43" s="1" t="s">
        <v>932</v>
      </c>
      <c r="N43" s="1" t="s">
        <v>933</v>
      </c>
      <c r="O43" s="1" t="s">
        <v>432</v>
      </c>
      <c r="R43" s="1" t="s">
        <v>931</v>
      </c>
      <c r="S43" s="1" t="s">
        <v>934</v>
      </c>
      <c r="AB43" s="3">
        <v>46078.3987037037</v>
      </c>
      <c r="AC43" s="3">
        <v>46077.927939814814</v>
      </c>
      <c r="AE43" s="1" t="s">
        <v>935</v>
      </c>
      <c r="BB43" s="1" t="s">
        <v>936</v>
      </c>
      <c r="CO43" s="1" t="s">
        <v>435</v>
      </c>
      <c r="CQ43" s="1" t="s">
        <v>432</v>
      </c>
      <c r="CR43" s="1" t="s">
        <v>534</v>
      </c>
      <c r="CS43" s="1" t="s">
        <v>534</v>
      </c>
      <c r="CT43" s="3">
        <v>46077.806180555555</v>
      </c>
      <c r="CU43" s="1" t="s">
        <v>436</v>
      </c>
      <c r="CV43" s="1" t="s">
        <v>512</v>
      </c>
      <c r="CY43" s="1" t="s">
        <v>438</v>
      </c>
      <c r="DP43" s="1" t="s">
        <v>937</v>
      </c>
      <c r="DU43" s="1" t="s">
        <v>938</v>
      </c>
      <c r="GZ43" s="1" t="s">
        <v>937</v>
      </c>
      <c r="HA43" s="1" t="s">
        <v>938</v>
      </c>
      <c r="NM43" s="1" t="s">
        <v>441</v>
      </c>
      <c r="NN43" s="1">
        <v>5</v>
      </c>
      <c r="NS43" s="1">
        <v>5</v>
      </c>
      <c r="NT43" s="1">
        <v>5</v>
      </c>
      <c r="OA43" s="1">
        <v>5</v>
      </c>
      <c r="OB43" s="1">
        <v>5</v>
      </c>
      <c r="OC43" s="1">
        <v>5</v>
      </c>
      <c r="OD43" s="1">
        <v>5</v>
      </c>
      <c r="SB43" s="1" t="s">
        <v>939</v>
      </c>
      <c r="SC43" s="1" t="s">
        <v>940</v>
      </c>
      <c r="SE43" s="1" t="s">
        <v>633</v>
      </c>
      <c r="SF43" s="1" t="s">
        <v>941</v>
      </c>
      <c r="SG43" s="1" t="s">
        <v>942</v>
      </c>
      <c r="SH43" s="1" t="s">
        <v>438</v>
      </c>
      <c r="SI43" s="1" t="s">
        <v>432</v>
      </c>
      <c r="SK43" s="1" t="s">
        <v>445</v>
      </c>
      <c r="SL43" s="1" t="s">
        <v>486</v>
      </c>
    </row>
    <row r="44" spans="1:506" ht="32" x14ac:dyDescent="0.2">
      <c r="A44" s="1" t="s">
        <v>943</v>
      </c>
      <c r="B44" s="1">
        <v>9</v>
      </c>
      <c r="C44" s="1">
        <v>5</v>
      </c>
      <c r="D44" s="3">
        <v>46077.805972222224</v>
      </c>
      <c r="E44" s="1">
        <v>5237747</v>
      </c>
      <c r="F44" s="1" t="s">
        <v>428</v>
      </c>
      <c r="H44" s="1" t="s">
        <v>944</v>
      </c>
      <c r="J44" s="1" t="s">
        <v>945</v>
      </c>
      <c r="L44" s="1" t="s">
        <v>946</v>
      </c>
      <c r="M44" s="1" t="s">
        <v>946</v>
      </c>
      <c r="N44" s="1" t="s">
        <v>640</v>
      </c>
      <c r="O44" s="1" t="s">
        <v>438</v>
      </c>
      <c r="R44" s="1" t="s">
        <v>945</v>
      </c>
      <c r="S44" s="1" t="s">
        <v>641</v>
      </c>
      <c r="AB44" s="3">
        <v>46078.401261574072</v>
      </c>
      <c r="AC44" s="3">
        <v>46077.927986111114</v>
      </c>
      <c r="AE44" s="1" t="s">
        <v>947</v>
      </c>
      <c r="BB44" s="1" t="s">
        <v>948</v>
      </c>
      <c r="CO44" s="1" t="s">
        <v>435</v>
      </c>
      <c r="CQ44" s="1" t="s">
        <v>432</v>
      </c>
      <c r="CR44" s="1" t="s">
        <v>523</v>
      </c>
      <c r="CS44" s="1" t="s">
        <v>523</v>
      </c>
      <c r="CT44" s="3">
        <v>46077.806180555555</v>
      </c>
      <c r="CU44" s="1" t="s">
        <v>436</v>
      </c>
      <c r="CV44" s="1" t="s">
        <v>512</v>
      </c>
      <c r="CY44" s="1" t="s">
        <v>438</v>
      </c>
      <c r="DP44" s="1" t="s">
        <v>949</v>
      </c>
      <c r="DU44" s="1" t="s">
        <v>950</v>
      </c>
      <c r="GZ44" s="1" t="s">
        <v>949</v>
      </c>
      <c r="HA44" s="1" t="s">
        <v>950</v>
      </c>
      <c r="NM44" s="1" t="s">
        <v>441</v>
      </c>
      <c r="NN44" s="1">
        <v>3</v>
      </c>
      <c r="NS44" s="1">
        <v>4</v>
      </c>
      <c r="NT44" s="1">
        <v>4</v>
      </c>
      <c r="OA44" s="1">
        <v>4</v>
      </c>
      <c r="OB44" s="1">
        <v>3</v>
      </c>
      <c r="OC44" s="1">
        <v>3</v>
      </c>
      <c r="OD44" s="1">
        <v>3</v>
      </c>
      <c r="SB44" s="1" t="s">
        <v>951</v>
      </c>
      <c r="SC44" s="1" t="s">
        <v>952</v>
      </c>
      <c r="SF44" s="1" t="s">
        <v>953</v>
      </c>
      <c r="SG44" s="1" t="s">
        <v>954</v>
      </c>
      <c r="SH44" s="1" t="s">
        <v>438</v>
      </c>
      <c r="SI44" s="1" t="s">
        <v>432</v>
      </c>
      <c r="SK44" s="1" t="s">
        <v>955</v>
      </c>
      <c r="SL44" s="1" t="s">
        <v>787</v>
      </c>
    </row>
    <row r="45" spans="1:506" ht="48" x14ac:dyDescent="0.2">
      <c r="A45" s="1" t="s">
        <v>956</v>
      </c>
      <c r="B45" s="1">
        <v>10</v>
      </c>
      <c r="C45" s="1">
        <v>5</v>
      </c>
      <c r="D45" s="3">
        <v>46077.63721064815</v>
      </c>
      <c r="E45" s="1">
        <v>5237374</v>
      </c>
      <c r="F45" s="1" t="s">
        <v>428</v>
      </c>
      <c r="H45" s="1" t="s">
        <v>957</v>
      </c>
      <c r="J45" s="1" t="s">
        <v>958</v>
      </c>
      <c r="L45" s="1" t="s">
        <v>959</v>
      </c>
      <c r="O45" s="1" t="s">
        <v>432</v>
      </c>
      <c r="R45" s="1" t="s">
        <v>958</v>
      </c>
      <c r="AB45" s="3">
        <v>46078.387013888889</v>
      </c>
      <c r="AC45" s="3">
        <v>46076.533807870372</v>
      </c>
      <c r="AE45" s="1" t="s">
        <v>960</v>
      </c>
      <c r="BB45" s="1" t="s">
        <v>961</v>
      </c>
      <c r="CO45" s="1" t="s">
        <v>435</v>
      </c>
      <c r="CQ45" s="1" t="s">
        <v>432</v>
      </c>
      <c r="CR45" s="1" t="s">
        <v>549</v>
      </c>
      <c r="CS45" s="1" t="s">
        <v>549</v>
      </c>
      <c r="CT45" s="3">
        <v>46077.637256944443</v>
      </c>
      <c r="CU45" s="1" t="s">
        <v>436</v>
      </c>
      <c r="CV45" s="1" t="s">
        <v>512</v>
      </c>
      <c r="CY45" s="1" t="s">
        <v>438</v>
      </c>
      <c r="DP45" s="1" t="s">
        <v>962</v>
      </c>
      <c r="DU45" s="1" t="s">
        <v>963</v>
      </c>
      <c r="GZ45" s="1" t="s">
        <v>962</v>
      </c>
      <c r="HA45" s="1" t="s">
        <v>963</v>
      </c>
      <c r="NM45" s="1" t="s">
        <v>441</v>
      </c>
      <c r="NN45" s="1">
        <v>5</v>
      </c>
      <c r="NS45" s="1">
        <v>5</v>
      </c>
      <c r="NT45" s="1">
        <v>5</v>
      </c>
      <c r="OA45" s="1">
        <v>5</v>
      </c>
      <c r="OB45" s="1">
        <v>5</v>
      </c>
      <c r="OC45" s="1">
        <v>5</v>
      </c>
      <c r="OD45" s="1">
        <v>4</v>
      </c>
      <c r="SB45" s="1" t="s">
        <v>964</v>
      </c>
      <c r="SC45" s="1" t="s">
        <v>965</v>
      </c>
      <c r="SF45" s="1" t="s">
        <v>966</v>
      </c>
      <c r="SG45" s="1" t="s">
        <v>967</v>
      </c>
      <c r="SH45" s="1" t="s">
        <v>438</v>
      </c>
      <c r="SI45" s="1" t="s">
        <v>432</v>
      </c>
      <c r="SK45" s="1" t="s">
        <v>568</v>
      </c>
    </row>
    <row r="46" spans="1:506" ht="32" x14ac:dyDescent="0.2">
      <c r="A46" s="1" t="s">
        <v>968</v>
      </c>
      <c r="B46" s="1">
        <v>10</v>
      </c>
      <c r="C46" s="1">
        <v>5</v>
      </c>
      <c r="D46" s="3">
        <v>46077.575497685182</v>
      </c>
      <c r="E46" s="1">
        <v>5237191</v>
      </c>
      <c r="F46" s="1" t="s">
        <v>428</v>
      </c>
      <c r="H46" s="1" t="s">
        <v>969</v>
      </c>
      <c r="J46" s="1" t="s">
        <v>970</v>
      </c>
      <c r="L46" s="1" t="s">
        <v>971</v>
      </c>
      <c r="M46" s="1" t="s">
        <v>971</v>
      </c>
      <c r="N46" s="1" t="s">
        <v>972</v>
      </c>
      <c r="O46" s="1" t="s">
        <v>438</v>
      </c>
      <c r="R46" s="1" t="s">
        <v>970</v>
      </c>
      <c r="S46" s="1" t="s">
        <v>973</v>
      </c>
      <c r="AB46" s="3">
        <v>46078.362326388888</v>
      </c>
      <c r="AC46" s="3">
        <v>46077.552708333336</v>
      </c>
      <c r="AE46" s="1" t="s">
        <v>974</v>
      </c>
      <c r="BB46" s="1" t="s">
        <v>975</v>
      </c>
      <c r="CO46" s="1" t="s">
        <v>435</v>
      </c>
      <c r="CQ46" s="1" t="s">
        <v>432</v>
      </c>
      <c r="CR46" s="1" t="s">
        <v>852</v>
      </c>
      <c r="CS46" s="1" t="s">
        <v>852</v>
      </c>
      <c r="CT46" s="3">
        <v>46077.575648148151</v>
      </c>
      <c r="CU46" s="1" t="s">
        <v>436</v>
      </c>
      <c r="CV46" s="1" t="s">
        <v>512</v>
      </c>
      <c r="CY46" s="1" t="s">
        <v>438</v>
      </c>
      <c r="DP46" s="1" t="s">
        <v>976</v>
      </c>
      <c r="GZ46" s="1" t="s">
        <v>976</v>
      </c>
      <c r="NM46" s="1" t="s">
        <v>441</v>
      </c>
      <c r="NN46" s="1">
        <v>4</v>
      </c>
      <c r="NS46" s="1">
        <v>4</v>
      </c>
      <c r="NT46" s="1">
        <v>4</v>
      </c>
      <c r="OA46" s="1">
        <v>5</v>
      </c>
      <c r="OB46" s="1">
        <v>5</v>
      </c>
      <c r="OC46" s="1">
        <v>5</v>
      </c>
      <c r="OD46" s="1">
        <v>5</v>
      </c>
      <c r="SC46" s="1" t="s">
        <v>443</v>
      </c>
      <c r="SG46" s="1" t="s">
        <v>444</v>
      </c>
      <c r="SH46" s="1" t="s">
        <v>438</v>
      </c>
      <c r="SI46" s="1" t="s">
        <v>432</v>
      </c>
      <c r="SK46" s="1" t="s">
        <v>445</v>
      </c>
    </row>
    <row r="47" spans="1:506" ht="48" x14ac:dyDescent="0.2">
      <c r="A47" s="1" t="s">
        <v>977</v>
      </c>
      <c r="B47" s="1">
        <v>10</v>
      </c>
      <c r="C47" s="1">
        <v>5</v>
      </c>
      <c r="D47" s="3">
        <v>46077.507476851853</v>
      </c>
      <c r="E47" s="1">
        <v>5236936</v>
      </c>
      <c r="F47" s="1" t="s">
        <v>428</v>
      </c>
      <c r="H47" s="1" t="s">
        <v>978</v>
      </c>
      <c r="J47" s="1" t="s">
        <v>979</v>
      </c>
      <c r="L47" s="1" t="s">
        <v>980</v>
      </c>
      <c r="N47" s="1" t="s">
        <v>981</v>
      </c>
      <c r="O47" s="1" t="s">
        <v>432</v>
      </c>
      <c r="R47" s="1" t="s">
        <v>979</v>
      </c>
      <c r="S47" s="1" t="s">
        <v>982</v>
      </c>
      <c r="AB47" s="3">
        <v>46077.584062499998</v>
      </c>
      <c r="AC47" s="3">
        <v>46077.550879629627</v>
      </c>
      <c r="AE47" s="1" t="s">
        <v>983</v>
      </c>
      <c r="BB47" s="1" t="s">
        <v>984</v>
      </c>
      <c r="CO47" s="1" t="s">
        <v>435</v>
      </c>
      <c r="CQ47" s="1" t="s">
        <v>432</v>
      </c>
      <c r="CR47" s="1" t="s">
        <v>561</v>
      </c>
      <c r="CS47" s="1" t="s">
        <v>561</v>
      </c>
      <c r="CT47" s="3">
        <v>46077.506909722222</v>
      </c>
      <c r="CU47" s="1" t="s">
        <v>436</v>
      </c>
      <c r="CV47" s="1" t="s">
        <v>512</v>
      </c>
      <c r="CY47" s="1" t="s">
        <v>438</v>
      </c>
      <c r="DP47" s="1" t="s">
        <v>985</v>
      </c>
      <c r="DU47" s="1" t="s">
        <v>986</v>
      </c>
      <c r="GZ47" s="1" t="s">
        <v>985</v>
      </c>
      <c r="HA47" s="1" t="s">
        <v>986</v>
      </c>
      <c r="NM47" s="1" t="s">
        <v>441</v>
      </c>
      <c r="NN47" s="1">
        <v>5</v>
      </c>
      <c r="NS47" s="1">
        <v>4</v>
      </c>
      <c r="NT47" s="1">
        <v>5</v>
      </c>
      <c r="OA47" s="1">
        <v>5</v>
      </c>
      <c r="OB47" s="1">
        <v>5</v>
      </c>
      <c r="OC47" s="1">
        <v>5</v>
      </c>
      <c r="OD47" s="1">
        <v>5</v>
      </c>
      <c r="SB47" s="1" t="s">
        <v>483</v>
      </c>
      <c r="SC47" s="1" t="s">
        <v>987</v>
      </c>
      <c r="SF47" s="1" t="s">
        <v>485</v>
      </c>
      <c r="SG47" s="1" t="s">
        <v>988</v>
      </c>
      <c r="SH47" s="1" t="s">
        <v>438</v>
      </c>
      <c r="SI47" s="1" t="s">
        <v>432</v>
      </c>
      <c r="SK47" s="1" t="s">
        <v>568</v>
      </c>
      <c r="SL47" s="1" t="s">
        <v>486</v>
      </c>
    </row>
    <row r="48" spans="1:506" ht="48" x14ac:dyDescent="0.2">
      <c r="A48" s="1" t="s">
        <v>989</v>
      </c>
      <c r="B48" s="1">
        <v>10</v>
      </c>
      <c r="C48" s="1">
        <v>4</v>
      </c>
      <c r="D48" s="3">
        <v>46077.480983796297</v>
      </c>
      <c r="E48" s="1">
        <v>5236823</v>
      </c>
      <c r="F48" s="1" t="s">
        <v>428</v>
      </c>
      <c r="H48" s="1" t="s">
        <v>990</v>
      </c>
      <c r="J48" s="1" t="s">
        <v>991</v>
      </c>
      <c r="L48" s="1" t="s">
        <v>992</v>
      </c>
      <c r="M48" s="1" t="s">
        <v>992</v>
      </c>
      <c r="N48" s="1" t="s">
        <v>993</v>
      </c>
      <c r="O48" s="1" t="s">
        <v>432</v>
      </c>
      <c r="R48" s="1" t="s">
        <v>991</v>
      </c>
      <c r="S48" s="1" t="s">
        <v>994</v>
      </c>
      <c r="AB48" s="3">
        <v>46077.587094907409</v>
      </c>
      <c r="AC48" s="3">
        <v>46077.551631944443</v>
      </c>
      <c r="AE48" s="1" t="s">
        <v>995</v>
      </c>
      <c r="BB48" s="1" t="s">
        <v>996</v>
      </c>
      <c r="CO48" s="1" t="s">
        <v>435</v>
      </c>
      <c r="CQ48" s="1" t="s">
        <v>432</v>
      </c>
      <c r="CR48" s="1" t="s">
        <v>561</v>
      </c>
      <c r="CS48" s="1" t="s">
        <v>561</v>
      </c>
      <c r="CT48" s="3">
        <v>46077.481134259258</v>
      </c>
      <c r="CU48" s="1" t="s">
        <v>436</v>
      </c>
      <c r="CV48" s="1" t="s">
        <v>512</v>
      </c>
      <c r="CY48" s="1" t="s">
        <v>438</v>
      </c>
      <c r="DP48" s="1" t="s">
        <v>997</v>
      </c>
      <c r="DU48" s="1" t="s">
        <v>998</v>
      </c>
      <c r="GZ48" s="1" t="s">
        <v>997</v>
      </c>
      <c r="HA48" s="1" t="s">
        <v>998</v>
      </c>
      <c r="NM48" s="1" t="s">
        <v>441</v>
      </c>
      <c r="NN48" s="1">
        <v>5</v>
      </c>
      <c r="NS48" s="1">
        <v>5</v>
      </c>
      <c r="NT48" s="1">
        <v>5</v>
      </c>
      <c r="OA48" s="1">
        <v>3</v>
      </c>
      <c r="OB48" s="1">
        <v>3</v>
      </c>
      <c r="OC48" s="1">
        <v>4</v>
      </c>
      <c r="OD48" s="1">
        <v>2</v>
      </c>
      <c r="SB48" s="1" t="s">
        <v>443</v>
      </c>
      <c r="SC48" s="1" t="s">
        <v>999</v>
      </c>
      <c r="SF48" s="1" t="s">
        <v>1000</v>
      </c>
      <c r="SG48" s="1" t="s">
        <v>1001</v>
      </c>
      <c r="SH48" s="1" t="s">
        <v>438</v>
      </c>
      <c r="SI48" s="1" t="s">
        <v>432</v>
      </c>
      <c r="SK48" s="1" t="s">
        <v>445</v>
      </c>
      <c r="SL48" s="1" t="s">
        <v>1002</v>
      </c>
    </row>
    <row r="49" spans="1:507" ht="64" x14ac:dyDescent="0.2">
      <c r="A49" s="1" t="s">
        <v>1003</v>
      </c>
      <c r="B49" s="1">
        <v>10</v>
      </c>
      <c r="C49" s="1">
        <v>5</v>
      </c>
      <c r="D49" s="3">
        <v>46077.451782407406</v>
      </c>
      <c r="E49" s="1">
        <v>5236657</v>
      </c>
      <c r="F49" s="1" t="s">
        <v>428</v>
      </c>
      <c r="H49" s="1" t="s">
        <v>1004</v>
      </c>
      <c r="J49" s="1" t="s">
        <v>1005</v>
      </c>
      <c r="L49" s="1" t="s">
        <v>1006</v>
      </c>
      <c r="M49" s="1" t="s">
        <v>1006</v>
      </c>
      <c r="N49" s="1" t="s">
        <v>1007</v>
      </c>
      <c r="O49" s="1" t="s">
        <v>438</v>
      </c>
      <c r="R49" s="1" t="s">
        <v>1005</v>
      </c>
      <c r="S49" s="1" t="s">
        <v>1008</v>
      </c>
      <c r="AB49" s="3">
        <v>46077.655821759261</v>
      </c>
      <c r="AC49" s="3">
        <v>46077.551122685189</v>
      </c>
      <c r="AE49" s="1" t="s">
        <v>1009</v>
      </c>
      <c r="BB49" s="1" t="s">
        <v>1010</v>
      </c>
      <c r="CO49" s="1" t="s">
        <v>435</v>
      </c>
      <c r="CQ49" s="1" t="s">
        <v>432</v>
      </c>
      <c r="CR49" s="1" t="s">
        <v>561</v>
      </c>
      <c r="CS49" s="1" t="s">
        <v>561</v>
      </c>
      <c r="CT49" s="3">
        <v>46077.451921296299</v>
      </c>
      <c r="CU49" s="1" t="s">
        <v>436</v>
      </c>
      <c r="CV49" s="1" t="s">
        <v>512</v>
      </c>
      <c r="CY49" s="1" t="s">
        <v>438</v>
      </c>
      <c r="DP49" s="1" t="s">
        <v>1011</v>
      </c>
      <c r="DU49" s="1" t="s">
        <v>874</v>
      </c>
      <c r="GZ49" s="1" t="s">
        <v>1011</v>
      </c>
      <c r="HA49" s="1" t="s">
        <v>874</v>
      </c>
      <c r="NM49" s="1" t="s">
        <v>441</v>
      </c>
      <c r="NN49" s="1">
        <v>5</v>
      </c>
      <c r="NS49" s="1">
        <v>5</v>
      </c>
      <c r="NT49" s="1">
        <v>5</v>
      </c>
      <c r="OA49" s="1">
        <v>5</v>
      </c>
      <c r="OB49" s="1">
        <v>5</v>
      </c>
      <c r="OC49" s="1">
        <v>5</v>
      </c>
      <c r="OD49" s="1">
        <v>5</v>
      </c>
      <c r="SB49" s="1" t="s">
        <v>1012</v>
      </c>
      <c r="SC49" s="1" t="s">
        <v>1013</v>
      </c>
      <c r="SF49" s="1" t="s">
        <v>1014</v>
      </c>
      <c r="SG49" s="1" t="s">
        <v>1015</v>
      </c>
      <c r="SH49" s="1" t="s">
        <v>438</v>
      </c>
      <c r="SI49" s="1" t="s">
        <v>432</v>
      </c>
      <c r="SK49" s="1" t="s">
        <v>486</v>
      </c>
      <c r="SL49" s="1" t="s">
        <v>672</v>
      </c>
    </row>
    <row r="50" spans="1:507" ht="32" x14ac:dyDescent="0.2">
      <c r="A50" s="1" t="s">
        <v>1016</v>
      </c>
      <c r="B50" s="1">
        <v>10</v>
      </c>
      <c r="C50" s="1">
        <v>5</v>
      </c>
      <c r="D50" s="3">
        <v>46077.449050925927</v>
      </c>
      <c r="E50" s="1">
        <v>5236642</v>
      </c>
      <c r="F50" s="1" t="s">
        <v>428</v>
      </c>
      <c r="H50" s="1" t="s">
        <v>1017</v>
      </c>
      <c r="J50" s="1" t="s">
        <v>1018</v>
      </c>
      <c r="L50" s="1" t="s">
        <v>1019</v>
      </c>
      <c r="M50" s="1" t="s">
        <v>1020</v>
      </c>
      <c r="N50" s="1" t="s">
        <v>1021</v>
      </c>
      <c r="O50" s="1" t="s">
        <v>432</v>
      </c>
      <c r="R50" s="1" t="s">
        <v>1018</v>
      </c>
      <c r="S50" s="1" t="s">
        <v>1022</v>
      </c>
      <c r="AB50" s="3">
        <v>46077.657453703701</v>
      </c>
      <c r="AC50" s="3">
        <v>46077.552395833336</v>
      </c>
      <c r="AE50" s="1" t="s">
        <v>1023</v>
      </c>
      <c r="BB50" s="1" t="s">
        <v>1024</v>
      </c>
      <c r="CO50" s="1" t="s">
        <v>435</v>
      </c>
      <c r="CQ50" s="1" t="s">
        <v>432</v>
      </c>
      <c r="CR50" s="1" t="s">
        <v>561</v>
      </c>
      <c r="CS50" s="1" t="s">
        <v>561</v>
      </c>
      <c r="CT50" s="3">
        <v>46077.449525462966</v>
      </c>
      <c r="CU50" s="1" t="s">
        <v>436</v>
      </c>
      <c r="CV50" s="1" t="s">
        <v>512</v>
      </c>
      <c r="CY50" s="1" t="s">
        <v>438</v>
      </c>
      <c r="DP50" s="1" t="s">
        <v>1025</v>
      </c>
      <c r="DU50" s="1" t="s">
        <v>874</v>
      </c>
      <c r="GZ50" s="1" t="s">
        <v>1025</v>
      </c>
      <c r="HA50" s="1" t="s">
        <v>874</v>
      </c>
      <c r="NM50" s="1" t="s">
        <v>441</v>
      </c>
      <c r="NN50" s="1">
        <v>5</v>
      </c>
      <c r="NS50" s="1">
        <v>5</v>
      </c>
      <c r="NT50" s="1">
        <v>5</v>
      </c>
      <c r="OA50" s="1">
        <v>5</v>
      </c>
      <c r="OB50" s="1">
        <v>5</v>
      </c>
      <c r="OC50" s="1">
        <v>5</v>
      </c>
      <c r="OD50" s="1">
        <v>5</v>
      </c>
      <c r="SC50" s="1" t="s">
        <v>443</v>
      </c>
      <c r="SG50" s="1" t="s">
        <v>444</v>
      </c>
      <c r="SH50" s="1" t="s">
        <v>438</v>
      </c>
      <c r="SI50" s="1" t="s">
        <v>432</v>
      </c>
      <c r="SK50" s="1" t="s">
        <v>445</v>
      </c>
    </row>
    <row r="51" spans="1:507" ht="32" x14ac:dyDescent="0.2">
      <c r="A51" s="1" t="s">
        <v>1026</v>
      </c>
      <c r="B51" s="1">
        <v>10</v>
      </c>
      <c r="C51" s="1">
        <v>5</v>
      </c>
      <c r="D51" s="3">
        <v>46077.440312500003</v>
      </c>
      <c r="E51" s="1">
        <v>5236587</v>
      </c>
      <c r="F51" s="1" t="s">
        <v>428</v>
      </c>
      <c r="H51" s="1" t="s">
        <v>1027</v>
      </c>
      <c r="J51" s="1" t="s">
        <v>1028</v>
      </c>
      <c r="L51" s="1" t="s">
        <v>1029</v>
      </c>
      <c r="M51" s="1" t="s">
        <v>1029</v>
      </c>
      <c r="N51" s="1" t="s">
        <v>1030</v>
      </c>
      <c r="O51" s="1" t="s">
        <v>432</v>
      </c>
      <c r="R51" s="1" t="s">
        <v>1028</v>
      </c>
      <c r="S51" s="1" t="s">
        <v>1031</v>
      </c>
      <c r="AB51" s="3">
        <v>46077.658414351848</v>
      </c>
      <c r="AC51" s="3">
        <v>46077.552893518521</v>
      </c>
      <c r="AE51" s="1" t="s">
        <v>1032</v>
      </c>
      <c r="BB51" s="1" t="s">
        <v>1033</v>
      </c>
      <c r="CO51" s="1" t="s">
        <v>435</v>
      </c>
      <c r="CQ51" s="1" t="s">
        <v>432</v>
      </c>
      <c r="CR51" s="1" t="s">
        <v>561</v>
      </c>
      <c r="CS51" s="1" t="s">
        <v>561</v>
      </c>
      <c r="CT51" s="3">
        <v>46077.441400462965</v>
      </c>
      <c r="CU51" s="1" t="s">
        <v>436</v>
      </c>
      <c r="CV51" s="1" t="s">
        <v>512</v>
      </c>
      <c r="CY51" s="1" t="s">
        <v>438</v>
      </c>
      <c r="DP51" s="1" t="s">
        <v>1034</v>
      </c>
      <c r="GZ51" s="1" t="s">
        <v>1034</v>
      </c>
      <c r="NM51" s="1" t="s">
        <v>441</v>
      </c>
      <c r="NN51" s="1">
        <v>5</v>
      </c>
      <c r="NS51" s="1">
        <v>5</v>
      </c>
      <c r="NT51" s="1">
        <v>5</v>
      </c>
      <c r="OA51" s="1">
        <v>5</v>
      </c>
      <c r="OB51" s="1">
        <v>5</v>
      </c>
      <c r="OC51" s="1">
        <v>5</v>
      </c>
      <c r="OD51" s="1">
        <v>5</v>
      </c>
      <c r="SC51" s="1" t="s">
        <v>1035</v>
      </c>
      <c r="SG51" s="1" t="s">
        <v>1036</v>
      </c>
      <c r="SH51" s="1" t="s">
        <v>438</v>
      </c>
      <c r="SI51" s="1" t="s">
        <v>432</v>
      </c>
      <c r="SK51" s="1" t="s">
        <v>832</v>
      </c>
    </row>
    <row r="52" spans="1:507" ht="32" x14ac:dyDescent="0.2">
      <c r="A52" s="1" t="s">
        <v>1037</v>
      </c>
      <c r="B52" s="1">
        <v>10</v>
      </c>
      <c r="C52" s="1">
        <v>5</v>
      </c>
      <c r="D52" s="3">
        <v>46077.435358796298</v>
      </c>
      <c r="E52" s="1">
        <v>5236553</v>
      </c>
      <c r="F52" s="1" t="s">
        <v>428</v>
      </c>
      <c r="H52" s="1" t="s">
        <v>1038</v>
      </c>
      <c r="J52" s="1" t="s">
        <v>1039</v>
      </c>
      <c r="L52" s="1" t="s">
        <v>1040</v>
      </c>
      <c r="M52" s="1" t="s">
        <v>1040</v>
      </c>
      <c r="N52" s="1" t="s">
        <v>1041</v>
      </c>
      <c r="O52" s="1" t="s">
        <v>438</v>
      </c>
      <c r="R52" s="1" t="s">
        <v>1039</v>
      </c>
      <c r="S52" s="1" t="s">
        <v>1042</v>
      </c>
      <c r="AB52" s="3">
        <v>46077.658506944441</v>
      </c>
      <c r="AC52" s="3">
        <v>46077.551192129627</v>
      </c>
      <c r="AE52" s="1" t="s">
        <v>1043</v>
      </c>
      <c r="BB52" s="1" t="s">
        <v>1044</v>
      </c>
      <c r="CO52" s="1" t="s">
        <v>435</v>
      </c>
      <c r="CQ52" s="1" t="s">
        <v>432</v>
      </c>
      <c r="CR52" s="1" t="s">
        <v>561</v>
      </c>
      <c r="CS52" s="1" t="s">
        <v>561</v>
      </c>
      <c r="CT52" s="3">
        <v>46077.435810185183</v>
      </c>
      <c r="CU52" s="1" t="s">
        <v>436</v>
      </c>
      <c r="CV52" s="1" t="s">
        <v>512</v>
      </c>
      <c r="CY52" s="1" t="s">
        <v>438</v>
      </c>
      <c r="DP52" s="1" t="s">
        <v>1045</v>
      </c>
      <c r="DU52" s="1" t="s">
        <v>1046</v>
      </c>
      <c r="GZ52" s="1" t="s">
        <v>1045</v>
      </c>
      <c r="HA52" s="1" t="s">
        <v>1046</v>
      </c>
      <c r="NM52" s="1" t="s">
        <v>441</v>
      </c>
      <c r="NN52" s="1">
        <v>3</v>
      </c>
      <c r="NS52" s="1">
        <v>5</v>
      </c>
      <c r="NT52" s="1">
        <v>5</v>
      </c>
      <c r="OA52" s="1">
        <v>5</v>
      </c>
      <c r="OB52" s="1">
        <v>5</v>
      </c>
      <c r="OC52" s="1">
        <v>5</v>
      </c>
      <c r="OD52" s="1">
        <v>3</v>
      </c>
      <c r="SB52" s="1" t="s">
        <v>951</v>
      </c>
      <c r="SC52" s="1" t="s">
        <v>951</v>
      </c>
      <c r="SF52" s="1" t="s">
        <v>953</v>
      </c>
      <c r="SG52" s="1" t="s">
        <v>953</v>
      </c>
      <c r="SH52" s="1" t="s">
        <v>432</v>
      </c>
      <c r="SI52" s="1" t="s">
        <v>432</v>
      </c>
      <c r="SK52" s="1" t="s">
        <v>1047</v>
      </c>
    </row>
    <row r="53" spans="1:507" ht="112" x14ac:dyDescent="0.2">
      <c r="A53" s="1" t="s">
        <v>1048</v>
      </c>
      <c r="B53" s="1">
        <v>7</v>
      </c>
      <c r="C53" s="1">
        <v>4</v>
      </c>
      <c r="D53" s="3">
        <v>46077.429108796299</v>
      </c>
      <c r="E53" s="1">
        <v>5236494</v>
      </c>
      <c r="F53" s="1" t="s">
        <v>428</v>
      </c>
      <c r="H53" s="1" t="s">
        <v>1049</v>
      </c>
      <c r="J53" s="1" t="s">
        <v>1050</v>
      </c>
      <c r="L53" s="1" t="s">
        <v>1051</v>
      </c>
      <c r="M53" s="1" t="s">
        <v>1051</v>
      </c>
      <c r="N53" s="1" t="s">
        <v>1052</v>
      </c>
      <c r="O53" s="1" t="s">
        <v>432</v>
      </c>
      <c r="R53" s="1" t="s">
        <v>1050</v>
      </c>
      <c r="S53" s="1" t="s">
        <v>1053</v>
      </c>
      <c r="AB53" s="3">
        <v>46083.522002314814</v>
      </c>
      <c r="AC53" s="3">
        <v>46077.550775462965</v>
      </c>
      <c r="AE53" s="1" t="s">
        <v>1054</v>
      </c>
      <c r="BB53" s="1" t="s">
        <v>1055</v>
      </c>
      <c r="CO53" s="1" t="s">
        <v>435</v>
      </c>
      <c r="CQ53" s="1" t="s">
        <v>432</v>
      </c>
      <c r="CR53" s="1" t="s">
        <v>1056</v>
      </c>
      <c r="CS53" s="1" t="s">
        <v>729</v>
      </c>
      <c r="CT53" s="3">
        <v>46077.428460648145</v>
      </c>
      <c r="CU53" s="1" t="s">
        <v>524</v>
      </c>
      <c r="CV53" s="1" t="s">
        <v>512</v>
      </c>
      <c r="CW53" s="3">
        <v>46083.521956018521</v>
      </c>
      <c r="CX53" s="1" t="s">
        <v>1057</v>
      </c>
      <c r="CY53" s="1" t="s">
        <v>438</v>
      </c>
      <c r="DU53" s="1" t="s">
        <v>1058</v>
      </c>
      <c r="HA53" s="1" t="s">
        <v>1058</v>
      </c>
      <c r="NM53" s="1" t="s">
        <v>441</v>
      </c>
      <c r="NN53" s="1">
        <v>4</v>
      </c>
      <c r="NS53" s="1">
        <v>5</v>
      </c>
      <c r="NT53" s="1">
        <v>5</v>
      </c>
      <c r="OA53" s="1">
        <v>4</v>
      </c>
      <c r="OB53" s="1">
        <v>1</v>
      </c>
      <c r="OC53" s="1">
        <v>4</v>
      </c>
      <c r="OD53" s="1">
        <v>5</v>
      </c>
      <c r="SB53" s="1" t="s">
        <v>646</v>
      </c>
      <c r="SC53" s="1" t="s">
        <v>646</v>
      </c>
      <c r="SF53" s="1" t="s">
        <v>1059</v>
      </c>
      <c r="SG53" s="1" t="s">
        <v>1059</v>
      </c>
      <c r="SH53" s="1" t="s">
        <v>432</v>
      </c>
      <c r="SI53" s="1" t="s">
        <v>432</v>
      </c>
      <c r="SK53" s="1" t="s">
        <v>1060</v>
      </c>
    </row>
    <row r="54" spans="1:507" ht="208" x14ac:dyDescent="0.2">
      <c r="A54" s="1" t="s">
        <v>1061</v>
      </c>
      <c r="B54" s="1">
        <v>10</v>
      </c>
      <c r="C54" s="1">
        <v>5</v>
      </c>
      <c r="D54" s="3">
        <v>46077.028287037036</v>
      </c>
      <c r="E54" s="1">
        <v>5235820</v>
      </c>
      <c r="F54" s="1" t="s">
        <v>428</v>
      </c>
      <c r="H54" s="1" t="s">
        <v>1062</v>
      </c>
      <c r="J54" s="1" t="s">
        <v>1063</v>
      </c>
      <c r="L54" s="1" t="s">
        <v>1064</v>
      </c>
      <c r="M54" s="1" t="s">
        <v>1064</v>
      </c>
      <c r="N54" s="1" t="s">
        <v>1065</v>
      </c>
      <c r="O54" s="1" t="s">
        <v>438</v>
      </c>
      <c r="R54" s="1" t="s">
        <v>1063</v>
      </c>
      <c r="S54" s="1" t="s">
        <v>1066</v>
      </c>
      <c r="AB54" s="3">
        <v>46077.382303240738</v>
      </c>
      <c r="AC54" s="3">
        <v>46076.534641203703</v>
      </c>
      <c r="AE54" s="1" t="s">
        <v>1067</v>
      </c>
      <c r="BB54" s="1" t="s">
        <v>1068</v>
      </c>
      <c r="CO54" s="1" t="s">
        <v>435</v>
      </c>
      <c r="CQ54" s="1" t="s">
        <v>432</v>
      </c>
      <c r="CR54" s="1" t="s">
        <v>534</v>
      </c>
      <c r="CS54" s="1" t="s">
        <v>534</v>
      </c>
      <c r="CT54" s="3">
        <v>46077.024444444447</v>
      </c>
      <c r="CU54" s="1" t="s">
        <v>436</v>
      </c>
      <c r="CV54" s="1" t="s">
        <v>512</v>
      </c>
      <c r="CY54" s="1" t="s">
        <v>438</v>
      </c>
      <c r="DP54" s="1" t="s">
        <v>1069</v>
      </c>
      <c r="DU54" s="1" t="s">
        <v>1070</v>
      </c>
      <c r="GZ54" s="1" t="s">
        <v>1069</v>
      </c>
      <c r="HA54" s="1" t="s">
        <v>1070</v>
      </c>
      <c r="NM54" s="1" t="s">
        <v>441</v>
      </c>
      <c r="NN54" s="1">
        <v>5</v>
      </c>
      <c r="NS54" s="1" t="s">
        <v>442</v>
      </c>
      <c r="NT54" s="1">
        <v>5</v>
      </c>
      <c r="OA54" s="1">
        <v>4</v>
      </c>
      <c r="OB54" s="1">
        <v>4</v>
      </c>
      <c r="OC54" s="1">
        <v>5</v>
      </c>
      <c r="OD54" s="1">
        <v>4</v>
      </c>
      <c r="SB54" s="1" t="s">
        <v>443</v>
      </c>
      <c r="SC54" s="1" t="s">
        <v>917</v>
      </c>
      <c r="SF54" s="1" t="s">
        <v>1000</v>
      </c>
      <c r="SG54" s="1" t="s">
        <v>1071</v>
      </c>
      <c r="SH54" s="1" t="s">
        <v>438</v>
      </c>
      <c r="SI54" s="1" t="s">
        <v>432</v>
      </c>
      <c r="SK54" s="1" t="s">
        <v>928</v>
      </c>
      <c r="SL54" s="1" t="s">
        <v>1060</v>
      </c>
    </row>
    <row r="55" spans="1:507" ht="48" x14ac:dyDescent="0.2">
      <c r="A55" s="1" t="s">
        <v>1072</v>
      </c>
      <c r="B55" s="1">
        <v>10</v>
      </c>
      <c r="C55" s="1">
        <v>5</v>
      </c>
      <c r="D55" s="3">
        <v>46076.669050925928</v>
      </c>
      <c r="E55" s="1">
        <v>5235114</v>
      </c>
      <c r="F55" s="1" t="s">
        <v>428</v>
      </c>
      <c r="H55" s="1" t="s">
        <v>1073</v>
      </c>
      <c r="J55" s="1" t="s">
        <v>1074</v>
      </c>
      <c r="L55" s="1" t="s">
        <v>1075</v>
      </c>
      <c r="M55" s="1" t="s">
        <v>1075</v>
      </c>
      <c r="N55" s="1" t="s">
        <v>1076</v>
      </c>
      <c r="O55" s="1" t="s">
        <v>432</v>
      </c>
      <c r="R55" s="1" t="s">
        <v>1074</v>
      </c>
      <c r="S55" s="1" t="s">
        <v>1077</v>
      </c>
      <c r="AB55" s="3">
        <v>46077.332673611112</v>
      </c>
      <c r="AC55" s="3">
        <v>46073.596342592595</v>
      </c>
      <c r="AE55" s="1" t="s">
        <v>1078</v>
      </c>
      <c r="BB55" s="1" t="s">
        <v>1079</v>
      </c>
      <c r="CO55" s="1" t="s">
        <v>435</v>
      </c>
      <c r="CQ55" s="1" t="s">
        <v>432</v>
      </c>
      <c r="CR55" s="1" t="s">
        <v>852</v>
      </c>
      <c r="CS55" s="1" t="s">
        <v>852</v>
      </c>
      <c r="CT55" s="3">
        <v>46076.662557870368</v>
      </c>
      <c r="CU55" s="1" t="s">
        <v>436</v>
      </c>
      <c r="CV55" s="1" t="s">
        <v>512</v>
      </c>
      <c r="CY55" s="1" t="s">
        <v>438</v>
      </c>
      <c r="DP55" s="1" t="s">
        <v>1080</v>
      </c>
      <c r="DU55" s="1" t="s">
        <v>1081</v>
      </c>
      <c r="GZ55" s="1" t="s">
        <v>1080</v>
      </c>
      <c r="HA55" s="1" t="s">
        <v>1081</v>
      </c>
      <c r="NM55" s="1" t="s">
        <v>441</v>
      </c>
      <c r="NN55" s="1">
        <v>5</v>
      </c>
      <c r="NS55" s="1">
        <v>4</v>
      </c>
      <c r="NT55" s="1">
        <v>5</v>
      </c>
      <c r="OA55" s="1">
        <v>4</v>
      </c>
      <c r="OB55" s="1">
        <v>4</v>
      </c>
      <c r="OC55" s="1">
        <v>4</v>
      </c>
      <c r="OD55" s="1">
        <v>4</v>
      </c>
      <c r="SB55" s="1" t="s">
        <v>1082</v>
      </c>
      <c r="SC55" s="1" t="s">
        <v>1035</v>
      </c>
      <c r="SF55" s="1" t="s">
        <v>1083</v>
      </c>
      <c r="SG55" s="1" t="s">
        <v>1084</v>
      </c>
      <c r="SH55" s="1" t="s">
        <v>438</v>
      </c>
      <c r="SI55" s="1" t="s">
        <v>438</v>
      </c>
      <c r="SK55" s="1" t="s">
        <v>955</v>
      </c>
      <c r="SL55" s="1" t="s">
        <v>1085</v>
      </c>
    </row>
    <row r="56" spans="1:507" ht="64" x14ac:dyDescent="0.2">
      <c r="A56" s="1" t="s">
        <v>1086</v>
      </c>
      <c r="B56" s="1">
        <v>10</v>
      </c>
      <c r="C56" s="1">
        <v>5</v>
      </c>
      <c r="D56" s="3">
        <v>46076.455949074072</v>
      </c>
      <c r="E56" s="1">
        <v>5234434</v>
      </c>
      <c r="F56" s="1" t="s">
        <v>428</v>
      </c>
      <c r="H56" s="1" t="s">
        <v>1087</v>
      </c>
      <c r="J56" s="1" t="s">
        <v>1088</v>
      </c>
      <c r="L56" s="1" t="s">
        <v>1089</v>
      </c>
      <c r="M56" s="1" t="s">
        <v>1089</v>
      </c>
      <c r="N56" s="1" t="s">
        <v>1090</v>
      </c>
      <c r="O56" s="1" t="s">
        <v>432</v>
      </c>
      <c r="R56" s="1" t="s">
        <v>1088</v>
      </c>
      <c r="S56" s="1" t="s">
        <v>1091</v>
      </c>
      <c r="AB56" s="3">
        <v>46076.487141203703</v>
      </c>
      <c r="AC56" s="3">
        <v>46076.534733796296</v>
      </c>
      <c r="AE56" s="1" t="s">
        <v>1092</v>
      </c>
      <c r="BB56" s="1" t="s">
        <v>1093</v>
      </c>
      <c r="CO56" s="1" t="s">
        <v>435</v>
      </c>
      <c r="CQ56" s="1" t="s">
        <v>432</v>
      </c>
      <c r="CR56" s="1" t="s">
        <v>561</v>
      </c>
      <c r="CS56" s="1" t="s">
        <v>561</v>
      </c>
      <c r="CT56" s="3">
        <v>46076.454918981479</v>
      </c>
      <c r="CU56" s="1" t="s">
        <v>436</v>
      </c>
      <c r="CV56" s="1" t="s">
        <v>512</v>
      </c>
      <c r="CY56" s="1" t="s">
        <v>438</v>
      </c>
      <c r="DP56" s="1" t="s">
        <v>1094</v>
      </c>
      <c r="DU56" s="1" t="s">
        <v>1095</v>
      </c>
      <c r="GZ56" s="1" t="s">
        <v>1094</v>
      </c>
      <c r="HA56" s="1" t="s">
        <v>1095</v>
      </c>
      <c r="NM56" s="1" t="s">
        <v>441</v>
      </c>
      <c r="NN56" s="1">
        <v>4</v>
      </c>
      <c r="NS56" s="1" t="s">
        <v>442</v>
      </c>
      <c r="NT56" s="1">
        <v>5</v>
      </c>
      <c r="OA56" s="1">
        <v>4</v>
      </c>
      <c r="OB56" s="1">
        <v>5</v>
      </c>
      <c r="OC56" s="1">
        <v>5</v>
      </c>
      <c r="OD56" s="1">
        <v>5</v>
      </c>
      <c r="SC56" s="1" t="s">
        <v>443</v>
      </c>
      <c r="SG56" s="1" t="s">
        <v>865</v>
      </c>
      <c r="SH56" s="1" t="s">
        <v>438</v>
      </c>
      <c r="SI56" s="1" t="s">
        <v>432</v>
      </c>
      <c r="SK56" s="1" t="s">
        <v>568</v>
      </c>
      <c r="SL56" s="1" t="s">
        <v>486</v>
      </c>
    </row>
    <row r="57" spans="1:507" ht="32" x14ac:dyDescent="0.2">
      <c r="A57" s="1" t="s">
        <v>1096</v>
      </c>
      <c r="B57" s="1">
        <v>10</v>
      </c>
      <c r="C57" s="1">
        <v>5</v>
      </c>
      <c r="D57" s="3">
        <v>46074.823553240742</v>
      </c>
      <c r="E57" s="1">
        <v>5231963</v>
      </c>
      <c r="F57" s="1" t="s">
        <v>428</v>
      </c>
      <c r="H57" s="1" t="s">
        <v>1097</v>
      </c>
      <c r="J57" s="1" t="s">
        <v>1098</v>
      </c>
      <c r="L57" s="1" t="s">
        <v>1099</v>
      </c>
      <c r="N57" s="1" t="s">
        <v>1100</v>
      </c>
      <c r="O57" s="1" t="s">
        <v>432</v>
      </c>
      <c r="R57" s="1" t="s">
        <v>1098</v>
      </c>
      <c r="S57" s="1" t="s">
        <v>1101</v>
      </c>
      <c r="AB57" s="3">
        <v>46076.389745370368</v>
      </c>
      <c r="AC57" s="3">
        <v>46069.84847222222</v>
      </c>
      <c r="AE57" s="1" t="s">
        <v>1102</v>
      </c>
      <c r="BB57" s="1" t="s">
        <v>1103</v>
      </c>
      <c r="CO57" s="1" t="s">
        <v>435</v>
      </c>
      <c r="CQ57" s="1" t="s">
        <v>432</v>
      </c>
      <c r="CR57" s="1" t="s">
        <v>691</v>
      </c>
      <c r="CS57" s="1" t="s">
        <v>691</v>
      </c>
      <c r="CT57" s="3">
        <v>46074.823391203703</v>
      </c>
      <c r="CU57" s="1" t="s">
        <v>436</v>
      </c>
      <c r="CV57" s="1" t="s">
        <v>512</v>
      </c>
      <c r="CY57" s="1" t="s">
        <v>438</v>
      </c>
      <c r="DP57" s="1" t="s">
        <v>1104</v>
      </c>
      <c r="GZ57" s="1" t="s">
        <v>1104</v>
      </c>
      <c r="NM57" s="1" t="s">
        <v>441</v>
      </c>
      <c r="NN57" s="1">
        <v>4</v>
      </c>
      <c r="NS57" s="1">
        <v>5</v>
      </c>
      <c r="NT57" s="1">
        <v>5</v>
      </c>
      <c r="OA57" s="1">
        <v>5</v>
      </c>
      <c r="OB57" s="1">
        <v>5</v>
      </c>
      <c r="OC57" s="1">
        <v>5</v>
      </c>
      <c r="OD57" s="1">
        <v>5</v>
      </c>
      <c r="SC57" s="1" t="s">
        <v>443</v>
      </c>
      <c r="SG57" s="1" t="s">
        <v>444</v>
      </c>
      <c r="SH57" s="1" t="s">
        <v>438</v>
      </c>
      <c r="SI57" s="1" t="s">
        <v>432</v>
      </c>
      <c r="SK57" s="1" t="s">
        <v>832</v>
      </c>
    </row>
    <row r="58" spans="1:507" ht="32" x14ac:dyDescent="0.2">
      <c r="A58" s="1" t="s">
        <v>1105</v>
      </c>
      <c r="B58" s="1">
        <v>10</v>
      </c>
      <c r="C58" s="1">
        <v>2</v>
      </c>
      <c r="D58" s="3">
        <v>46074.79959490741</v>
      </c>
      <c r="E58" s="1">
        <v>5231934</v>
      </c>
      <c r="F58" s="1" t="s">
        <v>428</v>
      </c>
      <c r="H58" s="1" t="s">
        <v>1106</v>
      </c>
      <c r="J58" s="1" t="s">
        <v>1107</v>
      </c>
      <c r="L58" s="1" t="s">
        <v>1108</v>
      </c>
      <c r="N58" s="1" t="s">
        <v>1041</v>
      </c>
      <c r="O58" s="1" t="s">
        <v>432</v>
      </c>
      <c r="R58" s="1" t="s">
        <v>1107</v>
      </c>
      <c r="S58" s="1" t="s">
        <v>1042</v>
      </c>
      <c r="AB58" s="3">
        <v>46076.68072916667</v>
      </c>
      <c r="AC58" s="3">
        <v>46072.534861111111</v>
      </c>
      <c r="AE58" s="1" t="s">
        <v>1109</v>
      </c>
      <c r="BB58" s="1" t="s">
        <v>1110</v>
      </c>
      <c r="CO58" s="1" t="s">
        <v>435</v>
      </c>
      <c r="CQ58" s="1" t="s">
        <v>432</v>
      </c>
      <c r="CR58" s="1" t="s">
        <v>1111</v>
      </c>
      <c r="CS58" s="1" t="s">
        <v>729</v>
      </c>
      <c r="CT58" s="3">
        <v>46074.795902777776</v>
      </c>
      <c r="CU58" s="1" t="s">
        <v>436</v>
      </c>
      <c r="CV58" s="1" t="s">
        <v>512</v>
      </c>
      <c r="CW58" s="3">
        <v>46076.680555555555</v>
      </c>
      <c r="CX58" s="1" t="s">
        <v>1057</v>
      </c>
      <c r="CY58" s="1" t="s">
        <v>438</v>
      </c>
      <c r="DP58" s="1" t="s">
        <v>1112</v>
      </c>
      <c r="DU58" s="1" t="s">
        <v>1113</v>
      </c>
      <c r="GZ58" s="1" t="s">
        <v>1112</v>
      </c>
      <c r="HA58" s="1" t="s">
        <v>1113</v>
      </c>
      <c r="NM58" s="1" t="s">
        <v>441</v>
      </c>
      <c r="NN58" s="1">
        <v>1</v>
      </c>
      <c r="NS58" s="1">
        <v>2</v>
      </c>
      <c r="NT58" s="1">
        <v>4</v>
      </c>
      <c r="OA58" s="1">
        <v>2</v>
      </c>
      <c r="OB58" s="1">
        <v>2</v>
      </c>
      <c r="OC58" s="1">
        <v>2</v>
      </c>
      <c r="OD58" s="1" t="s">
        <v>442</v>
      </c>
      <c r="SC58" s="1" t="s">
        <v>1114</v>
      </c>
      <c r="SG58" s="1" t="s">
        <v>1115</v>
      </c>
      <c r="SH58" s="1" t="s">
        <v>438</v>
      </c>
      <c r="SI58" s="1" t="s">
        <v>438</v>
      </c>
      <c r="SK58" s="1" t="s">
        <v>540</v>
      </c>
    </row>
    <row r="59" spans="1:507" ht="64" x14ac:dyDescent="0.2">
      <c r="A59" s="1" t="s">
        <v>1116</v>
      </c>
      <c r="B59" s="1">
        <v>10</v>
      </c>
      <c r="C59" s="1">
        <v>4</v>
      </c>
      <c r="D59" s="3">
        <v>46073.910914351851</v>
      </c>
      <c r="E59" s="1">
        <v>5231316</v>
      </c>
      <c r="F59" s="1" t="s">
        <v>428</v>
      </c>
      <c r="H59" s="1" t="s">
        <v>1117</v>
      </c>
      <c r="J59" s="1" t="s">
        <v>1118</v>
      </c>
      <c r="L59" s="1" t="s">
        <v>1119</v>
      </c>
      <c r="M59" s="1" t="s">
        <v>1119</v>
      </c>
      <c r="N59" s="1" t="s">
        <v>1120</v>
      </c>
      <c r="O59" s="1" t="s">
        <v>432</v>
      </c>
      <c r="R59" s="1" t="s">
        <v>1118</v>
      </c>
      <c r="S59" s="1" t="s">
        <v>1121</v>
      </c>
      <c r="AB59" s="3">
        <v>46076.368877314817</v>
      </c>
      <c r="AC59" s="3">
        <v>46071.892025462963</v>
      </c>
      <c r="AE59" s="1" t="s">
        <v>1122</v>
      </c>
      <c r="BB59" s="1" t="s">
        <v>1123</v>
      </c>
      <c r="CO59" s="1" t="s">
        <v>435</v>
      </c>
      <c r="CQ59" s="1" t="s">
        <v>432</v>
      </c>
      <c r="CR59" s="1" t="s">
        <v>852</v>
      </c>
      <c r="CS59" s="1" t="s">
        <v>852</v>
      </c>
      <c r="CT59" s="3">
        <v>46073.910069444442</v>
      </c>
      <c r="CU59" s="1" t="s">
        <v>436</v>
      </c>
      <c r="CV59" s="1" t="s">
        <v>512</v>
      </c>
      <c r="CY59" s="1" t="s">
        <v>438</v>
      </c>
      <c r="DP59" s="1" t="s">
        <v>1124</v>
      </c>
      <c r="DU59" s="1" t="s">
        <v>1125</v>
      </c>
      <c r="GZ59" s="1" t="s">
        <v>1124</v>
      </c>
      <c r="HA59" s="1" t="s">
        <v>1125</v>
      </c>
      <c r="NM59" s="1" t="s">
        <v>441</v>
      </c>
      <c r="NN59" s="1" t="s">
        <v>442</v>
      </c>
      <c r="NS59" s="1">
        <v>4</v>
      </c>
      <c r="NT59" s="1">
        <v>5</v>
      </c>
      <c r="OA59" s="1">
        <v>4</v>
      </c>
      <c r="OB59" s="1">
        <v>5</v>
      </c>
      <c r="OC59" s="1" t="s">
        <v>442</v>
      </c>
      <c r="OD59" s="1" t="s">
        <v>442</v>
      </c>
      <c r="SC59" s="1" t="s">
        <v>443</v>
      </c>
      <c r="SG59" s="1" t="s">
        <v>865</v>
      </c>
      <c r="SH59" s="1" t="s">
        <v>438</v>
      </c>
      <c r="SI59" s="1" t="s">
        <v>432</v>
      </c>
      <c r="SK59" s="1" t="s">
        <v>568</v>
      </c>
      <c r="SL59" s="1" t="s">
        <v>1126</v>
      </c>
      <c r="SM59" s="1" t="s">
        <v>866</v>
      </c>
    </row>
    <row r="60" spans="1:507" ht="32" x14ac:dyDescent="0.2">
      <c r="A60" s="1" t="s">
        <v>1127</v>
      </c>
      <c r="B60" s="1">
        <v>10</v>
      </c>
      <c r="C60" s="1">
        <v>5</v>
      </c>
      <c r="D60" s="3">
        <v>46073.73159722222</v>
      </c>
      <c r="E60" s="1">
        <v>5231084</v>
      </c>
      <c r="F60" s="1" t="s">
        <v>428</v>
      </c>
      <c r="H60" s="1" t="s">
        <v>1128</v>
      </c>
      <c r="J60" s="1" t="s">
        <v>1129</v>
      </c>
      <c r="L60" s="1" t="s">
        <v>1130</v>
      </c>
      <c r="N60" s="1" t="s">
        <v>1131</v>
      </c>
      <c r="O60" s="1" t="s">
        <v>432</v>
      </c>
      <c r="R60" s="1" t="s">
        <v>1129</v>
      </c>
      <c r="S60" s="1" t="s">
        <v>1132</v>
      </c>
      <c r="AB60" s="3">
        <v>46076.401331018518</v>
      </c>
      <c r="AC60" s="3">
        <v>46070.535520833335</v>
      </c>
      <c r="AE60" s="1" t="s">
        <v>1133</v>
      </c>
      <c r="BB60" s="1" t="s">
        <v>1134</v>
      </c>
      <c r="CO60" s="1" t="s">
        <v>435</v>
      </c>
      <c r="CQ60" s="1" t="s">
        <v>432</v>
      </c>
      <c r="CR60" s="1" t="s">
        <v>511</v>
      </c>
      <c r="CS60" s="1" t="s">
        <v>511</v>
      </c>
      <c r="CT60" s="3">
        <v>46073.732094907406</v>
      </c>
      <c r="CU60" s="1" t="s">
        <v>436</v>
      </c>
      <c r="CV60" s="1" t="s">
        <v>512</v>
      </c>
      <c r="CY60" s="1" t="s">
        <v>438</v>
      </c>
      <c r="DP60" s="1" t="s">
        <v>1135</v>
      </c>
      <c r="GZ60" s="1" t="s">
        <v>1135</v>
      </c>
      <c r="NM60" s="1" t="s">
        <v>441</v>
      </c>
      <c r="NN60" s="1">
        <v>4</v>
      </c>
      <c r="NS60" s="1">
        <v>5</v>
      </c>
      <c r="NT60" s="1">
        <v>5</v>
      </c>
      <c r="OA60" s="1">
        <v>5</v>
      </c>
      <c r="OB60" s="1">
        <v>5</v>
      </c>
      <c r="OC60" s="1">
        <v>5</v>
      </c>
      <c r="OD60" s="1">
        <v>5</v>
      </c>
      <c r="SB60" s="1" t="s">
        <v>745</v>
      </c>
      <c r="SC60" s="1" t="s">
        <v>443</v>
      </c>
      <c r="SF60" s="1" t="s">
        <v>747</v>
      </c>
      <c r="SG60" s="1" t="s">
        <v>444</v>
      </c>
      <c r="SH60" s="1" t="s">
        <v>438</v>
      </c>
      <c r="SI60" s="1" t="s">
        <v>432</v>
      </c>
      <c r="SK60" s="1" t="s">
        <v>832</v>
      </c>
    </row>
    <row r="61" spans="1:507" ht="32" x14ac:dyDescent="0.2">
      <c r="A61" s="1" t="s">
        <v>1136</v>
      </c>
      <c r="B61" s="1">
        <v>10</v>
      </c>
      <c r="C61" s="1">
        <v>5</v>
      </c>
      <c r="D61" s="3">
        <v>46073.718587962961</v>
      </c>
      <c r="E61" s="1">
        <v>5231060</v>
      </c>
      <c r="F61" s="1" t="s">
        <v>428</v>
      </c>
      <c r="H61" s="1" t="s">
        <v>1137</v>
      </c>
      <c r="J61" s="1" t="s">
        <v>1138</v>
      </c>
      <c r="L61" s="1" t="s">
        <v>1139</v>
      </c>
      <c r="N61" s="1" t="s">
        <v>1140</v>
      </c>
      <c r="O61" s="1" t="s">
        <v>432</v>
      </c>
      <c r="R61" s="1" t="s">
        <v>1138</v>
      </c>
      <c r="S61" s="1" t="s">
        <v>1141</v>
      </c>
      <c r="AB61" s="3">
        <v>46076.400405092594</v>
      </c>
      <c r="AC61" s="3">
        <v>46073.639351851853</v>
      </c>
      <c r="AE61" s="1" t="s">
        <v>1142</v>
      </c>
      <c r="BB61" s="1" t="s">
        <v>1143</v>
      </c>
      <c r="CO61" s="1" t="s">
        <v>435</v>
      </c>
      <c r="CQ61" s="1" t="s">
        <v>432</v>
      </c>
      <c r="CR61" s="1" t="s">
        <v>511</v>
      </c>
      <c r="CS61" s="1" t="s">
        <v>511</v>
      </c>
      <c r="CT61" s="3">
        <v>46073.718807870369</v>
      </c>
      <c r="CU61" s="1" t="s">
        <v>436</v>
      </c>
      <c r="CV61" s="1" t="s">
        <v>512</v>
      </c>
      <c r="CY61" s="1" t="s">
        <v>438</v>
      </c>
      <c r="DP61" s="1" t="s">
        <v>1144</v>
      </c>
      <c r="DU61" s="1" t="s">
        <v>1145</v>
      </c>
      <c r="GZ61" s="1" t="s">
        <v>1144</v>
      </c>
      <c r="HA61" s="1" t="s">
        <v>1145</v>
      </c>
      <c r="NM61" s="1" t="s">
        <v>441</v>
      </c>
      <c r="NN61" s="1">
        <v>5</v>
      </c>
      <c r="NS61" s="1">
        <v>5</v>
      </c>
      <c r="NT61" s="1">
        <v>5</v>
      </c>
      <c r="OA61" s="1">
        <v>5</v>
      </c>
      <c r="OB61" s="1">
        <v>5</v>
      </c>
      <c r="OC61" s="1">
        <v>5</v>
      </c>
      <c r="OD61" s="1">
        <v>5</v>
      </c>
      <c r="SC61" s="1" t="s">
        <v>443</v>
      </c>
      <c r="SG61" s="1" t="s">
        <v>865</v>
      </c>
      <c r="SH61" s="1" t="s">
        <v>438</v>
      </c>
      <c r="SI61" s="1" t="s">
        <v>438</v>
      </c>
      <c r="SK61" s="1" t="s">
        <v>445</v>
      </c>
    </row>
    <row r="62" spans="1:507" ht="32" x14ac:dyDescent="0.2">
      <c r="A62" s="1" t="s">
        <v>1146</v>
      </c>
      <c r="B62" s="1">
        <v>10</v>
      </c>
      <c r="C62" s="1">
        <v>5</v>
      </c>
      <c r="D62" s="3">
        <v>46073.707881944443</v>
      </c>
      <c r="E62" s="1">
        <v>5231038</v>
      </c>
      <c r="F62" s="1" t="s">
        <v>428</v>
      </c>
      <c r="H62" s="1" t="s">
        <v>1147</v>
      </c>
      <c r="J62" s="1" t="s">
        <v>1148</v>
      </c>
      <c r="L62" s="1" t="s">
        <v>1149</v>
      </c>
      <c r="M62" s="1" t="s">
        <v>1149</v>
      </c>
      <c r="N62" s="1" t="s">
        <v>1150</v>
      </c>
      <c r="O62" s="1" t="s">
        <v>432</v>
      </c>
      <c r="R62" s="1" t="s">
        <v>1148</v>
      </c>
      <c r="S62" s="1" t="s">
        <v>1151</v>
      </c>
      <c r="AB62" s="3">
        <v>46076.398333333331</v>
      </c>
      <c r="AC62" s="3">
        <v>46073.53361111111</v>
      </c>
      <c r="AE62" s="1" t="s">
        <v>1152</v>
      </c>
      <c r="BB62" s="1" t="s">
        <v>1153</v>
      </c>
      <c r="CO62" s="1" t="s">
        <v>435</v>
      </c>
      <c r="CQ62" s="1" t="s">
        <v>432</v>
      </c>
      <c r="CR62" s="1" t="s">
        <v>511</v>
      </c>
      <c r="CS62" s="1" t="s">
        <v>511</v>
      </c>
      <c r="CT62" s="3">
        <v>46073.707268518519</v>
      </c>
      <c r="CU62" s="1" t="s">
        <v>436</v>
      </c>
      <c r="CV62" s="1" t="s">
        <v>512</v>
      </c>
      <c r="CY62" s="1" t="s">
        <v>438</v>
      </c>
      <c r="DP62" s="1" t="s">
        <v>1154</v>
      </c>
      <c r="DU62" s="1" t="s">
        <v>682</v>
      </c>
      <c r="GZ62" s="1" t="s">
        <v>1154</v>
      </c>
      <c r="HA62" s="1" t="s">
        <v>682</v>
      </c>
      <c r="NM62" s="1" t="s">
        <v>441</v>
      </c>
      <c r="NN62" s="1">
        <v>4</v>
      </c>
      <c r="NS62" s="1">
        <v>5</v>
      </c>
      <c r="NT62" s="1">
        <v>5</v>
      </c>
      <c r="OA62" s="1">
        <v>5</v>
      </c>
      <c r="OB62" s="1">
        <v>5</v>
      </c>
      <c r="OC62" s="1">
        <v>5</v>
      </c>
      <c r="OD62" s="1">
        <v>5</v>
      </c>
      <c r="SB62" s="1" t="s">
        <v>443</v>
      </c>
      <c r="SC62" s="1" t="s">
        <v>443</v>
      </c>
      <c r="SF62" s="1" t="s">
        <v>444</v>
      </c>
      <c r="SG62" s="1" t="s">
        <v>444</v>
      </c>
      <c r="SH62" s="1" t="s">
        <v>432</v>
      </c>
      <c r="SI62" s="1" t="s">
        <v>432</v>
      </c>
      <c r="SK62" s="1" t="s">
        <v>445</v>
      </c>
    </row>
    <row r="63" spans="1:507" ht="32" x14ac:dyDescent="0.2">
      <c r="A63" s="1" t="s">
        <v>1155</v>
      </c>
      <c r="B63" s="1">
        <v>10</v>
      </c>
      <c r="C63" s="1">
        <v>5</v>
      </c>
      <c r="D63" s="3">
        <v>46073.692245370374</v>
      </c>
      <c r="E63" s="1">
        <v>5231000</v>
      </c>
      <c r="F63" s="1" t="s">
        <v>428</v>
      </c>
      <c r="H63" s="1" t="s">
        <v>1156</v>
      </c>
      <c r="J63" s="1" t="s">
        <v>1157</v>
      </c>
      <c r="L63" s="1" t="s">
        <v>1158</v>
      </c>
      <c r="M63" s="1" t="s">
        <v>1159</v>
      </c>
      <c r="N63" s="1" t="s">
        <v>1160</v>
      </c>
      <c r="O63" s="1" t="s">
        <v>432</v>
      </c>
      <c r="R63" s="1" t="s">
        <v>1157</v>
      </c>
      <c r="S63" s="1" t="s">
        <v>1161</v>
      </c>
      <c r="AB63" s="3">
        <v>46076.397951388892</v>
      </c>
      <c r="AC63" s="3">
        <v>46072.53496527778</v>
      </c>
      <c r="AE63" s="1" t="s">
        <v>1162</v>
      </c>
      <c r="BB63" s="1" t="s">
        <v>1163</v>
      </c>
      <c r="CO63" s="1" t="s">
        <v>435</v>
      </c>
      <c r="CQ63" s="1" t="s">
        <v>432</v>
      </c>
      <c r="CR63" s="1" t="s">
        <v>511</v>
      </c>
      <c r="CS63" s="1" t="s">
        <v>511</v>
      </c>
      <c r="CT63" s="3">
        <v>46073.693124999998</v>
      </c>
      <c r="CU63" s="1" t="s">
        <v>436</v>
      </c>
      <c r="CV63" s="1" t="s">
        <v>512</v>
      </c>
      <c r="CY63" s="1" t="s">
        <v>438</v>
      </c>
      <c r="DP63" s="1" t="s">
        <v>1164</v>
      </c>
      <c r="DU63" s="1" t="s">
        <v>1165</v>
      </c>
      <c r="GZ63" s="1" t="s">
        <v>1164</v>
      </c>
      <c r="HA63" s="1" t="s">
        <v>1165</v>
      </c>
      <c r="NM63" s="1" t="s">
        <v>441</v>
      </c>
      <c r="NN63" s="1">
        <v>5</v>
      </c>
      <c r="NS63" s="1">
        <v>5</v>
      </c>
      <c r="NT63" s="1">
        <v>5</v>
      </c>
      <c r="OA63" s="1">
        <v>5</v>
      </c>
      <c r="OB63" s="1">
        <v>5</v>
      </c>
      <c r="OC63" s="1">
        <v>5</v>
      </c>
      <c r="OD63" s="1">
        <v>5</v>
      </c>
      <c r="SC63" s="1" t="s">
        <v>443</v>
      </c>
      <c r="SG63" s="1" t="s">
        <v>444</v>
      </c>
      <c r="SH63" s="1" t="s">
        <v>438</v>
      </c>
      <c r="SI63" s="1" t="s">
        <v>438</v>
      </c>
      <c r="SK63" s="1" t="s">
        <v>1166</v>
      </c>
    </row>
    <row r="64" spans="1:507" ht="48" x14ac:dyDescent="0.2">
      <c r="A64" s="1" t="s">
        <v>1167</v>
      </c>
      <c r="B64" s="1">
        <v>10</v>
      </c>
      <c r="C64" s="1">
        <v>5</v>
      </c>
      <c r="D64" s="3">
        <v>46073.585879629631</v>
      </c>
      <c r="E64" s="1">
        <v>5230645</v>
      </c>
      <c r="F64" s="1" t="s">
        <v>428</v>
      </c>
      <c r="H64" s="1" t="s">
        <v>1168</v>
      </c>
      <c r="J64" s="1" t="s">
        <v>1169</v>
      </c>
      <c r="L64" s="1" t="s">
        <v>1170</v>
      </c>
      <c r="O64" s="1" t="s">
        <v>432</v>
      </c>
      <c r="R64" s="1" t="s">
        <v>1169</v>
      </c>
      <c r="AB64" s="3">
        <v>46076.387314814812</v>
      </c>
      <c r="AC64" s="3">
        <v>46073.639328703706</v>
      </c>
      <c r="AE64" s="1" t="s">
        <v>1171</v>
      </c>
      <c r="BB64" s="1" t="s">
        <v>1172</v>
      </c>
      <c r="CO64" s="1" t="s">
        <v>435</v>
      </c>
      <c r="CQ64" s="1" t="s">
        <v>432</v>
      </c>
      <c r="CR64" s="1" t="s">
        <v>511</v>
      </c>
      <c r="CS64" s="1" t="s">
        <v>511</v>
      </c>
      <c r="CT64" s="3">
        <v>46073.585902777777</v>
      </c>
      <c r="CU64" s="1" t="s">
        <v>436</v>
      </c>
      <c r="CV64" s="1" t="s">
        <v>512</v>
      </c>
      <c r="CY64" s="1" t="s">
        <v>438</v>
      </c>
      <c r="DP64" s="1" t="s">
        <v>1173</v>
      </c>
      <c r="DU64" s="1" t="s">
        <v>1174</v>
      </c>
      <c r="GZ64" s="1" t="s">
        <v>1173</v>
      </c>
      <c r="HA64" s="1" t="s">
        <v>1174</v>
      </c>
      <c r="NM64" s="1" t="s">
        <v>441</v>
      </c>
      <c r="NN64" s="1">
        <v>5</v>
      </c>
      <c r="NS64" s="1">
        <v>5</v>
      </c>
      <c r="NT64" s="1">
        <v>5</v>
      </c>
      <c r="OA64" s="1">
        <v>5</v>
      </c>
      <c r="OB64" s="1">
        <v>5</v>
      </c>
      <c r="OC64" s="1">
        <v>5</v>
      </c>
      <c r="OD64" s="1">
        <v>5</v>
      </c>
      <c r="SC64" s="1" t="s">
        <v>443</v>
      </c>
      <c r="SG64" s="1" t="s">
        <v>444</v>
      </c>
      <c r="SH64" s="1" t="s">
        <v>438</v>
      </c>
      <c r="SI64" s="1" t="s">
        <v>438</v>
      </c>
      <c r="SK64" s="1" t="s">
        <v>568</v>
      </c>
    </row>
    <row r="65" spans="1:507" ht="32" x14ac:dyDescent="0.2">
      <c r="A65" s="1" t="s">
        <v>1175</v>
      </c>
      <c r="B65" s="1">
        <v>8</v>
      </c>
      <c r="C65" s="1">
        <v>5</v>
      </c>
      <c r="D65" s="3">
        <v>46073.568773148145</v>
      </c>
      <c r="E65" s="1">
        <v>5230600</v>
      </c>
      <c r="F65" s="1" t="s">
        <v>428</v>
      </c>
      <c r="H65" s="1" t="s">
        <v>1176</v>
      </c>
      <c r="J65" s="1" t="s">
        <v>1177</v>
      </c>
      <c r="L65" s="1" t="s">
        <v>1178</v>
      </c>
      <c r="M65" s="1" t="s">
        <v>1178</v>
      </c>
      <c r="N65" s="1" t="s">
        <v>1179</v>
      </c>
      <c r="O65" s="1" t="s">
        <v>432</v>
      </c>
      <c r="R65" s="1" t="s">
        <v>1177</v>
      </c>
      <c r="S65" s="1" t="s">
        <v>1180</v>
      </c>
      <c r="AB65" s="3">
        <v>46076.384259259263</v>
      </c>
      <c r="AC65" s="3">
        <v>46073.532569444447</v>
      </c>
      <c r="AE65" s="1" t="s">
        <v>1181</v>
      </c>
      <c r="BB65" s="1" t="s">
        <v>1182</v>
      </c>
      <c r="CO65" s="1" t="s">
        <v>435</v>
      </c>
      <c r="CQ65" s="1" t="s">
        <v>432</v>
      </c>
      <c r="CR65" s="1" t="s">
        <v>511</v>
      </c>
      <c r="CS65" s="1" t="s">
        <v>511</v>
      </c>
      <c r="CT65" s="3">
        <v>46073.568761574075</v>
      </c>
      <c r="CU65" s="1" t="s">
        <v>524</v>
      </c>
      <c r="CV65" s="1" t="s">
        <v>512</v>
      </c>
      <c r="CY65" s="1" t="s">
        <v>438</v>
      </c>
      <c r="DP65" s="1" t="s">
        <v>1183</v>
      </c>
      <c r="DU65" s="1" t="s">
        <v>1184</v>
      </c>
      <c r="GZ65" s="1" t="s">
        <v>1183</v>
      </c>
      <c r="HA65" s="1" t="s">
        <v>1184</v>
      </c>
      <c r="NM65" s="1" t="s">
        <v>441</v>
      </c>
      <c r="NN65" s="1">
        <v>3</v>
      </c>
      <c r="NS65" s="1">
        <v>4</v>
      </c>
      <c r="NT65" s="1">
        <v>5</v>
      </c>
      <c r="OA65" s="1">
        <v>4</v>
      </c>
      <c r="OB65" s="1">
        <v>3</v>
      </c>
      <c r="OC65" s="1">
        <v>5</v>
      </c>
      <c r="OD65" s="1">
        <v>4</v>
      </c>
      <c r="SB65" s="1" t="s">
        <v>646</v>
      </c>
      <c r="SC65" s="1" t="s">
        <v>646</v>
      </c>
      <c r="SF65" s="1" t="s">
        <v>1185</v>
      </c>
      <c r="SG65" s="1" t="s">
        <v>647</v>
      </c>
      <c r="SH65" s="1" t="s">
        <v>438</v>
      </c>
      <c r="SI65" s="1" t="s">
        <v>438</v>
      </c>
      <c r="SK65" s="1" t="s">
        <v>445</v>
      </c>
      <c r="SL65" s="1" t="s">
        <v>620</v>
      </c>
    </row>
    <row r="66" spans="1:507" ht="96" x14ac:dyDescent="0.2">
      <c r="A66" s="1" t="s">
        <v>1186</v>
      </c>
      <c r="B66" s="1">
        <v>10</v>
      </c>
      <c r="C66" s="1">
        <v>5</v>
      </c>
      <c r="D66" s="3">
        <v>46073.507847222223</v>
      </c>
      <c r="E66" s="1">
        <v>5230382</v>
      </c>
      <c r="F66" s="1" t="s">
        <v>428</v>
      </c>
      <c r="H66" s="1" t="s">
        <v>1187</v>
      </c>
      <c r="J66" s="1" t="s">
        <v>1188</v>
      </c>
      <c r="L66" s="1" t="s">
        <v>1189</v>
      </c>
      <c r="O66" s="1" t="s">
        <v>432</v>
      </c>
      <c r="R66" s="1" t="s">
        <v>1188</v>
      </c>
      <c r="AB66" s="3">
        <v>46076.356817129628</v>
      </c>
      <c r="AC66" s="3">
        <v>46073.596261574072</v>
      </c>
      <c r="AE66" s="1" t="s">
        <v>1190</v>
      </c>
      <c r="BB66" s="1" t="s">
        <v>1191</v>
      </c>
      <c r="CO66" s="1" t="s">
        <v>435</v>
      </c>
      <c r="CQ66" s="1" t="s">
        <v>432</v>
      </c>
      <c r="CR66" s="1" t="s">
        <v>852</v>
      </c>
      <c r="CS66" s="1" t="s">
        <v>852</v>
      </c>
      <c r="CT66" s="3">
        <v>46073.50681712963</v>
      </c>
      <c r="CU66" s="1" t="s">
        <v>436</v>
      </c>
      <c r="CV66" s="1" t="s">
        <v>512</v>
      </c>
      <c r="CY66" s="1" t="s">
        <v>438</v>
      </c>
      <c r="DP66" s="1" t="s">
        <v>1192</v>
      </c>
      <c r="DU66" s="1" t="s">
        <v>1193</v>
      </c>
      <c r="GZ66" s="1" t="s">
        <v>1192</v>
      </c>
      <c r="HA66" s="1" t="s">
        <v>1193</v>
      </c>
      <c r="NM66" s="1" t="s">
        <v>441</v>
      </c>
      <c r="NN66" s="1">
        <v>5</v>
      </c>
      <c r="NS66" s="1">
        <v>5</v>
      </c>
      <c r="NT66" s="1">
        <v>5</v>
      </c>
      <c r="OA66" s="1">
        <v>5</v>
      </c>
      <c r="OB66" s="1">
        <v>5</v>
      </c>
      <c r="OC66" s="1">
        <v>5</v>
      </c>
      <c r="OD66" s="1">
        <v>5</v>
      </c>
      <c r="SB66" s="1" t="s">
        <v>917</v>
      </c>
      <c r="SC66" s="1" t="s">
        <v>646</v>
      </c>
      <c r="SF66" s="1" t="s">
        <v>1194</v>
      </c>
      <c r="SG66" s="1" t="s">
        <v>1195</v>
      </c>
      <c r="SH66" s="1" t="s">
        <v>438</v>
      </c>
      <c r="SI66" s="1" t="s">
        <v>438</v>
      </c>
      <c r="SK66" s="1" t="s">
        <v>445</v>
      </c>
      <c r="SL66" s="1" t="s">
        <v>1196</v>
      </c>
    </row>
    <row r="67" spans="1:507" ht="144" x14ac:dyDescent="0.2">
      <c r="A67" s="1" t="s">
        <v>1197</v>
      </c>
      <c r="B67" s="1">
        <v>0</v>
      </c>
      <c r="C67" s="1">
        <v>1</v>
      </c>
      <c r="D67" s="3">
        <v>46073.505879629629</v>
      </c>
      <c r="E67" s="1">
        <v>5230379</v>
      </c>
      <c r="F67" s="1" t="s">
        <v>428</v>
      </c>
      <c r="H67" s="1" t="s">
        <v>1198</v>
      </c>
      <c r="J67" s="1" t="s">
        <v>1199</v>
      </c>
      <c r="L67" s="1" t="s">
        <v>1200</v>
      </c>
      <c r="M67" s="1" t="s">
        <v>1200</v>
      </c>
      <c r="N67" s="1" t="s">
        <v>1201</v>
      </c>
      <c r="O67" s="1" t="s">
        <v>432</v>
      </c>
      <c r="R67" s="1" t="s">
        <v>1199</v>
      </c>
      <c r="S67" s="1" t="s">
        <v>1202</v>
      </c>
      <c r="AB67" s="3">
        <v>46077.507673611108</v>
      </c>
      <c r="AC67" s="3">
        <v>46073.554965277777</v>
      </c>
      <c r="AE67" s="1" t="s">
        <v>1203</v>
      </c>
      <c r="BB67" s="1" t="s">
        <v>1204</v>
      </c>
      <c r="CO67" s="1" t="s">
        <v>435</v>
      </c>
      <c r="CQ67" s="1" t="s">
        <v>432</v>
      </c>
      <c r="CR67" s="1" t="s">
        <v>1205</v>
      </c>
      <c r="CS67" s="1" t="s">
        <v>729</v>
      </c>
      <c r="CT67" s="3">
        <v>46073.505729166667</v>
      </c>
      <c r="CU67" s="1" t="s">
        <v>1206</v>
      </c>
      <c r="CV67" s="1" t="s">
        <v>512</v>
      </c>
      <c r="CW67" s="3">
        <v>46077.507615740738</v>
      </c>
      <c r="CX67" s="1" t="s">
        <v>1057</v>
      </c>
      <c r="CY67" s="1" t="s">
        <v>438</v>
      </c>
      <c r="DP67" s="1" t="s">
        <v>1207</v>
      </c>
      <c r="DU67" s="1" t="s">
        <v>1208</v>
      </c>
      <c r="GZ67" s="1" t="s">
        <v>1207</v>
      </c>
      <c r="HA67" s="1" t="s">
        <v>1208</v>
      </c>
      <c r="NM67" s="1" t="s">
        <v>441</v>
      </c>
      <c r="NN67" s="1">
        <v>3</v>
      </c>
      <c r="NS67" s="1">
        <v>4</v>
      </c>
      <c r="NT67" s="1">
        <v>4</v>
      </c>
      <c r="OA67" s="1">
        <v>1</v>
      </c>
      <c r="OB67" s="1">
        <v>1</v>
      </c>
      <c r="OC67" s="1">
        <v>2</v>
      </c>
      <c r="OD67" s="1" t="s">
        <v>442</v>
      </c>
      <c r="SB67" s="1" t="s">
        <v>917</v>
      </c>
      <c r="SC67" s="1" t="s">
        <v>443</v>
      </c>
      <c r="SF67" s="1" t="s">
        <v>1209</v>
      </c>
      <c r="SG67" s="1" t="s">
        <v>1000</v>
      </c>
      <c r="SH67" s="1" t="s">
        <v>438</v>
      </c>
      <c r="SI67" s="1" t="s">
        <v>438</v>
      </c>
      <c r="SK67" s="1" t="s">
        <v>1210</v>
      </c>
    </row>
    <row r="68" spans="1:507" ht="32" x14ac:dyDescent="0.2">
      <c r="A68" s="1" t="s">
        <v>1211</v>
      </c>
      <c r="B68" s="1">
        <v>10</v>
      </c>
      <c r="C68" s="1">
        <v>5</v>
      </c>
      <c r="D68" s="3">
        <v>46073.422766203701</v>
      </c>
      <c r="E68" s="1">
        <v>5230003</v>
      </c>
      <c r="F68" s="1" t="s">
        <v>428</v>
      </c>
      <c r="H68" s="1" t="s">
        <v>1212</v>
      </c>
      <c r="J68" s="1" t="s">
        <v>1213</v>
      </c>
      <c r="L68" s="1" t="s">
        <v>1214</v>
      </c>
      <c r="O68" s="1" t="s">
        <v>432</v>
      </c>
      <c r="R68" s="1" t="s">
        <v>1213</v>
      </c>
      <c r="AB68" s="3">
        <v>46076.415914351855</v>
      </c>
      <c r="AC68" s="3">
        <v>46073.532442129632</v>
      </c>
      <c r="AE68" s="1" t="s">
        <v>1215</v>
      </c>
      <c r="BB68" s="1" t="s">
        <v>1216</v>
      </c>
      <c r="CO68" s="1" t="s">
        <v>435</v>
      </c>
      <c r="CQ68" s="1" t="s">
        <v>432</v>
      </c>
      <c r="CR68" s="1" t="s">
        <v>534</v>
      </c>
      <c r="CS68" s="1" t="s">
        <v>534</v>
      </c>
      <c r="CT68" s="3">
        <v>46073.422743055555</v>
      </c>
      <c r="CU68" s="1" t="s">
        <v>436</v>
      </c>
      <c r="CV68" s="1" t="s">
        <v>512</v>
      </c>
      <c r="CY68" s="1" t="s">
        <v>438</v>
      </c>
      <c r="DP68" s="1" t="s">
        <v>1217</v>
      </c>
      <c r="DU68" s="1" t="s">
        <v>1218</v>
      </c>
      <c r="GZ68" s="1" t="s">
        <v>1217</v>
      </c>
      <c r="HA68" s="1" t="s">
        <v>1218</v>
      </c>
      <c r="NM68" s="1" t="s">
        <v>441</v>
      </c>
      <c r="NN68" s="1">
        <v>4</v>
      </c>
      <c r="NS68" s="1">
        <v>5</v>
      </c>
      <c r="NT68" s="1">
        <v>5</v>
      </c>
      <c r="OA68" s="1">
        <v>5</v>
      </c>
      <c r="OB68" s="1">
        <v>5</v>
      </c>
      <c r="OC68" s="1">
        <v>5</v>
      </c>
      <c r="OD68" s="1">
        <v>5</v>
      </c>
      <c r="SC68" s="1" t="s">
        <v>443</v>
      </c>
      <c r="SG68" s="1" t="s">
        <v>444</v>
      </c>
      <c r="SH68" s="1" t="s">
        <v>438</v>
      </c>
      <c r="SI68" s="1" t="s">
        <v>432</v>
      </c>
      <c r="SK68" s="1" t="s">
        <v>445</v>
      </c>
    </row>
    <row r="69" spans="1:507" ht="32" x14ac:dyDescent="0.2">
      <c r="A69" s="1" t="s">
        <v>1219</v>
      </c>
      <c r="B69" s="1">
        <v>10</v>
      </c>
      <c r="C69" s="1">
        <v>5</v>
      </c>
      <c r="D69" s="3">
        <v>46073.409699074073</v>
      </c>
      <c r="E69" s="1">
        <v>5229919</v>
      </c>
      <c r="F69" s="1" t="s">
        <v>428</v>
      </c>
      <c r="H69" s="1" t="s">
        <v>1220</v>
      </c>
      <c r="J69" s="1" t="s">
        <v>1221</v>
      </c>
      <c r="L69" s="1" t="s">
        <v>1222</v>
      </c>
      <c r="N69" s="1" t="s">
        <v>1223</v>
      </c>
      <c r="O69" s="1" t="s">
        <v>432</v>
      </c>
      <c r="R69" s="1" t="s">
        <v>1221</v>
      </c>
      <c r="S69" s="1" t="s">
        <v>1224</v>
      </c>
      <c r="AB69" s="3">
        <v>46073.518634259257</v>
      </c>
      <c r="AC69" s="3">
        <v>46073.531875000001</v>
      </c>
      <c r="AE69" s="1" t="s">
        <v>1225</v>
      </c>
      <c r="BB69" s="1" t="s">
        <v>1226</v>
      </c>
      <c r="CO69" s="1" t="s">
        <v>435</v>
      </c>
      <c r="CQ69" s="1" t="s">
        <v>432</v>
      </c>
      <c r="CR69" s="1" t="s">
        <v>1227</v>
      </c>
      <c r="CS69" s="1" t="s">
        <v>1227</v>
      </c>
      <c r="CT69" s="3">
        <v>46073.409907407404</v>
      </c>
      <c r="CU69" s="1" t="s">
        <v>436</v>
      </c>
      <c r="CV69" s="1" t="s">
        <v>512</v>
      </c>
      <c r="CY69" s="1" t="s">
        <v>438</v>
      </c>
      <c r="DP69" s="1" t="s">
        <v>1228</v>
      </c>
      <c r="DU69" s="1" t="s">
        <v>1229</v>
      </c>
      <c r="GZ69" s="1" t="s">
        <v>1228</v>
      </c>
      <c r="HA69" s="1" t="s">
        <v>1229</v>
      </c>
      <c r="NM69" s="1" t="s">
        <v>441</v>
      </c>
      <c r="NN69" s="1">
        <v>5</v>
      </c>
      <c r="NS69" s="1">
        <v>5</v>
      </c>
      <c r="NT69" s="1">
        <v>5</v>
      </c>
      <c r="OA69" s="1">
        <v>5</v>
      </c>
      <c r="OB69" s="1">
        <v>5</v>
      </c>
      <c r="OC69" s="1">
        <v>5</v>
      </c>
      <c r="OD69" s="1">
        <v>5</v>
      </c>
      <c r="SB69" s="1" t="s">
        <v>443</v>
      </c>
      <c r="SC69" s="1" t="s">
        <v>917</v>
      </c>
      <c r="SF69" s="1" t="s">
        <v>444</v>
      </c>
      <c r="SG69" s="1" t="s">
        <v>918</v>
      </c>
      <c r="SH69" s="1" t="s">
        <v>438</v>
      </c>
      <c r="SI69" s="1" t="s">
        <v>432</v>
      </c>
      <c r="SK69" s="1" t="s">
        <v>445</v>
      </c>
    </row>
    <row r="70" spans="1:507" ht="48" x14ac:dyDescent="0.2">
      <c r="A70" s="1" t="s">
        <v>1230</v>
      </c>
      <c r="B70" s="1">
        <v>10</v>
      </c>
      <c r="C70" s="1">
        <v>5</v>
      </c>
      <c r="D70" s="3">
        <v>46073.263749999998</v>
      </c>
      <c r="E70" s="1">
        <v>5229526</v>
      </c>
      <c r="F70" s="1" t="s">
        <v>428</v>
      </c>
      <c r="H70" s="1" t="s">
        <v>1231</v>
      </c>
      <c r="J70" s="1" t="s">
        <v>1232</v>
      </c>
      <c r="L70" s="1" t="s">
        <v>1233</v>
      </c>
      <c r="O70" s="1" t="s">
        <v>432</v>
      </c>
      <c r="R70" s="1" t="s">
        <v>1232</v>
      </c>
      <c r="AB70" s="3">
        <v>46073.372245370374</v>
      </c>
      <c r="AC70" s="3">
        <v>46072.534386574072</v>
      </c>
      <c r="AE70" s="1" t="s">
        <v>1234</v>
      </c>
      <c r="BB70" s="1" t="s">
        <v>1235</v>
      </c>
      <c r="CO70" s="1" t="s">
        <v>435</v>
      </c>
      <c r="CQ70" s="1" t="s">
        <v>432</v>
      </c>
      <c r="CR70" s="1" t="s">
        <v>523</v>
      </c>
      <c r="CS70" s="1" t="s">
        <v>523</v>
      </c>
      <c r="CT70" s="3">
        <v>46073.260983796295</v>
      </c>
      <c r="CU70" s="1" t="s">
        <v>436</v>
      </c>
      <c r="CV70" s="1" t="s">
        <v>512</v>
      </c>
      <c r="CY70" s="1" t="s">
        <v>438</v>
      </c>
      <c r="DP70" s="1" t="s">
        <v>1236</v>
      </c>
      <c r="DU70" s="1" t="s">
        <v>482</v>
      </c>
      <c r="GZ70" s="1" t="s">
        <v>1236</v>
      </c>
      <c r="HA70" s="1" t="s">
        <v>482</v>
      </c>
      <c r="NM70" s="1" t="s">
        <v>441</v>
      </c>
      <c r="NN70" s="1">
        <v>5</v>
      </c>
      <c r="NS70" s="1">
        <v>4</v>
      </c>
      <c r="NT70" s="1">
        <v>5</v>
      </c>
      <c r="OA70" s="1">
        <v>5</v>
      </c>
      <c r="OB70" s="1">
        <v>5</v>
      </c>
      <c r="OC70" s="1">
        <v>5</v>
      </c>
      <c r="OD70" s="1">
        <v>5</v>
      </c>
      <c r="SB70" s="1" t="s">
        <v>745</v>
      </c>
      <c r="SC70" s="1" t="s">
        <v>1237</v>
      </c>
      <c r="SF70" s="1" t="s">
        <v>747</v>
      </c>
      <c r="SG70" s="1" t="s">
        <v>1238</v>
      </c>
      <c r="SH70" s="1" t="s">
        <v>438</v>
      </c>
      <c r="SI70" s="1" t="s">
        <v>432</v>
      </c>
      <c r="SK70" s="1" t="s">
        <v>568</v>
      </c>
      <c r="SL70" s="1" t="s">
        <v>672</v>
      </c>
    </row>
    <row r="71" spans="1:507" ht="48" x14ac:dyDescent="0.2">
      <c r="A71" s="1" t="s">
        <v>1239</v>
      </c>
      <c r="B71" s="1">
        <v>10</v>
      </c>
      <c r="C71" s="1">
        <v>5</v>
      </c>
      <c r="D71" s="3">
        <v>46072.761446759258</v>
      </c>
      <c r="E71" s="1">
        <v>5228613</v>
      </c>
      <c r="F71" s="1" t="s">
        <v>428</v>
      </c>
      <c r="H71" s="1" t="s">
        <v>1240</v>
      </c>
      <c r="J71" s="1" t="s">
        <v>1241</v>
      </c>
      <c r="L71" s="1" t="s">
        <v>1242</v>
      </c>
      <c r="O71" s="1" t="s">
        <v>432</v>
      </c>
      <c r="R71" s="1" t="s">
        <v>1241</v>
      </c>
      <c r="AB71" s="3">
        <v>46073.357777777775</v>
      </c>
      <c r="AC71" s="3">
        <v>46072.53528935185</v>
      </c>
      <c r="AE71" s="1" t="s">
        <v>1243</v>
      </c>
      <c r="BB71" s="1" t="s">
        <v>1244</v>
      </c>
      <c r="CO71" s="1" t="s">
        <v>435</v>
      </c>
      <c r="CQ71" s="1" t="s">
        <v>432</v>
      </c>
      <c r="CR71" s="1" t="s">
        <v>852</v>
      </c>
      <c r="CS71" s="1" t="s">
        <v>852</v>
      </c>
      <c r="CT71" s="3">
        <v>46072.762256944443</v>
      </c>
      <c r="CU71" s="1" t="s">
        <v>436</v>
      </c>
      <c r="CV71" s="1" t="s">
        <v>512</v>
      </c>
      <c r="CY71" s="1" t="s">
        <v>438</v>
      </c>
      <c r="DP71" s="1" t="s">
        <v>1245</v>
      </c>
      <c r="DU71" s="1" t="s">
        <v>1246</v>
      </c>
      <c r="GZ71" s="1" t="s">
        <v>1245</v>
      </c>
      <c r="HA71" s="1" t="s">
        <v>1246</v>
      </c>
      <c r="NM71" s="1" t="s">
        <v>441</v>
      </c>
      <c r="NN71" s="1">
        <v>5</v>
      </c>
      <c r="NS71" s="1">
        <v>5</v>
      </c>
      <c r="NT71" s="1">
        <v>5</v>
      </c>
      <c r="OA71" s="1">
        <v>5</v>
      </c>
      <c r="OB71" s="1">
        <v>5</v>
      </c>
      <c r="OC71" s="1">
        <v>5</v>
      </c>
      <c r="OD71" s="1">
        <v>5</v>
      </c>
      <c r="SC71" s="1" t="s">
        <v>443</v>
      </c>
      <c r="SG71" s="1" t="s">
        <v>444</v>
      </c>
      <c r="SH71" s="1" t="s">
        <v>438</v>
      </c>
      <c r="SI71" s="1" t="s">
        <v>438</v>
      </c>
      <c r="SK71" s="1" t="s">
        <v>568</v>
      </c>
    </row>
    <row r="72" spans="1:507" ht="32" x14ac:dyDescent="0.2">
      <c r="A72" s="1" t="s">
        <v>1247</v>
      </c>
      <c r="B72" s="1">
        <v>10</v>
      </c>
      <c r="C72" s="1">
        <v>5</v>
      </c>
      <c r="D72" s="3">
        <v>46072.717222222222</v>
      </c>
      <c r="E72" s="1">
        <v>5228471</v>
      </c>
      <c r="F72" s="1" t="s">
        <v>428</v>
      </c>
      <c r="H72" s="1" t="s">
        <v>1248</v>
      </c>
      <c r="J72" s="1" t="s">
        <v>1249</v>
      </c>
      <c r="L72" s="1" t="s">
        <v>1250</v>
      </c>
      <c r="O72" s="1" t="s">
        <v>432</v>
      </c>
      <c r="R72" s="1" t="s">
        <v>1249</v>
      </c>
      <c r="AB72" s="3">
        <v>46073.396469907406</v>
      </c>
      <c r="AC72" s="3">
        <v>46072.534548611111</v>
      </c>
      <c r="AE72" s="1" t="s">
        <v>1251</v>
      </c>
      <c r="BB72" s="1" t="s">
        <v>1252</v>
      </c>
      <c r="CO72" s="1" t="s">
        <v>435</v>
      </c>
      <c r="CQ72" s="1" t="s">
        <v>432</v>
      </c>
      <c r="CR72" s="1" t="s">
        <v>1227</v>
      </c>
      <c r="CS72" s="1" t="s">
        <v>1227</v>
      </c>
      <c r="CT72" s="3">
        <v>46072.716226851851</v>
      </c>
      <c r="CU72" s="1" t="s">
        <v>436</v>
      </c>
      <c r="CV72" s="1" t="s">
        <v>512</v>
      </c>
      <c r="CY72" s="1" t="s">
        <v>438</v>
      </c>
      <c r="DP72" s="1" t="s">
        <v>1253</v>
      </c>
      <c r="DU72" s="1" t="s">
        <v>442</v>
      </c>
      <c r="GZ72" s="1" t="s">
        <v>1253</v>
      </c>
      <c r="HA72" s="1" t="s">
        <v>442</v>
      </c>
      <c r="NM72" s="1" t="s">
        <v>441</v>
      </c>
      <c r="NN72" s="1">
        <v>5</v>
      </c>
      <c r="NS72" s="1">
        <v>5</v>
      </c>
      <c r="NT72" s="1">
        <v>5</v>
      </c>
      <c r="OA72" s="1">
        <v>5</v>
      </c>
      <c r="OB72" s="1">
        <v>5</v>
      </c>
      <c r="OC72" s="1">
        <v>5</v>
      </c>
      <c r="OD72" s="1">
        <v>5</v>
      </c>
      <c r="SB72" s="1" t="s">
        <v>443</v>
      </c>
      <c r="SC72" s="1" t="s">
        <v>646</v>
      </c>
      <c r="SF72" s="1" t="s">
        <v>444</v>
      </c>
      <c r="SG72" s="1" t="s">
        <v>1254</v>
      </c>
      <c r="SH72" s="1" t="s">
        <v>438</v>
      </c>
      <c r="SI72" s="1" t="s">
        <v>432</v>
      </c>
      <c r="SK72" s="1" t="s">
        <v>445</v>
      </c>
      <c r="SL72" s="1" t="s">
        <v>919</v>
      </c>
    </row>
    <row r="73" spans="1:507" ht="32" x14ac:dyDescent="0.2">
      <c r="A73" s="1" t="s">
        <v>1255</v>
      </c>
      <c r="B73" s="1">
        <v>10</v>
      </c>
      <c r="C73" s="1">
        <v>5</v>
      </c>
      <c r="D73" s="3">
        <v>46072.4690625</v>
      </c>
      <c r="E73" s="1">
        <v>5227462</v>
      </c>
      <c r="F73" s="1" t="s">
        <v>428</v>
      </c>
      <c r="H73" s="1" t="s">
        <v>1256</v>
      </c>
      <c r="J73" s="1" t="s">
        <v>1257</v>
      </c>
      <c r="L73" s="1" t="s">
        <v>1258</v>
      </c>
      <c r="N73" s="1" t="s">
        <v>1259</v>
      </c>
      <c r="O73" s="1" t="s">
        <v>438</v>
      </c>
      <c r="R73" s="1" t="s">
        <v>1257</v>
      </c>
      <c r="S73" s="1" t="s">
        <v>1260</v>
      </c>
      <c r="AB73" s="3">
        <v>46072.570300925923</v>
      </c>
      <c r="AC73" s="3">
        <v>46072.534884259258</v>
      </c>
      <c r="AE73" s="1" t="s">
        <v>1261</v>
      </c>
      <c r="BB73" s="1" t="s">
        <v>1262</v>
      </c>
      <c r="CO73" s="1" t="s">
        <v>435</v>
      </c>
      <c r="CQ73" s="1" t="s">
        <v>432</v>
      </c>
      <c r="CR73" s="1" t="s">
        <v>511</v>
      </c>
      <c r="CS73" s="1" t="s">
        <v>511</v>
      </c>
      <c r="CT73" s="3">
        <v>46072.469293981485</v>
      </c>
      <c r="CU73" s="1" t="s">
        <v>436</v>
      </c>
      <c r="CV73" s="1" t="s">
        <v>512</v>
      </c>
      <c r="CY73" s="1" t="s">
        <v>438</v>
      </c>
      <c r="DP73" s="1" t="s">
        <v>1263</v>
      </c>
      <c r="GZ73" s="1" t="s">
        <v>1263</v>
      </c>
      <c r="NM73" s="1" t="s">
        <v>441</v>
      </c>
      <c r="NN73" s="1">
        <v>4</v>
      </c>
      <c r="NS73" s="1">
        <v>5</v>
      </c>
      <c r="NT73" s="1">
        <v>5</v>
      </c>
      <c r="OA73" s="1">
        <v>5</v>
      </c>
      <c r="OB73" s="1">
        <v>5</v>
      </c>
      <c r="OC73" s="1">
        <v>5</v>
      </c>
      <c r="OD73" s="1">
        <v>5</v>
      </c>
      <c r="SB73" s="1" t="s">
        <v>443</v>
      </c>
      <c r="SC73" s="1" t="s">
        <v>443</v>
      </c>
      <c r="SF73" s="1" t="s">
        <v>1264</v>
      </c>
      <c r="SG73" s="1" t="s">
        <v>444</v>
      </c>
      <c r="SH73" s="1" t="s">
        <v>438</v>
      </c>
      <c r="SI73" s="1" t="s">
        <v>438</v>
      </c>
      <c r="SK73" s="1" t="s">
        <v>1265</v>
      </c>
    </row>
    <row r="74" spans="1:507" ht="80" x14ac:dyDescent="0.2">
      <c r="A74" s="1" t="s">
        <v>1266</v>
      </c>
      <c r="B74" s="1">
        <v>10</v>
      </c>
      <c r="C74" s="1">
        <v>5</v>
      </c>
      <c r="D74" s="3">
        <v>46072.410254629627</v>
      </c>
      <c r="E74" s="1">
        <v>5227149</v>
      </c>
      <c r="F74" s="1" t="s">
        <v>428</v>
      </c>
      <c r="H74" s="1" t="s">
        <v>1267</v>
      </c>
      <c r="J74" s="1" t="s">
        <v>1268</v>
      </c>
      <c r="L74" s="1" t="s">
        <v>1269</v>
      </c>
      <c r="M74" s="1" t="s">
        <v>1269</v>
      </c>
      <c r="N74" s="1" t="s">
        <v>1270</v>
      </c>
      <c r="O74" s="1" t="s">
        <v>432</v>
      </c>
      <c r="R74" s="1" t="s">
        <v>1268</v>
      </c>
      <c r="S74" s="1" t="s">
        <v>1271</v>
      </c>
      <c r="AB74" s="3">
        <v>46072.578159722223</v>
      </c>
      <c r="AC74" s="3">
        <v>46072.534328703703</v>
      </c>
      <c r="AE74" s="1" t="s">
        <v>1272</v>
      </c>
      <c r="BB74" s="1" t="s">
        <v>1273</v>
      </c>
      <c r="CO74" s="1" t="s">
        <v>435</v>
      </c>
      <c r="CQ74" s="1" t="s">
        <v>432</v>
      </c>
      <c r="CR74" s="1" t="s">
        <v>691</v>
      </c>
      <c r="CS74" s="1" t="s">
        <v>691</v>
      </c>
      <c r="CT74" s="3">
        <v>46072.410428240742</v>
      </c>
      <c r="CU74" s="1" t="s">
        <v>436</v>
      </c>
      <c r="CV74" s="1" t="s">
        <v>512</v>
      </c>
      <c r="CY74" s="1" t="s">
        <v>438</v>
      </c>
      <c r="DP74" s="1" t="s">
        <v>1274</v>
      </c>
      <c r="DU74" s="1" t="s">
        <v>1275</v>
      </c>
      <c r="GZ74" s="1" t="s">
        <v>1274</v>
      </c>
      <c r="HA74" s="1" t="s">
        <v>1275</v>
      </c>
      <c r="NM74" s="1" t="s">
        <v>441</v>
      </c>
      <c r="NN74" s="1">
        <v>5</v>
      </c>
      <c r="NS74" s="1">
        <v>3</v>
      </c>
      <c r="NT74" s="1">
        <v>5</v>
      </c>
      <c r="OA74" s="1">
        <v>5</v>
      </c>
      <c r="OB74" s="1">
        <v>5</v>
      </c>
      <c r="OC74" s="1">
        <v>5</v>
      </c>
      <c r="OD74" s="1">
        <v>5</v>
      </c>
      <c r="SC74" s="1" t="s">
        <v>1276</v>
      </c>
      <c r="SG74" s="1" t="s">
        <v>1277</v>
      </c>
      <c r="SH74" s="1" t="s">
        <v>438</v>
      </c>
      <c r="SI74" s="1" t="s">
        <v>432</v>
      </c>
      <c r="SK74" s="1" t="s">
        <v>445</v>
      </c>
      <c r="SL74" s="1" t="s">
        <v>1278</v>
      </c>
    </row>
    <row r="75" spans="1:507" ht="128" x14ac:dyDescent="0.2">
      <c r="A75" s="1" t="s">
        <v>1279</v>
      </c>
      <c r="B75" s="1">
        <v>0</v>
      </c>
      <c r="C75" s="1">
        <v>1</v>
      </c>
      <c r="D75" s="3">
        <v>46072.379826388889</v>
      </c>
      <c r="E75" s="1">
        <v>5226961</v>
      </c>
      <c r="F75" s="1" t="s">
        <v>428</v>
      </c>
      <c r="H75" s="1" t="s">
        <v>1280</v>
      </c>
      <c r="J75" s="1" t="s">
        <v>1281</v>
      </c>
      <c r="L75" s="1" t="s">
        <v>1282</v>
      </c>
      <c r="M75" s="1" t="s">
        <v>1282</v>
      </c>
      <c r="N75" s="1" t="s">
        <v>1052</v>
      </c>
      <c r="O75" s="1" t="s">
        <v>432</v>
      </c>
      <c r="R75" s="1" t="s">
        <v>1281</v>
      </c>
      <c r="S75" s="1" t="s">
        <v>1053</v>
      </c>
      <c r="AB75" s="3">
        <v>46073.542488425926</v>
      </c>
      <c r="AC75" s="3">
        <v>46057.852071759262</v>
      </c>
      <c r="AE75" s="1" t="s">
        <v>1283</v>
      </c>
      <c r="BB75" s="1" t="s">
        <v>1284</v>
      </c>
      <c r="CO75" s="1" t="s">
        <v>435</v>
      </c>
      <c r="CQ75" s="1" t="s">
        <v>432</v>
      </c>
      <c r="CR75" s="1" t="s">
        <v>1056</v>
      </c>
      <c r="CS75" s="1" t="s">
        <v>729</v>
      </c>
      <c r="CT75" s="3">
        <v>46072.378645833334</v>
      </c>
      <c r="CU75" s="1" t="s">
        <v>1206</v>
      </c>
      <c r="CV75" s="1" t="s">
        <v>512</v>
      </c>
      <c r="CW75" s="3">
        <v>46073.542303240742</v>
      </c>
      <c r="CX75" s="1" t="s">
        <v>1057</v>
      </c>
      <c r="CY75" s="1" t="s">
        <v>438</v>
      </c>
      <c r="DP75" s="1" t="s">
        <v>1285</v>
      </c>
      <c r="DU75" s="1" t="s">
        <v>1285</v>
      </c>
      <c r="GZ75" s="1" t="s">
        <v>1285</v>
      </c>
      <c r="HA75" s="1" t="s">
        <v>1285</v>
      </c>
      <c r="NM75" s="1" t="s">
        <v>441</v>
      </c>
      <c r="NN75" s="1">
        <v>1</v>
      </c>
      <c r="NS75" s="1">
        <v>1</v>
      </c>
      <c r="NT75" s="1">
        <v>1</v>
      </c>
      <c r="OA75" s="1">
        <v>1</v>
      </c>
      <c r="OB75" s="1">
        <v>1</v>
      </c>
      <c r="OC75" s="1">
        <v>1</v>
      </c>
      <c r="OD75" s="1">
        <v>1</v>
      </c>
      <c r="SB75" s="1" t="s">
        <v>745</v>
      </c>
      <c r="SC75" s="1" t="s">
        <v>917</v>
      </c>
      <c r="SF75" s="1" t="s">
        <v>1286</v>
      </c>
      <c r="SG75" s="1" t="s">
        <v>1287</v>
      </c>
      <c r="SH75" s="1" t="s">
        <v>438</v>
      </c>
      <c r="SI75" s="1" t="s">
        <v>432</v>
      </c>
      <c r="SK75" s="1" t="s">
        <v>866</v>
      </c>
    </row>
    <row r="76" spans="1:507" ht="64" x14ac:dyDescent="0.2">
      <c r="A76" s="1" t="s">
        <v>1288</v>
      </c>
      <c r="B76" s="1">
        <v>10</v>
      </c>
      <c r="C76" s="1">
        <v>5</v>
      </c>
      <c r="D76" s="3">
        <v>46072.298078703701</v>
      </c>
      <c r="E76" s="1">
        <v>5226804</v>
      </c>
      <c r="F76" s="1" t="s">
        <v>428</v>
      </c>
      <c r="H76" s="1" t="s">
        <v>1289</v>
      </c>
      <c r="J76" s="1" t="s">
        <v>1290</v>
      </c>
      <c r="L76" s="1" t="s">
        <v>1291</v>
      </c>
      <c r="M76" s="1" t="s">
        <v>1291</v>
      </c>
      <c r="N76" s="1" t="s">
        <v>1292</v>
      </c>
      <c r="O76" s="1" t="s">
        <v>432</v>
      </c>
      <c r="R76" s="1" t="s">
        <v>1290</v>
      </c>
      <c r="S76" s="1" t="s">
        <v>1293</v>
      </c>
      <c r="AB76" s="3">
        <v>46072.390798611108</v>
      </c>
      <c r="AC76" s="3">
        <v>46071.681608796294</v>
      </c>
      <c r="AE76" s="1" t="s">
        <v>1294</v>
      </c>
      <c r="BB76" s="1" t="s">
        <v>1295</v>
      </c>
      <c r="CO76" s="1" t="s">
        <v>435</v>
      </c>
      <c r="CQ76" s="1" t="s">
        <v>432</v>
      </c>
      <c r="CR76" s="1" t="s">
        <v>523</v>
      </c>
      <c r="CS76" s="1" t="s">
        <v>523</v>
      </c>
      <c r="CT76" s="3">
        <v>46072.297094907408</v>
      </c>
      <c r="CU76" s="1" t="s">
        <v>436</v>
      </c>
      <c r="CV76" s="1" t="s">
        <v>512</v>
      </c>
      <c r="CY76" s="1" t="s">
        <v>438</v>
      </c>
      <c r="DP76" s="1" t="s">
        <v>1296</v>
      </c>
      <c r="GZ76" s="1" t="s">
        <v>1296</v>
      </c>
      <c r="NM76" s="1" t="s">
        <v>441</v>
      </c>
      <c r="NN76" s="1" t="s">
        <v>442</v>
      </c>
      <c r="NS76" s="1">
        <v>5</v>
      </c>
      <c r="NT76" s="1">
        <v>5</v>
      </c>
      <c r="OA76" s="1">
        <v>5</v>
      </c>
      <c r="OB76" s="1">
        <v>5</v>
      </c>
      <c r="OC76" s="1">
        <v>5</v>
      </c>
      <c r="OD76" s="1" t="s">
        <v>442</v>
      </c>
      <c r="SC76" s="1" t="s">
        <v>1297</v>
      </c>
      <c r="SE76" s="1" t="s">
        <v>633</v>
      </c>
      <c r="SG76" s="1" t="s">
        <v>1298</v>
      </c>
      <c r="SH76" s="1" t="s">
        <v>438</v>
      </c>
      <c r="SI76" s="1" t="s">
        <v>438</v>
      </c>
      <c r="SK76" s="1" t="s">
        <v>866</v>
      </c>
    </row>
    <row r="77" spans="1:507" ht="64" x14ac:dyDescent="0.2">
      <c r="A77" s="1" t="s">
        <v>1299</v>
      </c>
      <c r="B77" s="1">
        <v>10</v>
      </c>
      <c r="C77" s="1">
        <v>5</v>
      </c>
      <c r="D77" s="3">
        <v>46071.946585648147</v>
      </c>
      <c r="E77" s="1">
        <v>5226458</v>
      </c>
      <c r="F77" s="1" t="s">
        <v>428</v>
      </c>
      <c r="H77" s="1" t="s">
        <v>1300</v>
      </c>
      <c r="J77" s="1" t="s">
        <v>1301</v>
      </c>
      <c r="L77" s="1" t="s">
        <v>1302</v>
      </c>
      <c r="M77" s="1" t="s">
        <v>1302</v>
      </c>
      <c r="N77" s="1" t="s">
        <v>1303</v>
      </c>
      <c r="O77" s="1" t="s">
        <v>432</v>
      </c>
      <c r="R77" s="1" t="s">
        <v>1301</v>
      </c>
      <c r="S77" s="1" t="s">
        <v>1304</v>
      </c>
      <c r="AB77" s="3">
        <v>46072.417731481481</v>
      </c>
      <c r="AC77" s="3">
        <v>46071.533680555556</v>
      </c>
      <c r="AE77" s="1" t="s">
        <v>1305</v>
      </c>
      <c r="BB77" s="1" t="s">
        <v>1306</v>
      </c>
      <c r="CO77" s="1" t="s">
        <v>435</v>
      </c>
      <c r="CQ77" s="1" t="s">
        <v>432</v>
      </c>
      <c r="CR77" s="1" t="s">
        <v>523</v>
      </c>
      <c r="CS77" s="1" t="s">
        <v>523</v>
      </c>
      <c r="CT77" s="3">
        <v>46071.945023148146</v>
      </c>
      <c r="CU77" s="1" t="s">
        <v>436</v>
      </c>
      <c r="CV77" s="1" t="s">
        <v>512</v>
      </c>
      <c r="CY77" s="1" t="s">
        <v>438</v>
      </c>
      <c r="DP77" s="1" t="s">
        <v>1307</v>
      </c>
      <c r="DU77" s="1" t="s">
        <v>1308</v>
      </c>
      <c r="GZ77" s="1" t="s">
        <v>1307</v>
      </c>
      <c r="HA77" s="1" t="s">
        <v>1308</v>
      </c>
      <c r="NM77" s="1" t="s">
        <v>441</v>
      </c>
      <c r="NN77" s="1">
        <v>4</v>
      </c>
      <c r="NS77" s="1">
        <v>5</v>
      </c>
      <c r="NT77" s="1">
        <v>5</v>
      </c>
      <c r="OA77" s="1">
        <v>5</v>
      </c>
      <c r="OB77" s="1">
        <v>5</v>
      </c>
      <c r="OC77" s="1">
        <v>5</v>
      </c>
      <c r="OD77" s="1">
        <v>5</v>
      </c>
      <c r="SB77" s="1" t="s">
        <v>1309</v>
      </c>
      <c r="SC77" s="1" t="s">
        <v>1309</v>
      </c>
      <c r="SF77" s="1" t="s">
        <v>1310</v>
      </c>
      <c r="SG77" s="1" t="s">
        <v>1311</v>
      </c>
      <c r="SH77" s="1" t="s">
        <v>438</v>
      </c>
      <c r="SI77" s="1" t="s">
        <v>438</v>
      </c>
      <c r="SK77" s="1" t="s">
        <v>568</v>
      </c>
      <c r="SL77" s="1" t="s">
        <v>672</v>
      </c>
      <c r="SM77" s="1" t="s">
        <v>620</v>
      </c>
    </row>
    <row r="78" spans="1:507" ht="48" x14ac:dyDescent="0.2">
      <c r="A78" s="1" t="s">
        <v>1312</v>
      </c>
      <c r="B78" s="1">
        <v>10</v>
      </c>
      <c r="C78" s="1">
        <v>5</v>
      </c>
      <c r="D78" s="3">
        <v>46071.877905092595</v>
      </c>
      <c r="E78" s="1">
        <v>5226321</v>
      </c>
      <c r="F78" s="1" t="s">
        <v>428</v>
      </c>
      <c r="H78" s="1" t="s">
        <v>1313</v>
      </c>
      <c r="J78" s="1" t="s">
        <v>1314</v>
      </c>
      <c r="L78" s="1" t="s">
        <v>1315</v>
      </c>
      <c r="N78" s="1" t="s">
        <v>1316</v>
      </c>
      <c r="O78" s="1" t="s">
        <v>432</v>
      </c>
      <c r="R78" s="1" t="s">
        <v>1314</v>
      </c>
      <c r="S78" s="1" t="s">
        <v>1317</v>
      </c>
      <c r="AB78" s="3">
        <v>46072.429155092592</v>
      </c>
      <c r="AC78" s="3">
        <v>46071.765914351854</v>
      </c>
      <c r="AE78" s="1" t="s">
        <v>1318</v>
      </c>
      <c r="BB78" s="1" t="s">
        <v>1319</v>
      </c>
      <c r="CO78" s="1" t="s">
        <v>435</v>
      </c>
      <c r="CQ78" s="1" t="s">
        <v>432</v>
      </c>
      <c r="CR78" s="1" t="s">
        <v>523</v>
      </c>
      <c r="CS78" s="1" t="s">
        <v>523</v>
      </c>
      <c r="CT78" s="3">
        <v>46071.877280092594</v>
      </c>
      <c r="CU78" s="1" t="s">
        <v>436</v>
      </c>
      <c r="CV78" s="1" t="s">
        <v>512</v>
      </c>
      <c r="CY78" s="1" t="s">
        <v>438</v>
      </c>
      <c r="DP78" s="1" t="s">
        <v>1320</v>
      </c>
      <c r="DU78" s="1" t="s">
        <v>874</v>
      </c>
      <c r="GZ78" s="1" t="s">
        <v>1320</v>
      </c>
      <c r="HA78" s="1" t="s">
        <v>874</v>
      </c>
      <c r="NM78" s="1" t="s">
        <v>441</v>
      </c>
      <c r="NN78" s="1">
        <v>5</v>
      </c>
      <c r="NS78" s="1">
        <v>5</v>
      </c>
      <c r="NT78" s="1">
        <v>5</v>
      </c>
      <c r="OA78" s="1">
        <v>5</v>
      </c>
      <c r="OB78" s="1">
        <v>5</v>
      </c>
      <c r="OC78" s="1">
        <v>5</v>
      </c>
      <c r="OD78" s="1">
        <v>5</v>
      </c>
      <c r="SC78" s="1" t="s">
        <v>443</v>
      </c>
      <c r="SG78" s="1" t="s">
        <v>579</v>
      </c>
      <c r="SH78" s="1" t="s">
        <v>438</v>
      </c>
      <c r="SI78" s="1" t="s">
        <v>438</v>
      </c>
      <c r="SK78" s="1" t="s">
        <v>568</v>
      </c>
    </row>
    <row r="79" spans="1:507" ht="64" x14ac:dyDescent="0.2">
      <c r="A79" s="1" t="s">
        <v>1321</v>
      </c>
      <c r="B79" s="1">
        <v>10</v>
      </c>
      <c r="C79" s="1">
        <v>5</v>
      </c>
      <c r="D79" s="3">
        <v>46071.867800925924</v>
      </c>
      <c r="E79" s="1">
        <v>5226285</v>
      </c>
      <c r="F79" s="1" t="s">
        <v>428</v>
      </c>
      <c r="H79" s="1" t="s">
        <v>1322</v>
      </c>
      <c r="J79" s="1" t="s">
        <v>1323</v>
      </c>
      <c r="L79" s="1" t="s">
        <v>1324</v>
      </c>
      <c r="M79" s="1" t="s">
        <v>1324</v>
      </c>
      <c r="N79" s="1" t="s">
        <v>1325</v>
      </c>
      <c r="O79" s="1" t="s">
        <v>432</v>
      </c>
      <c r="R79" s="1" t="s">
        <v>1323</v>
      </c>
      <c r="S79" s="1" t="s">
        <v>1326</v>
      </c>
      <c r="AB79" s="3">
        <v>46072.436562499999</v>
      </c>
      <c r="AC79" s="3">
        <v>46071.851168981484</v>
      </c>
      <c r="AE79" s="1" t="s">
        <v>1327</v>
      </c>
      <c r="BB79" s="1" t="s">
        <v>1328</v>
      </c>
      <c r="CO79" s="1" t="s">
        <v>435</v>
      </c>
      <c r="CQ79" s="1" t="s">
        <v>432</v>
      </c>
      <c r="CR79" s="1" t="s">
        <v>523</v>
      </c>
      <c r="CS79" s="1" t="s">
        <v>523</v>
      </c>
      <c r="CT79" s="3">
        <v>46071.866805555554</v>
      </c>
      <c r="CU79" s="1" t="s">
        <v>436</v>
      </c>
      <c r="CV79" s="1" t="s">
        <v>512</v>
      </c>
      <c r="CY79" s="1" t="s">
        <v>438</v>
      </c>
      <c r="DP79" s="1" t="s">
        <v>1329</v>
      </c>
      <c r="DU79" s="1" t="s">
        <v>1330</v>
      </c>
      <c r="GZ79" s="1" t="s">
        <v>1329</v>
      </c>
      <c r="HA79" s="1" t="s">
        <v>1330</v>
      </c>
      <c r="NM79" s="1" t="s">
        <v>441</v>
      </c>
      <c r="NN79" s="1">
        <v>5</v>
      </c>
      <c r="NS79" s="1">
        <v>5</v>
      </c>
      <c r="NT79" s="1">
        <v>5</v>
      </c>
      <c r="OA79" s="1">
        <v>5</v>
      </c>
      <c r="OB79" s="1">
        <v>5</v>
      </c>
      <c r="OC79" s="1">
        <v>5</v>
      </c>
      <c r="OD79" s="1">
        <v>5</v>
      </c>
      <c r="SB79" s="1" t="s">
        <v>1331</v>
      </c>
      <c r="SC79" s="1" t="s">
        <v>1332</v>
      </c>
      <c r="SF79" s="1" t="s">
        <v>1333</v>
      </c>
      <c r="SG79" s="1" t="s">
        <v>1334</v>
      </c>
      <c r="SH79" s="1" t="s">
        <v>438</v>
      </c>
      <c r="SI79" s="1" t="s">
        <v>438</v>
      </c>
      <c r="SK79" s="1" t="s">
        <v>445</v>
      </c>
      <c r="SL79" s="1" t="s">
        <v>919</v>
      </c>
    </row>
    <row r="80" spans="1:507" ht="64" x14ac:dyDescent="0.2">
      <c r="A80" s="1" t="s">
        <v>1335</v>
      </c>
      <c r="B80" s="1">
        <v>10</v>
      </c>
      <c r="C80" s="1">
        <v>5</v>
      </c>
      <c r="D80" s="3">
        <v>46071.741851851853</v>
      </c>
      <c r="E80" s="1">
        <v>5225855</v>
      </c>
      <c r="F80" s="1" t="s">
        <v>428</v>
      </c>
      <c r="H80" s="1" t="s">
        <v>1336</v>
      </c>
      <c r="J80" s="1" t="s">
        <v>1337</v>
      </c>
      <c r="L80" s="1" t="s">
        <v>1338</v>
      </c>
      <c r="N80" s="1" t="s">
        <v>1339</v>
      </c>
      <c r="O80" s="1" t="s">
        <v>432</v>
      </c>
      <c r="R80" s="1" t="s">
        <v>1337</v>
      </c>
      <c r="S80" s="1" t="s">
        <v>1340</v>
      </c>
      <c r="AB80" s="3">
        <v>46072.347777777781</v>
      </c>
      <c r="AC80" s="3">
        <v>46071.808842592596</v>
      </c>
      <c r="AE80" s="1" t="s">
        <v>1341</v>
      </c>
      <c r="BB80" s="1" t="s">
        <v>1342</v>
      </c>
      <c r="CO80" s="1" t="s">
        <v>435</v>
      </c>
      <c r="CQ80" s="1" t="s">
        <v>432</v>
      </c>
      <c r="CR80" s="1" t="s">
        <v>511</v>
      </c>
      <c r="CS80" s="1" t="s">
        <v>511</v>
      </c>
      <c r="CT80" s="3">
        <v>46071.741770833331</v>
      </c>
      <c r="CU80" s="1" t="s">
        <v>436</v>
      </c>
      <c r="CV80" s="1" t="s">
        <v>512</v>
      </c>
      <c r="CY80" s="1" t="s">
        <v>438</v>
      </c>
      <c r="DP80" s="1" t="s">
        <v>1343</v>
      </c>
      <c r="GZ80" s="1" t="s">
        <v>1343</v>
      </c>
      <c r="NM80" s="1" t="s">
        <v>441</v>
      </c>
      <c r="NN80" s="1">
        <v>4</v>
      </c>
      <c r="NS80" s="1">
        <v>5</v>
      </c>
      <c r="NT80" s="1">
        <v>5</v>
      </c>
      <c r="OA80" s="1">
        <v>5</v>
      </c>
      <c r="OB80" s="1">
        <v>5</v>
      </c>
      <c r="OC80" s="1">
        <v>5</v>
      </c>
      <c r="OD80" s="1">
        <v>5</v>
      </c>
      <c r="SB80" s="1" t="s">
        <v>1344</v>
      </c>
      <c r="SC80" s="1" t="s">
        <v>1345</v>
      </c>
      <c r="SF80" s="1" t="s">
        <v>1346</v>
      </c>
      <c r="SG80" s="1" t="s">
        <v>1347</v>
      </c>
      <c r="SH80" s="1" t="s">
        <v>438</v>
      </c>
      <c r="SI80" s="1" t="s">
        <v>432</v>
      </c>
      <c r="SK80" s="1" t="s">
        <v>445</v>
      </c>
      <c r="SL80" s="1" t="s">
        <v>919</v>
      </c>
    </row>
    <row r="81" spans="1:507" ht="64" x14ac:dyDescent="0.2">
      <c r="A81" s="1" t="s">
        <v>1348</v>
      </c>
      <c r="B81" s="1">
        <v>10</v>
      </c>
      <c r="C81" s="1">
        <v>5</v>
      </c>
      <c r="D81" s="3">
        <v>46071.726793981485</v>
      </c>
      <c r="E81" s="1">
        <v>5225816</v>
      </c>
      <c r="F81" s="1" t="s">
        <v>428</v>
      </c>
      <c r="H81" s="1" t="s">
        <v>1349</v>
      </c>
      <c r="J81" s="1" t="s">
        <v>1350</v>
      </c>
      <c r="L81" s="1" t="s">
        <v>1351</v>
      </c>
      <c r="O81" s="1" t="s">
        <v>432</v>
      </c>
      <c r="R81" s="1" t="s">
        <v>1350</v>
      </c>
      <c r="AB81" s="3">
        <v>46072.345879629633</v>
      </c>
      <c r="AC81" s="3">
        <v>46071.534131944441</v>
      </c>
      <c r="AE81" s="1" t="s">
        <v>1352</v>
      </c>
      <c r="BB81" s="1" t="s">
        <v>1353</v>
      </c>
      <c r="CO81" s="1" t="s">
        <v>435</v>
      </c>
      <c r="CQ81" s="1" t="s">
        <v>432</v>
      </c>
      <c r="CR81" s="1" t="s">
        <v>511</v>
      </c>
      <c r="CS81" s="1" t="s">
        <v>511</v>
      </c>
      <c r="CT81" s="3">
        <v>46071.725706018522</v>
      </c>
      <c r="CU81" s="1" t="s">
        <v>436</v>
      </c>
      <c r="CV81" s="1" t="s">
        <v>512</v>
      </c>
      <c r="CY81" s="1" t="s">
        <v>438</v>
      </c>
      <c r="DP81" s="1" t="s">
        <v>1354</v>
      </c>
      <c r="GZ81" s="1" t="s">
        <v>1354</v>
      </c>
      <c r="NM81" s="1" t="s">
        <v>441</v>
      </c>
      <c r="NN81" s="1">
        <v>5</v>
      </c>
      <c r="NS81" s="1">
        <v>5</v>
      </c>
      <c r="NT81" s="1">
        <v>5</v>
      </c>
      <c r="OA81" s="1">
        <v>5</v>
      </c>
      <c r="OB81" s="1">
        <v>5</v>
      </c>
      <c r="OC81" s="1">
        <v>5</v>
      </c>
      <c r="OD81" s="1">
        <v>5</v>
      </c>
      <c r="SB81" s="1" t="s">
        <v>1355</v>
      </c>
      <c r="SC81" s="1" t="s">
        <v>773</v>
      </c>
      <c r="SF81" s="1" t="s">
        <v>1356</v>
      </c>
      <c r="SG81" s="1" t="s">
        <v>1357</v>
      </c>
      <c r="SH81" s="1" t="s">
        <v>438</v>
      </c>
      <c r="SI81" s="1" t="s">
        <v>438</v>
      </c>
      <c r="SK81" s="1" t="s">
        <v>445</v>
      </c>
    </row>
    <row r="82" spans="1:507" ht="80" x14ac:dyDescent="0.2">
      <c r="A82" s="1" t="s">
        <v>1358</v>
      </c>
      <c r="B82" s="1">
        <v>10</v>
      </c>
      <c r="C82" s="1">
        <v>5</v>
      </c>
      <c r="D82" s="3">
        <v>46071.710150462961</v>
      </c>
      <c r="E82" s="1">
        <v>5225751</v>
      </c>
      <c r="F82" s="1" t="s">
        <v>428</v>
      </c>
      <c r="H82" s="1" t="s">
        <v>1359</v>
      </c>
      <c r="J82" s="1" t="s">
        <v>1360</v>
      </c>
      <c r="L82" s="1" t="s">
        <v>1361</v>
      </c>
      <c r="M82" s="1" t="s">
        <v>1362</v>
      </c>
      <c r="N82" s="1" t="s">
        <v>1363</v>
      </c>
      <c r="O82" s="1" t="s">
        <v>432</v>
      </c>
      <c r="R82" s="1" t="s">
        <v>1360</v>
      </c>
      <c r="S82" s="1" t="s">
        <v>1364</v>
      </c>
      <c r="AB82" s="3">
        <v>46072.34097222222</v>
      </c>
      <c r="AC82" s="3">
        <v>46070.535173611112</v>
      </c>
      <c r="AE82" s="1" t="s">
        <v>1365</v>
      </c>
      <c r="BB82" s="1" t="s">
        <v>1366</v>
      </c>
      <c r="CO82" s="1" t="s">
        <v>435</v>
      </c>
      <c r="CQ82" s="1" t="s">
        <v>432</v>
      </c>
      <c r="CR82" s="1" t="s">
        <v>511</v>
      </c>
      <c r="CS82" s="1" t="s">
        <v>511</v>
      </c>
      <c r="CT82" s="3">
        <v>46071.70921296296</v>
      </c>
      <c r="CU82" s="1" t="s">
        <v>436</v>
      </c>
      <c r="CV82" s="1" t="s">
        <v>512</v>
      </c>
      <c r="CY82" s="1" t="s">
        <v>438</v>
      </c>
      <c r="DP82" s="1" t="s">
        <v>1367</v>
      </c>
      <c r="GZ82" s="1" t="s">
        <v>1367</v>
      </c>
      <c r="NM82" s="1" t="s">
        <v>441</v>
      </c>
      <c r="NN82" s="1">
        <v>5</v>
      </c>
      <c r="NS82" s="1">
        <v>4</v>
      </c>
      <c r="NT82" s="1">
        <v>5</v>
      </c>
      <c r="OA82" s="1">
        <v>5</v>
      </c>
      <c r="OB82" s="1">
        <v>5</v>
      </c>
      <c r="OC82" s="1">
        <v>5</v>
      </c>
      <c r="OD82" s="1">
        <v>4</v>
      </c>
      <c r="SB82" s="1" t="s">
        <v>1368</v>
      </c>
      <c r="SC82" s="1" t="s">
        <v>1369</v>
      </c>
      <c r="SF82" s="1" t="s">
        <v>1370</v>
      </c>
      <c r="SG82" s="1" t="s">
        <v>1371</v>
      </c>
      <c r="SH82" s="1" t="s">
        <v>438</v>
      </c>
      <c r="SI82" s="1" t="s">
        <v>438</v>
      </c>
      <c r="SK82" s="1" t="s">
        <v>445</v>
      </c>
      <c r="SL82" s="1" t="s">
        <v>919</v>
      </c>
      <c r="SM82" s="1" t="s">
        <v>1372</v>
      </c>
    </row>
    <row r="83" spans="1:507" ht="160" x14ac:dyDescent="0.2">
      <c r="A83" s="1" t="s">
        <v>1373</v>
      </c>
      <c r="B83" s="1">
        <v>10</v>
      </c>
      <c r="C83" s="1">
        <v>5</v>
      </c>
      <c r="D83" s="3">
        <v>46071.634930555556</v>
      </c>
      <c r="E83" s="1">
        <v>5225480</v>
      </c>
      <c r="F83" s="1" t="s">
        <v>428</v>
      </c>
      <c r="H83" s="1" t="s">
        <v>1374</v>
      </c>
      <c r="J83" s="1" t="s">
        <v>1375</v>
      </c>
      <c r="L83" s="1" t="s">
        <v>1376</v>
      </c>
      <c r="M83" s="1" t="s">
        <v>1376</v>
      </c>
      <c r="N83" s="1" t="s">
        <v>450</v>
      </c>
      <c r="O83" s="1" t="s">
        <v>438</v>
      </c>
      <c r="R83" s="1" t="s">
        <v>1375</v>
      </c>
      <c r="S83" s="1" t="s">
        <v>451</v>
      </c>
      <c r="AB83" s="3">
        <v>46072.381631944445</v>
      </c>
      <c r="AC83" s="3">
        <v>46071.533055555556</v>
      </c>
      <c r="AE83" s="1" t="s">
        <v>1377</v>
      </c>
      <c r="BB83" s="1" t="s">
        <v>1378</v>
      </c>
      <c r="CO83" s="1" t="s">
        <v>435</v>
      </c>
      <c r="CQ83" s="1" t="s">
        <v>432</v>
      </c>
      <c r="CR83" s="1" t="s">
        <v>523</v>
      </c>
      <c r="CS83" s="1" t="s">
        <v>523</v>
      </c>
      <c r="CT83" s="3">
        <v>46071.633425925924</v>
      </c>
      <c r="CU83" s="1" t="s">
        <v>436</v>
      </c>
      <c r="CV83" s="1" t="s">
        <v>512</v>
      </c>
      <c r="CY83" s="1" t="s">
        <v>438</v>
      </c>
      <c r="DP83" s="1" t="s">
        <v>1379</v>
      </c>
      <c r="DU83" s="1" t="s">
        <v>682</v>
      </c>
      <c r="GZ83" s="1" t="s">
        <v>1379</v>
      </c>
      <c r="HA83" s="1" t="s">
        <v>682</v>
      </c>
      <c r="NM83" s="1" t="s">
        <v>441</v>
      </c>
      <c r="NN83" s="1">
        <v>5</v>
      </c>
      <c r="NS83" s="1">
        <v>5</v>
      </c>
      <c r="NT83" s="1">
        <v>5</v>
      </c>
      <c r="OA83" s="1">
        <v>5</v>
      </c>
      <c r="OB83" s="1" t="s">
        <v>442</v>
      </c>
      <c r="OC83" s="1">
        <v>5</v>
      </c>
      <c r="OD83" s="1">
        <v>5</v>
      </c>
      <c r="SB83" s="1" t="s">
        <v>1331</v>
      </c>
      <c r="SC83" s="1" t="s">
        <v>1380</v>
      </c>
      <c r="SF83" s="1" t="s">
        <v>1381</v>
      </c>
      <c r="SG83" s="1" t="s">
        <v>1382</v>
      </c>
      <c r="SH83" s="1" t="s">
        <v>438</v>
      </c>
      <c r="SI83" s="1" t="s">
        <v>438</v>
      </c>
      <c r="SK83" s="1" t="s">
        <v>672</v>
      </c>
      <c r="SL83" s="1" t="s">
        <v>568</v>
      </c>
    </row>
    <row r="84" spans="1:507" ht="32" x14ac:dyDescent="0.2">
      <c r="A84" s="1" t="s">
        <v>1383</v>
      </c>
      <c r="B84" s="1">
        <v>9</v>
      </c>
      <c r="C84" s="1">
        <v>5</v>
      </c>
      <c r="D84" s="3">
        <v>46071.615868055553</v>
      </c>
      <c r="E84" s="1">
        <v>5225430</v>
      </c>
      <c r="F84" s="1" t="s">
        <v>428</v>
      </c>
      <c r="H84" s="1" t="s">
        <v>1384</v>
      </c>
      <c r="J84" s="1" t="s">
        <v>1385</v>
      </c>
      <c r="L84" s="1" t="s">
        <v>1386</v>
      </c>
      <c r="M84" s="1" t="s">
        <v>1386</v>
      </c>
      <c r="N84" s="1" t="s">
        <v>1387</v>
      </c>
      <c r="O84" s="1" t="s">
        <v>438</v>
      </c>
      <c r="R84" s="1" t="s">
        <v>1385</v>
      </c>
      <c r="S84" s="1" t="s">
        <v>1388</v>
      </c>
      <c r="AB84" s="3">
        <v>46072.3830787037</v>
      </c>
      <c r="AC84" s="3">
        <v>46045.532256944447</v>
      </c>
      <c r="AE84" s="1" t="s">
        <v>1389</v>
      </c>
      <c r="BB84" s="1" t="s">
        <v>1390</v>
      </c>
      <c r="CO84" s="1" t="s">
        <v>435</v>
      </c>
      <c r="CQ84" s="1" t="s">
        <v>432</v>
      </c>
      <c r="CR84" s="1" t="s">
        <v>523</v>
      </c>
      <c r="CS84" s="1" t="s">
        <v>523</v>
      </c>
      <c r="CT84" s="3">
        <v>46071.615474537037</v>
      </c>
      <c r="CU84" s="1" t="s">
        <v>436</v>
      </c>
      <c r="CV84" s="1" t="s">
        <v>512</v>
      </c>
      <c r="CY84" s="1" t="s">
        <v>438</v>
      </c>
      <c r="DP84" s="1" t="s">
        <v>1391</v>
      </c>
      <c r="DU84" s="1" t="s">
        <v>440</v>
      </c>
      <c r="GZ84" s="1" t="s">
        <v>1391</v>
      </c>
      <c r="HA84" s="1" t="s">
        <v>440</v>
      </c>
      <c r="NM84" s="1" t="s">
        <v>441</v>
      </c>
      <c r="NN84" s="1">
        <v>4</v>
      </c>
      <c r="NS84" s="1">
        <v>4</v>
      </c>
      <c r="NT84" s="1">
        <v>4</v>
      </c>
      <c r="OA84" s="1">
        <v>4</v>
      </c>
      <c r="OB84" s="1">
        <v>4</v>
      </c>
      <c r="OC84" s="1">
        <v>4</v>
      </c>
      <c r="OD84" s="1">
        <v>5</v>
      </c>
      <c r="SC84" s="1" t="s">
        <v>443</v>
      </c>
      <c r="SG84" s="1" t="s">
        <v>444</v>
      </c>
      <c r="SH84" s="1" t="s">
        <v>438</v>
      </c>
      <c r="SI84" s="1" t="s">
        <v>432</v>
      </c>
      <c r="SK84" s="1" t="s">
        <v>445</v>
      </c>
    </row>
    <row r="85" spans="1:507" ht="48" x14ac:dyDescent="0.2">
      <c r="A85" s="1" t="s">
        <v>1392</v>
      </c>
      <c r="B85" s="1">
        <v>10</v>
      </c>
      <c r="C85" s="1">
        <v>5</v>
      </c>
      <c r="D85" s="3">
        <v>46071.559328703705</v>
      </c>
      <c r="E85" s="1">
        <v>5225174</v>
      </c>
      <c r="F85" s="1" t="s">
        <v>428</v>
      </c>
      <c r="H85" s="1" t="s">
        <v>1393</v>
      </c>
      <c r="J85" s="1" t="s">
        <v>1394</v>
      </c>
      <c r="L85" s="1" t="s">
        <v>1395</v>
      </c>
      <c r="N85" s="1" t="s">
        <v>1131</v>
      </c>
      <c r="O85" s="1" t="s">
        <v>432</v>
      </c>
      <c r="R85" s="1" t="s">
        <v>1394</v>
      </c>
      <c r="S85" s="1" t="s">
        <v>1132</v>
      </c>
      <c r="AB85" s="3">
        <v>46071.574062500003</v>
      </c>
      <c r="AC85" s="3">
        <v>46071.681574074071</v>
      </c>
      <c r="AE85" s="1" t="s">
        <v>1396</v>
      </c>
      <c r="BB85" s="1" t="s">
        <v>1397</v>
      </c>
      <c r="CO85" s="1" t="s">
        <v>435</v>
      </c>
      <c r="CQ85" s="1" t="s">
        <v>432</v>
      </c>
      <c r="CR85" s="1" t="s">
        <v>561</v>
      </c>
      <c r="CS85" s="1" t="s">
        <v>561</v>
      </c>
      <c r="CT85" s="3">
        <v>46071.558981481481</v>
      </c>
      <c r="CU85" s="1" t="s">
        <v>436</v>
      </c>
      <c r="CV85" s="1" t="s">
        <v>512</v>
      </c>
      <c r="CY85" s="1" t="s">
        <v>438</v>
      </c>
      <c r="DP85" s="1" t="s">
        <v>1398</v>
      </c>
      <c r="DU85" s="1" t="s">
        <v>442</v>
      </c>
      <c r="GZ85" s="1" t="s">
        <v>1398</v>
      </c>
      <c r="HA85" s="1" t="s">
        <v>442</v>
      </c>
      <c r="NM85" s="1" t="s">
        <v>441</v>
      </c>
      <c r="NN85" s="1">
        <v>5</v>
      </c>
      <c r="NS85" s="1">
        <v>5</v>
      </c>
      <c r="NT85" s="1">
        <v>5</v>
      </c>
      <c r="OA85" s="1">
        <v>5</v>
      </c>
      <c r="OB85" s="1">
        <v>5</v>
      </c>
      <c r="OC85" s="1">
        <v>5</v>
      </c>
      <c r="OD85" s="1">
        <v>5</v>
      </c>
      <c r="SB85" s="1" t="s">
        <v>1082</v>
      </c>
      <c r="SC85" s="1" t="s">
        <v>1399</v>
      </c>
      <c r="SF85" s="1" t="s">
        <v>1400</v>
      </c>
      <c r="SG85" s="1" t="s">
        <v>1401</v>
      </c>
      <c r="SH85" s="1" t="s">
        <v>438</v>
      </c>
      <c r="SI85" s="1" t="s">
        <v>432</v>
      </c>
      <c r="SK85" s="1" t="s">
        <v>500</v>
      </c>
      <c r="SL85" s="1" t="s">
        <v>955</v>
      </c>
    </row>
    <row r="86" spans="1:507" ht="409.6" x14ac:dyDescent="0.2">
      <c r="A86" s="1" t="s">
        <v>1402</v>
      </c>
      <c r="B86" s="1">
        <v>1</v>
      </c>
      <c r="C86" s="1">
        <v>1</v>
      </c>
      <c r="D86" s="3">
        <v>46071.49590277778</v>
      </c>
      <c r="E86" s="1">
        <v>5224919</v>
      </c>
      <c r="F86" s="1" t="s">
        <v>428</v>
      </c>
      <c r="H86" s="1" t="s">
        <v>1403</v>
      </c>
      <c r="J86" s="1" t="s">
        <v>1404</v>
      </c>
      <c r="L86" s="1" t="s">
        <v>1405</v>
      </c>
      <c r="M86" s="1" t="s">
        <v>1405</v>
      </c>
      <c r="N86" s="1" t="s">
        <v>1406</v>
      </c>
      <c r="O86" s="1" t="s">
        <v>432</v>
      </c>
      <c r="R86" s="1" t="s">
        <v>1404</v>
      </c>
      <c r="S86" s="1" t="s">
        <v>1407</v>
      </c>
      <c r="AB86" s="3">
        <v>46077.724259259259</v>
      </c>
      <c r="AC86" s="3">
        <v>46071.534236111111</v>
      </c>
      <c r="AE86" s="1" t="s">
        <v>1408</v>
      </c>
      <c r="BB86" s="1" t="s">
        <v>1409</v>
      </c>
      <c r="CO86" s="1" t="s">
        <v>435</v>
      </c>
      <c r="CQ86" s="1" t="s">
        <v>432</v>
      </c>
      <c r="CR86" s="1" t="s">
        <v>1205</v>
      </c>
      <c r="CS86" s="1" t="s">
        <v>729</v>
      </c>
      <c r="CT86" s="3">
        <v>46071.492175925923</v>
      </c>
      <c r="CU86" s="1" t="s">
        <v>1206</v>
      </c>
      <c r="CV86" s="1" t="s">
        <v>512</v>
      </c>
      <c r="CW86" s="3">
        <v>46077.724178240744</v>
      </c>
      <c r="CX86" s="1" t="s">
        <v>1057</v>
      </c>
      <c r="CY86" s="1" t="s">
        <v>438</v>
      </c>
      <c r="DP86" s="1" t="s">
        <v>1410</v>
      </c>
      <c r="DU86" s="1" t="s">
        <v>1411</v>
      </c>
      <c r="GZ86" s="1" t="s">
        <v>1410</v>
      </c>
      <c r="HA86" s="1" t="s">
        <v>1411</v>
      </c>
      <c r="NM86" s="1" t="s">
        <v>441</v>
      </c>
      <c r="NN86" s="1">
        <v>1</v>
      </c>
      <c r="NS86" s="1">
        <v>5</v>
      </c>
      <c r="NT86" s="1">
        <v>5</v>
      </c>
      <c r="OA86" s="1">
        <v>1</v>
      </c>
      <c r="OB86" s="1">
        <v>1</v>
      </c>
      <c r="OC86" s="1">
        <v>1</v>
      </c>
      <c r="OD86" s="1">
        <v>1</v>
      </c>
      <c r="SB86" s="1" t="s">
        <v>1412</v>
      </c>
      <c r="SC86" s="1" t="s">
        <v>1413</v>
      </c>
      <c r="SF86" s="1" t="s">
        <v>1414</v>
      </c>
      <c r="SG86" s="1" t="s">
        <v>1415</v>
      </c>
      <c r="SH86" s="1" t="s">
        <v>438</v>
      </c>
      <c r="SI86" s="1" t="s">
        <v>438</v>
      </c>
      <c r="SK86" s="1" t="s">
        <v>760</v>
      </c>
      <c r="SL86" s="1" t="s">
        <v>620</v>
      </c>
      <c r="SM86" s="1" t="s">
        <v>1416</v>
      </c>
    </row>
    <row r="87" spans="1:507" ht="32" x14ac:dyDescent="0.2">
      <c r="A87" s="1" t="s">
        <v>1417</v>
      </c>
      <c r="B87" s="1">
        <v>9</v>
      </c>
      <c r="C87" s="1">
        <v>5</v>
      </c>
      <c r="D87" s="3">
        <v>46071.47960648148</v>
      </c>
      <c r="E87" s="1">
        <v>5224870</v>
      </c>
      <c r="F87" s="1" t="s">
        <v>428</v>
      </c>
      <c r="H87" s="1" t="s">
        <v>1418</v>
      </c>
      <c r="J87" s="1" t="s">
        <v>1419</v>
      </c>
      <c r="L87" s="1" t="s">
        <v>1420</v>
      </c>
      <c r="M87" s="1" t="s">
        <v>1420</v>
      </c>
      <c r="N87" s="1" t="s">
        <v>1421</v>
      </c>
      <c r="O87" s="1" t="s">
        <v>432</v>
      </c>
      <c r="R87" s="1" t="s">
        <v>1419</v>
      </c>
      <c r="S87" s="1" t="s">
        <v>1422</v>
      </c>
      <c r="AB87" s="3">
        <v>46072.393472222226</v>
      </c>
      <c r="AC87" s="3">
        <v>46071.532650462963</v>
      </c>
      <c r="AE87" s="1" t="s">
        <v>1423</v>
      </c>
      <c r="BB87" s="1" t="s">
        <v>1424</v>
      </c>
      <c r="CO87" s="1" t="s">
        <v>435</v>
      </c>
      <c r="CQ87" s="1" t="s">
        <v>432</v>
      </c>
      <c r="CR87" s="1" t="s">
        <v>534</v>
      </c>
      <c r="CS87" s="1" t="s">
        <v>534</v>
      </c>
      <c r="CT87" s="3">
        <v>46071.480115740742</v>
      </c>
      <c r="CU87" s="1" t="s">
        <v>436</v>
      </c>
      <c r="CV87" s="1" t="s">
        <v>512</v>
      </c>
      <c r="CY87" s="1" t="s">
        <v>438</v>
      </c>
      <c r="DP87" s="1" t="s">
        <v>1425</v>
      </c>
      <c r="DU87" s="1" t="s">
        <v>682</v>
      </c>
      <c r="GZ87" s="1" t="s">
        <v>1425</v>
      </c>
      <c r="HA87" s="1" t="s">
        <v>682</v>
      </c>
      <c r="NM87" s="1" t="s">
        <v>441</v>
      </c>
      <c r="NN87" s="1">
        <v>4</v>
      </c>
      <c r="NS87" s="1">
        <v>4</v>
      </c>
      <c r="NT87" s="1">
        <v>5</v>
      </c>
      <c r="OA87" s="1">
        <v>5</v>
      </c>
      <c r="OB87" s="1">
        <v>4</v>
      </c>
      <c r="OC87" s="1">
        <v>5</v>
      </c>
      <c r="OD87" s="1">
        <v>5</v>
      </c>
      <c r="SC87" s="1" t="s">
        <v>443</v>
      </c>
      <c r="SG87" s="1" t="s">
        <v>444</v>
      </c>
      <c r="SH87" s="1" t="s">
        <v>438</v>
      </c>
      <c r="SI87" s="1" t="s">
        <v>432</v>
      </c>
      <c r="SK87" s="1" t="s">
        <v>445</v>
      </c>
    </row>
    <row r="88" spans="1:507" ht="32" x14ac:dyDescent="0.2">
      <c r="A88" s="1" t="s">
        <v>1426</v>
      </c>
      <c r="B88" s="1">
        <v>10</v>
      </c>
      <c r="C88" s="1">
        <v>5</v>
      </c>
      <c r="D88" s="3">
        <v>46071.420925925922</v>
      </c>
      <c r="E88" s="1">
        <v>5224582</v>
      </c>
      <c r="F88" s="1" t="s">
        <v>428</v>
      </c>
      <c r="H88" s="1" t="s">
        <v>1427</v>
      </c>
      <c r="J88" s="1" t="s">
        <v>1428</v>
      </c>
      <c r="L88" s="1" t="s">
        <v>1429</v>
      </c>
      <c r="M88" s="1" t="s">
        <v>1429</v>
      </c>
      <c r="N88" s="1" t="s">
        <v>1430</v>
      </c>
      <c r="O88" s="1" t="s">
        <v>438</v>
      </c>
      <c r="R88" s="1" t="s">
        <v>1428</v>
      </c>
      <c r="S88" s="1" t="s">
        <v>1431</v>
      </c>
      <c r="AB88" s="3">
        <v>46071.562523148146</v>
      </c>
      <c r="AC88" s="3">
        <v>46071.535219907404</v>
      </c>
      <c r="AE88" s="1" t="s">
        <v>1432</v>
      </c>
      <c r="BB88" s="1" t="s">
        <v>1433</v>
      </c>
      <c r="CO88" s="1" t="s">
        <v>435</v>
      </c>
      <c r="CQ88" s="1" t="s">
        <v>432</v>
      </c>
      <c r="CR88" s="1" t="s">
        <v>1227</v>
      </c>
      <c r="CS88" s="1" t="s">
        <v>1227</v>
      </c>
      <c r="CT88" s="3">
        <v>46071.419791666667</v>
      </c>
      <c r="CU88" s="1" t="s">
        <v>436</v>
      </c>
      <c r="CV88" s="1" t="s">
        <v>512</v>
      </c>
      <c r="CY88" s="1" t="s">
        <v>438</v>
      </c>
      <c r="DP88" s="1" t="s">
        <v>1434</v>
      </c>
      <c r="DU88" s="1" t="s">
        <v>1435</v>
      </c>
      <c r="GZ88" s="1" t="s">
        <v>1434</v>
      </c>
      <c r="HA88" s="1" t="s">
        <v>1435</v>
      </c>
      <c r="NM88" s="1" t="s">
        <v>441</v>
      </c>
      <c r="NN88" s="1">
        <v>5</v>
      </c>
      <c r="NS88" s="1">
        <v>5</v>
      </c>
      <c r="NT88" s="1">
        <v>5</v>
      </c>
      <c r="OA88" s="1">
        <v>5</v>
      </c>
      <c r="OB88" s="1">
        <v>5</v>
      </c>
      <c r="OC88" s="1">
        <v>5</v>
      </c>
      <c r="OD88" s="1">
        <v>5</v>
      </c>
      <c r="SB88" s="1" t="s">
        <v>443</v>
      </c>
      <c r="SC88" s="1" t="s">
        <v>443</v>
      </c>
      <c r="SF88" s="1" t="s">
        <v>444</v>
      </c>
      <c r="SG88" s="1" t="s">
        <v>444</v>
      </c>
      <c r="SH88" s="1" t="s">
        <v>432</v>
      </c>
      <c r="SI88" s="1" t="s">
        <v>432</v>
      </c>
      <c r="SK88" s="1" t="s">
        <v>445</v>
      </c>
    </row>
    <row r="89" spans="1:507" ht="48" x14ac:dyDescent="0.2">
      <c r="A89" s="1" t="s">
        <v>1436</v>
      </c>
      <c r="B89" s="1">
        <v>10</v>
      </c>
      <c r="C89" s="1">
        <v>5</v>
      </c>
      <c r="D89" s="3">
        <v>46070.895520833335</v>
      </c>
      <c r="E89" s="1">
        <v>5223753</v>
      </c>
      <c r="F89" s="1" t="s">
        <v>428</v>
      </c>
      <c r="H89" s="1" t="s">
        <v>1437</v>
      </c>
      <c r="J89" s="1" t="s">
        <v>1438</v>
      </c>
      <c r="L89" s="1" t="s">
        <v>1439</v>
      </c>
      <c r="M89" s="1" t="s">
        <v>1439</v>
      </c>
      <c r="N89" s="1" t="s">
        <v>1440</v>
      </c>
      <c r="O89" s="1" t="s">
        <v>438</v>
      </c>
      <c r="R89" s="1" t="s">
        <v>1438</v>
      </c>
      <c r="S89" s="1" t="s">
        <v>1441</v>
      </c>
      <c r="AB89" s="3">
        <v>46071.391192129631</v>
      </c>
      <c r="AC89" s="3">
        <v>46059.537615740737</v>
      </c>
      <c r="AE89" s="1" t="s">
        <v>1442</v>
      </c>
      <c r="BB89" s="1" t="s">
        <v>1443</v>
      </c>
      <c r="CO89" s="1" t="s">
        <v>435</v>
      </c>
      <c r="CQ89" s="1" t="s">
        <v>432</v>
      </c>
      <c r="CR89" s="1" t="s">
        <v>495</v>
      </c>
      <c r="CS89" s="1" t="s">
        <v>495</v>
      </c>
      <c r="CT89" s="3">
        <v>46070.894409722219</v>
      </c>
      <c r="CU89" s="1" t="s">
        <v>436</v>
      </c>
      <c r="CV89" s="1" t="s">
        <v>512</v>
      </c>
      <c r="CY89" s="1" t="s">
        <v>438</v>
      </c>
      <c r="DP89" s="1" t="s">
        <v>1444</v>
      </c>
      <c r="DU89" s="1" t="s">
        <v>442</v>
      </c>
      <c r="GZ89" s="1" t="s">
        <v>1444</v>
      </c>
      <c r="HA89" s="1" t="s">
        <v>442</v>
      </c>
      <c r="NM89" s="1" t="s">
        <v>441</v>
      </c>
      <c r="NN89" s="1">
        <v>4</v>
      </c>
      <c r="NS89" s="1">
        <v>5</v>
      </c>
      <c r="NT89" s="1">
        <v>5</v>
      </c>
      <c r="OA89" s="1">
        <v>5</v>
      </c>
      <c r="OB89" s="1">
        <v>5</v>
      </c>
      <c r="OC89" s="1">
        <v>5</v>
      </c>
      <c r="OD89" s="1">
        <v>5</v>
      </c>
      <c r="SC89" s="1" t="s">
        <v>443</v>
      </c>
      <c r="SG89" s="1" t="s">
        <v>444</v>
      </c>
      <c r="SH89" s="1" t="s">
        <v>438</v>
      </c>
      <c r="SI89" s="1" t="s">
        <v>432</v>
      </c>
      <c r="SK89" s="1" t="s">
        <v>568</v>
      </c>
    </row>
    <row r="90" spans="1:507" ht="32" x14ac:dyDescent="0.2">
      <c r="A90" s="1" t="s">
        <v>1445</v>
      </c>
      <c r="B90" s="1">
        <v>10</v>
      </c>
      <c r="C90" s="1">
        <v>5</v>
      </c>
      <c r="D90" s="3">
        <v>46070.866481481484</v>
      </c>
      <c r="E90" s="1">
        <v>5223688</v>
      </c>
      <c r="F90" s="1" t="s">
        <v>428</v>
      </c>
      <c r="H90" s="1" t="s">
        <v>1446</v>
      </c>
      <c r="J90" s="1" t="s">
        <v>1447</v>
      </c>
      <c r="L90" s="1" t="s">
        <v>1448</v>
      </c>
      <c r="N90" s="1" t="s">
        <v>1325</v>
      </c>
      <c r="O90" s="1" t="s">
        <v>432</v>
      </c>
      <c r="R90" s="1" t="s">
        <v>1447</v>
      </c>
      <c r="S90" s="1" t="s">
        <v>1326</v>
      </c>
      <c r="AB90" s="3">
        <v>46071.401909722219</v>
      </c>
      <c r="AC90" s="3">
        <v>46070.534525462965</v>
      </c>
      <c r="AE90" s="1" t="s">
        <v>1449</v>
      </c>
      <c r="BB90" s="1" t="s">
        <v>1450</v>
      </c>
      <c r="CO90" s="1" t="s">
        <v>435</v>
      </c>
      <c r="CQ90" s="1" t="s">
        <v>432</v>
      </c>
      <c r="CR90" s="1" t="s">
        <v>691</v>
      </c>
      <c r="CS90" s="1" t="s">
        <v>691</v>
      </c>
      <c r="CT90" s="3">
        <v>46070.866157407407</v>
      </c>
      <c r="CU90" s="1" t="s">
        <v>436</v>
      </c>
      <c r="CV90" s="1" t="s">
        <v>512</v>
      </c>
      <c r="CY90" s="1" t="s">
        <v>438</v>
      </c>
      <c r="DP90" s="1" t="s">
        <v>1451</v>
      </c>
      <c r="GZ90" s="1" t="s">
        <v>1451</v>
      </c>
      <c r="NM90" s="1" t="s">
        <v>441</v>
      </c>
      <c r="NN90" s="1">
        <v>4</v>
      </c>
      <c r="NS90" s="1">
        <v>5</v>
      </c>
      <c r="NT90" s="1">
        <v>5</v>
      </c>
      <c r="OA90" s="1">
        <v>5</v>
      </c>
      <c r="OB90" s="1">
        <v>4</v>
      </c>
      <c r="OC90" s="1">
        <v>5</v>
      </c>
      <c r="OD90" s="1">
        <v>4</v>
      </c>
      <c r="SB90" s="1" t="s">
        <v>1114</v>
      </c>
      <c r="SC90" s="1" t="s">
        <v>1114</v>
      </c>
      <c r="SF90" s="1" t="s">
        <v>1452</v>
      </c>
      <c r="SG90" s="1" t="s">
        <v>1452</v>
      </c>
      <c r="SH90" s="1" t="s">
        <v>432</v>
      </c>
      <c r="SI90" s="1" t="s">
        <v>432</v>
      </c>
      <c r="SK90" s="1" t="s">
        <v>445</v>
      </c>
    </row>
    <row r="91" spans="1:507" ht="80" x14ac:dyDescent="0.2">
      <c r="A91" s="1" t="s">
        <v>1453</v>
      </c>
      <c r="B91" s="1">
        <v>10</v>
      </c>
      <c r="C91" s="1">
        <v>5</v>
      </c>
      <c r="D91" s="3">
        <v>46070.721053240741</v>
      </c>
      <c r="E91" s="1">
        <v>5223165</v>
      </c>
      <c r="F91" s="1" t="s">
        <v>428</v>
      </c>
      <c r="H91" s="1" t="s">
        <v>1454</v>
      </c>
      <c r="J91" s="1" t="s">
        <v>1455</v>
      </c>
      <c r="L91" s="1" t="s">
        <v>1456</v>
      </c>
      <c r="N91" s="1" t="s">
        <v>1457</v>
      </c>
      <c r="O91" s="1" t="s">
        <v>432</v>
      </c>
      <c r="R91" s="1" t="s">
        <v>1455</v>
      </c>
      <c r="S91" s="1" t="s">
        <v>1458</v>
      </c>
      <c r="AB91" s="3">
        <v>46071.393321759257</v>
      </c>
      <c r="AC91" s="3">
        <v>46069.531701388885</v>
      </c>
      <c r="AE91" s="1" t="s">
        <v>1459</v>
      </c>
      <c r="BB91" s="1" t="s">
        <v>1460</v>
      </c>
      <c r="CO91" s="1" t="s">
        <v>435</v>
      </c>
      <c r="CQ91" s="1" t="s">
        <v>432</v>
      </c>
      <c r="CR91" s="1" t="s">
        <v>523</v>
      </c>
      <c r="CS91" s="1" t="s">
        <v>523</v>
      </c>
      <c r="CT91" s="3">
        <v>46070.71974537037</v>
      </c>
      <c r="CU91" s="1" t="s">
        <v>436</v>
      </c>
      <c r="CV91" s="1" t="s">
        <v>512</v>
      </c>
      <c r="CY91" s="1" t="s">
        <v>438</v>
      </c>
      <c r="DP91" s="1" t="s">
        <v>1461</v>
      </c>
      <c r="DU91" s="1" t="s">
        <v>1462</v>
      </c>
      <c r="GZ91" s="1" t="s">
        <v>1461</v>
      </c>
      <c r="HA91" s="1" t="s">
        <v>1462</v>
      </c>
      <c r="NM91" s="1" t="s">
        <v>441</v>
      </c>
      <c r="NN91" s="1">
        <v>4</v>
      </c>
      <c r="NS91" s="1">
        <v>5</v>
      </c>
      <c r="NT91" s="1">
        <v>5</v>
      </c>
      <c r="OA91" s="1">
        <v>5</v>
      </c>
      <c r="OB91" s="1">
        <v>5</v>
      </c>
      <c r="OC91" s="1">
        <v>5</v>
      </c>
      <c r="OD91" s="1">
        <v>5</v>
      </c>
      <c r="SB91" s="1" t="s">
        <v>443</v>
      </c>
      <c r="SC91" s="1" t="s">
        <v>1463</v>
      </c>
      <c r="SF91" s="1" t="s">
        <v>444</v>
      </c>
      <c r="SG91" s="1" t="s">
        <v>1464</v>
      </c>
      <c r="SH91" s="1" t="s">
        <v>438</v>
      </c>
      <c r="SI91" s="1" t="s">
        <v>438</v>
      </c>
      <c r="SK91" s="1" t="s">
        <v>955</v>
      </c>
    </row>
    <row r="92" spans="1:507" ht="32" x14ac:dyDescent="0.2">
      <c r="A92" s="1" t="s">
        <v>1465</v>
      </c>
      <c r="B92" s="1">
        <v>10</v>
      </c>
      <c r="C92" s="1">
        <v>5</v>
      </c>
      <c r="D92" s="3">
        <v>46070.565300925926</v>
      </c>
      <c r="E92" s="1">
        <v>5222625</v>
      </c>
      <c r="F92" s="1" t="s">
        <v>428</v>
      </c>
      <c r="H92" s="1" t="s">
        <v>1466</v>
      </c>
      <c r="J92" s="1" t="s">
        <v>1467</v>
      </c>
      <c r="L92" s="1" t="s">
        <v>1468</v>
      </c>
      <c r="N92" s="1" t="s">
        <v>1469</v>
      </c>
      <c r="O92" s="1" t="s">
        <v>438</v>
      </c>
      <c r="R92" s="1" t="s">
        <v>1467</v>
      </c>
      <c r="S92" s="1" t="s">
        <v>1470</v>
      </c>
      <c r="AB92" s="3">
        <v>46070.603425925925</v>
      </c>
      <c r="AC92" s="3">
        <v>46070.638113425928</v>
      </c>
      <c r="AE92" s="1" t="s">
        <v>1471</v>
      </c>
      <c r="BB92" s="1" t="s">
        <v>1472</v>
      </c>
      <c r="CO92" s="1" t="s">
        <v>435</v>
      </c>
      <c r="CQ92" s="1" t="s">
        <v>432</v>
      </c>
      <c r="CR92" s="1" t="s">
        <v>561</v>
      </c>
      <c r="CS92" s="1" t="s">
        <v>561</v>
      </c>
      <c r="CT92" s="3">
        <v>46070.566238425927</v>
      </c>
      <c r="CU92" s="1" t="s">
        <v>436</v>
      </c>
      <c r="CV92" s="1" t="s">
        <v>512</v>
      </c>
      <c r="CY92" s="1" t="s">
        <v>438</v>
      </c>
      <c r="DP92" s="1" t="s">
        <v>1473</v>
      </c>
      <c r="DU92" s="1" t="s">
        <v>440</v>
      </c>
      <c r="GZ92" s="1" t="s">
        <v>1473</v>
      </c>
      <c r="HA92" s="1" t="s">
        <v>440</v>
      </c>
      <c r="NM92" s="1" t="s">
        <v>441</v>
      </c>
      <c r="NN92" s="1">
        <v>4</v>
      </c>
      <c r="NS92" s="1">
        <v>5</v>
      </c>
      <c r="NT92" s="1">
        <v>5</v>
      </c>
      <c r="OA92" s="1">
        <v>5</v>
      </c>
      <c r="OB92" s="1">
        <v>5</v>
      </c>
      <c r="OC92" s="1">
        <v>5</v>
      </c>
      <c r="OD92" s="1">
        <v>5</v>
      </c>
      <c r="SB92" s="1" t="s">
        <v>443</v>
      </c>
      <c r="SC92" s="1" t="s">
        <v>443</v>
      </c>
      <c r="SF92" s="1" t="s">
        <v>444</v>
      </c>
      <c r="SG92" s="1" t="s">
        <v>444</v>
      </c>
      <c r="SH92" s="1" t="s">
        <v>432</v>
      </c>
      <c r="SI92" s="1" t="s">
        <v>432</v>
      </c>
      <c r="SK92" s="1" t="s">
        <v>445</v>
      </c>
    </row>
    <row r="93" spans="1:507" ht="32" x14ac:dyDescent="0.2">
      <c r="A93" s="1" t="s">
        <v>1474</v>
      </c>
      <c r="B93" s="1">
        <v>10</v>
      </c>
      <c r="C93" s="1">
        <v>5</v>
      </c>
      <c r="D93" s="3">
        <v>46070.563055555554</v>
      </c>
      <c r="E93" s="1">
        <v>5222607</v>
      </c>
      <c r="F93" s="1" t="s">
        <v>428</v>
      </c>
      <c r="H93" s="1" t="s">
        <v>1475</v>
      </c>
      <c r="J93" s="1" t="s">
        <v>1476</v>
      </c>
      <c r="L93" s="1" t="s">
        <v>1477</v>
      </c>
      <c r="M93" s="1" t="s">
        <v>1477</v>
      </c>
      <c r="N93" s="1" t="s">
        <v>1478</v>
      </c>
      <c r="O93" s="1" t="s">
        <v>432</v>
      </c>
      <c r="R93" s="1" t="s">
        <v>1476</v>
      </c>
      <c r="S93" s="1" t="s">
        <v>1479</v>
      </c>
      <c r="AB93" s="3">
        <v>46070.640648148146</v>
      </c>
      <c r="AC93" s="3">
        <v>46070.535590277781</v>
      </c>
      <c r="AE93" s="1" t="s">
        <v>1480</v>
      </c>
      <c r="BB93" s="1" t="s">
        <v>1481</v>
      </c>
      <c r="CO93" s="1" t="s">
        <v>435</v>
      </c>
      <c r="CQ93" s="1" t="s">
        <v>432</v>
      </c>
      <c r="CR93" s="1" t="s">
        <v>561</v>
      </c>
      <c r="CS93" s="1" t="s">
        <v>561</v>
      </c>
      <c r="CT93" s="3">
        <v>46070.563333333332</v>
      </c>
      <c r="CU93" s="1" t="s">
        <v>436</v>
      </c>
      <c r="CV93" s="1" t="s">
        <v>512</v>
      </c>
      <c r="CY93" s="1" t="s">
        <v>438</v>
      </c>
      <c r="DP93" s="1" t="s">
        <v>1482</v>
      </c>
      <c r="DU93" s="1" t="s">
        <v>744</v>
      </c>
      <c r="GZ93" s="1" t="s">
        <v>1482</v>
      </c>
      <c r="HA93" s="1" t="s">
        <v>744</v>
      </c>
      <c r="NM93" s="1" t="s">
        <v>441</v>
      </c>
      <c r="NN93" s="1">
        <v>4</v>
      </c>
      <c r="NS93" s="1">
        <v>5</v>
      </c>
      <c r="NT93" s="1">
        <v>5</v>
      </c>
      <c r="OA93" s="1">
        <v>5</v>
      </c>
      <c r="OB93" s="1">
        <v>5</v>
      </c>
      <c r="OC93" s="1">
        <v>5</v>
      </c>
      <c r="OD93" s="1">
        <v>5</v>
      </c>
      <c r="SC93" s="1" t="s">
        <v>1483</v>
      </c>
      <c r="SG93" s="1" t="s">
        <v>1484</v>
      </c>
      <c r="SH93" s="1" t="s">
        <v>438</v>
      </c>
      <c r="SI93" s="1" t="s">
        <v>432</v>
      </c>
      <c r="SK93" s="1" t="s">
        <v>445</v>
      </c>
    </row>
    <row r="94" spans="1:507" ht="32" x14ac:dyDescent="0.2">
      <c r="A94" s="1" t="s">
        <v>1485</v>
      </c>
      <c r="B94" s="1">
        <v>10</v>
      </c>
      <c r="C94" s="1">
        <v>5</v>
      </c>
      <c r="D94" s="3">
        <v>46070.514085648145</v>
      </c>
      <c r="E94" s="1">
        <v>5222303</v>
      </c>
      <c r="F94" s="1" t="s">
        <v>428</v>
      </c>
      <c r="H94" s="1" t="s">
        <v>1486</v>
      </c>
      <c r="J94" s="1" t="s">
        <v>1487</v>
      </c>
      <c r="L94" s="1" t="s">
        <v>1488</v>
      </c>
      <c r="O94" s="1" t="s">
        <v>432</v>
      </c>
      <c r="R94" s="1" t="s">
        <v>1487</v>
      </c>
      <c r="AB94" s="3">
        <v>46070.575856481482</v>
      </c>
      <c r="AC94" s="3">
        <v>46069.848506944443</v>
      </c>
      <c r="AE94" s="1" t="s">
        <v>1489</v>
      </c>
      <c r="BB94" s="1" t="s">
        <v>1490</v>
      </c>
      <c r="CO94" s="1" t="s">
        <v>435</v>
      </c>
      <c r="CQ94" s="1" t="s">
        <v>432</v>
      </c>
      <c r="CR94" s="1" t="s">
        <v>511</v>
      </c>
      <c r="CS94" s="1" t="s">
        <v>511</v>
      </c>
      <c r="CT94" s="3">
        <v>46070.514502314814</v>
      </c>
      <c r="CU94" s="1" t="s">
        <v>436</v>
      </c>
      <c r="CV94" s="1" t="s">
        <v>512</v>
      </c>
      <c r="CY94" s="1" t="s">
        <v>438</v>
      </c>
      <c r="DP94" s="1" t="s">
        <v>1491</v>
      </c>
      <c r="DU94" s="1" t="s">
        <v>682</v>
      </c>
      <c r="GZ94" s="1" t="s">
        <v>1491</v>
      </c>
      <c r="HA94" s="1" t="s">
        <v>682</v>
      </c>
      <c r="NM94" s="1" t="s">
        <v>441</v>
      </c>
      <c r="NN94" s="1">
        <v>5</v>
      </c>
      <c r="NS94" s="1">
        <v>5</v>
      </c>
      <c r="NT94" s="1">
        <v>5</v>
      </c>
      <c r="OA94" s="1">
        <v>5</v>
      </c>
      <c r="OB94" s="1">
        <v>5</v>
      </c>
      <c r="OC94" s="1">
        <v>5</v>
      </c>
      <c r="OD94" s="1">
        <v>5</v>
      </c>
      <c r="SB94" s="1" t="s">
        <v>443</v>
      </c>
      <c r="SC94" s="1" t="s">
        <v>1114</v>
      </c>
      <c r="SF94" s="1" t="s">
        <v>579</v>
      </c>
      <c r="SG94" s="1" t="s">
        <v>1452</v>
      </c>
      <c r="SH94" s="1" t="s">
        <v>438</v>
      </c>
      <c r="SI94" s="1" t="s">
        <v>438</v>
      </c>
      <c r="SK94" s="1" t="s">
        <v>760</v>
      </c>
      <c r="SL94" s="1" t="s">
        <v>1166</v>
      </c>
    </row>
    <row r="95" spans="1:507" ht="64" x14ac:dyDescent="0.2">
      <c r="A95" s="1" t="s">
        <v>1492</v>
      </c>
      <c r="B95" s="1">
        <v>10</v>
      </c>
      <c r="C95" s="1">
        <v>5</v>
      </c>
      <c r="D95" s="3">
        <v>46070.482245370367</v>
      </c>
      <c r="E95" s="1">
        <v>5222172</v>
      </c>
      <c r="F95" s="1" t="s">
        <v>428</v>
      </c>
      <c r="H95" s="1" t="s">
        <v>1493</v>
      </c>
      <c r="J95" s="1" t="s">
        <v>1494</v>
      </c>
      <c r="L95" s="1" t="s">
        <v>1495</v>
      </c>
      <c r="O95" s="1" t="s">
        <v>432</v>
      </c>
      <c r="R95" s="1" t="s">
        <v>1494</v>
      </c>
      <c r="AB95" s="3">
        <v>46070.584421296298</v>
      </c>
      <c r="AC95" s="3">
        <v>46070.534826388888</v>
      </c>
      <c r="AE95" s="1" t="s">
        <v>1496</v>
      </c>
      <c r="BB95" s="1" t="s">
        <v>1497</v>
      </c>
      <c r="CO95" s="1" t="s">
        <v>435</v>
      </c>
      <c r="CQ95" s="1" t="s">
        <v>432</v>
      </c>
      <c r="CR95" s="1" t="s">
        <v>523</v>
      </c>
      <c r="CS95" s="1" t="s">
        <v>523</v>
      </c>
      <c r="CT95" s="3">
        <v>46070.480879629627</v>
      </c>
      <c r="CU95" s="1" t="s">
        <v>436</v>
      </c>
      <c r="CV95" s="1" t="s">
        <v>512</v>
      </c>
      <c r="CY95" s="1" t="s">
        <v>438</v>
      </c>
      <c r="DP95" s="1" t="s">
        <v>1498</v>
      </c>
      <c r="DU95" s="1" t="s">
        <v>1499</v>
      </c>
      <c r="GZ95" s="1" t="s">
        <v>1498</v>
      </c>
      <c r="HA95" s="1" t="s">
        <v>1499</v>
      </c>
      <c r="NM95" s="1" t="s">
        <v>441</v>
      </c>
      <c r="NN95" s="1">
        <v>3</v>
      </c>
      <c r="NS95" s="1">
        <v>5</v>
      </c>
      <c r="NT95" s="1">
        <v>5</v>
      </c>
      <c r="OA95" s="1">
        <v>5</v>
      </c>
      <c r="OB95" s="1">
        <v>5</v>
      </c>
      <c r="OC95" s="1">
        <v>5</v>
      </c>
      <c r="OD95" s="1">
        <v>5</v>
      </c>
      <c r="SB95" s="1" t="s">
        <v>615</v>
      </c>
      <c r="SC95" s="1" t="s">
        <v>646</v>
      </c>
      <c r="SF95" s="1" t="s">
        <v>1500</v>
      </c>
      <c r="SG95" s="1" t="s">
        <v>1501</v>
      </c>
      <c r="SH95" s="1" t="s">
        <v>438</v>
      </c>
      <c r="SI95" s="1" t="s">
        <v>438</v>
      </c>
      <c r="SK95" s="1" t="s">
        <v>568</v>
      </c>
      <c r="SL95" s="1" t="s">
        <v>500</v>
      </c>
      <c r="SM95" s="1" t="s">
        <v>620</v>
      </c>
    </row>
    <row r="96" spans="1:507" ht="48" x14ac:dyDescent="0.2">
      <c r="A96" s="1" t="s">
        <v>1502</v>
      </c>
      <c r="B96" s="1">
        <v>8</v>
      </c>
      <c r="C96" s="1">
        <v>4</v>
      </c>
      <c r="D96" s="3">
        <v>46070.472673611112</v>
      </c>
      <c r="E96" s="1">
        <v>5222112</v>
      </c>
      <c r="F96" s="1" t="s">
        <v>428</v>
      </c>
      <c r="H96" s="1" t="s">
        <v>1503</v>
      </c>
      <c r="J96" s="1" t="s">
        <v>1504</v>
      </c>
      <c r="L96" s="1" t="s">
        <v>1505</v>
      </c>
      <c r="M96" s="1" t="s">
        <v>1505</v>
      </c>
      <c r="N96" s="1" t="s">
        <v>1100</v>
      </c>
      <c r="O96" s="1" t="s">
        <v>432</v>
      </c>
      <c r="R96" s="1" t="s">
        <v>1504</v>
      </c>
      <c r="S96" s="1" t="s">
        <v>1101</v>
      </c>
      <c r="AB96" s="3">
        <v>46070.570034722223</v>
      </c>
      <c r="AC96" s="3">
        <v>46070.534571759257</v>
      </c>
      <c r="AE96" s="1" t="s">
        <v>1506</v>
      </c>
      <c r="BB96" s="1" t="s">
        <v>1507</v>
      </c>
      <c r="CO96" s="1" t="s">
        <v>435</v>
      </c>
      <c r="CQ96" s="1" t="s">
        <v>432</v>
      </c>
      <c r="CR96" s="1" t="s">
        <v>523</v>
      </c>
      <c r="CS96" s="1" t="s">
        <v>523</v>
      </c>
      <c r="CT96" s="3">
        <v>46070.467094907406</v>
      </c>
      <c r="CU96" s="1" t="s">
        <v>524</v>
      </c>
      <c r="CV96" s="1" t="s">
        <v>512</v>
      </c>
      <c r="CY96" s="1" t="s">
        <v>438</v>
      </c>
      <c r="DP96" s="1" t="s">
        <v>1508</v>
      </c>
      <c r="DU96" s="1" t="s">
        <v>1509</v>
      </c>
      <c r="GZ96" s="1" t="s">
        <v>1508</v>
      </c>
      <c r="HA96" s="1" t="s">
        <v>1509</v>
      </c>
      <c r="NM96" s="1" t="s">
        <v>441</v>
      </c>
      <c r="NN96" s="1">
        <v>2</v>
      </c>
      <c r="NS96" s="1">
        <v>4</v>
      </c>
      <c r="NT96" s="1">
        <v>4</v>
      </c>
      <c r="OA96" s="1">
        <v>4</v>
      </c>
      <c r="OB96" s="1">
        <v>4</v>
      </c>
      <c r="OC96" s="1">
        <v>4</v>
      </c>
      <c r="OD96" s="1">
        <v>4</v>
      </c>
      <c r="SB96" s="1" t="s">
        <v>1510</v>
      </c>
      <c r="SC96" s="1" t="s">
        <v>758</v>
      </c>
      <c r="SF96" s="1" t="s">
        <v>1511</v>
      </c>
      <c r="SG96" s="1" t="s">
        <v>1512</v>
      </c>
      <c r="SH96" s="1" t="s">
        <v>438</v>
      </c>
      <c r="SI96" s="1" t="s">
        <v>438</v>
      </c>
      <c r="SK96" s="1" t="s">
        <v>500</v>
      </c>
      <c r="SL96" s="1" t="s">
        <v>540</v>
      </c>
      <c r="SM96" s="1" t="s">
        <v>787</v>
      </c>
    </row>
    <row r="97" spans="1:507" ht="64" x14ac:dyDescent="0.2">
      <c r="A97" s="1" t="s">
        <v>1513</v>
      </c>
      <c r="B97" s="1">
        <v>10</v>
      </c>
      <c r="C97" s="1">
        <v>5</v>
      </c>
      <c r="D97" s="3">
        <v>46070.455393518518</v>
      </c>
      <c r="E97" s="1">
        <v>5222027</v>
      </c>
      <c r="F97" s="1" t="s">
        <v>428</v>
      </c>
      <c r="H97" s="1" t="s">
        <v>1514</v>
      </c>
      <c r="J97" s="1" t="s">
        <v>1515</v>
      </c>
      <c r="L97" s="1" t="s">
        <v>1516</v>
      </c>
      <c r="M97" s="1" t="s">
        <v>1516</v>
      </c>
      <c r="N97" s="1" t="s">
        <v>1517</v>
      </c>
      <c r="O97" s="1" t="s">
        <v>432</v>
      </c>
      <c r="R97" s="1" t="s">
        <v>1515</v>
      </c>
      <c r="S97" s="1" t="s">
        <v>1518</v>
      </c>
      <c r="AB97" s="3">
        <v>46070.532337962963</v>
      </c>
      <c r="AC97" s="3">
        <v>46070.552291666667</v>
      </c>
      <c r="AE97" s="1" t="s">
        <v>1519</v>
      </c>
      <c r="BB97" s="1" t="s">
        <v>1520</v>
      </c>
      <c r="CO97" s="1" t="s">
        <v>435</v>
      </c>
      <c r="CQ97" s="1" t="s">
        <v>432</v>
      </c>
      <c r="CR97" s="1" t="s">
        <v>523</v>
      </c>
      <c r="CS97" s="1" t="s">
        <v>523</v>
      </c>
      <c r="CT97" s="3">
        <v>46070.448159722226</v>
      </c>
      <c r="CU97" s="1" t="s">
        <v>436</v>
      </c>
      <c r="CV97" s="1" t="s">
        <v>512</v>
      </c>
      <c r="CY97" s="1" t="s">
        <v>438</v>
      </c>
      <c r="DP97" s="1" t="s">
        <v>1521</v>
      </c>
      <c r="DU97" s="1" t="s">
        <v>482</v>
      </c>
      <c r="GZ97" s="1" t="s">
        <v>1521</v>
      </c>
      <c r="HA97" s="1" t="s">
        <v>482</v>
      </c>
      <c r="NM97" s="1" t="s">
        <v>441</v>
      </c>
      <c r="NN97" s="1">
        <v>5</v>
      </c>
      <c r="NS97" s="1">
        <v>5</v>
      </c>
      <c r="NT97" s="1">
        <v>5</v>
      </c>
      <c r="OA97" s="1">
        <v>5</v>
      </c>
      <c r="OB97" s="1">
        <v>5</v>
      </c>
      <c r="OC97" s="1">
        <v>5</v>
      </c>
      <c r="OD97" s="1" t="s">
        <v>442</v>
      </c>
      <c r="SB97" s="1" t="s">
        <v>615</v>
      </c>
      <c r="SC97" s="1" t="s">
        <v>1522</v>
      </c>
      <c r="SF97" s="1" t="s">
        <v>844</v>
      </c>
      <c r="SG97" s="1" t="s">
        <v>1523</v>
      </c>
      <c r="SH97" s="1" t="s">
        <v>438</v>
      </c>
      <c r="SI97" s="1" t="s">
        <v>432</v>
      </c>
      <c r="SK97" s="1" t="s">
        <v>672</v>
      </c>
      <c r="SL97" s="1" t="s">
        <v>787</v>
      </c>
    </row>
    <row r="98" spans="1:507" ht="112" x14ac:dyDescent="0.2">
      <c r="A98" s="1" t="s">
        <v>1524</v>
      </c>
      <c r="B98" s="1">
        <v>10</v>
      </c>
      <c r="C98" s="1">
        <v>5</v>
      </c>
      <c r="D98" s="3">
        <v>46070.436782407407</v>
      </c>
      <c r="E98" s="1">
        <v>5221968</v>
      </c>
      <c r="F98" s="1" t="s">
        <v>428</v>
      </c>
      <c r="H98" s="1" t="s">
        <v>1525</v>
      </c>
      <c r="J98" s="1" t="s">
        <v>1526</v>
      </c>
      <c r="L98" s="1" t="s">
        <v>1527</v>
      </c>
      <c r="M98" s="1" t="s">
        <v>1527</v>
      </c>
      <c r="N98" s="1" t="s">
        <v>1528</v>
      </c>
      <c r="O98" s="1" t="s">
        <v>432</v>
      </c>
      <c r="R98" s="1" t="s">
        <v>1526</v>
      </c>
      <c r="S98" s="1" t="s">
        <v>1529</v>
      </c>
      <c r="AB98" s="3">
        <v>46070.535057870373</v>
      </c>
      <c r="AC98" s="3">
        <v>46070.534942129627</v>
      </c>
      <c r="AE98" s="1" t="s">
        <v>1530</v>
      </c>
      <c r="BB98" s="1" t="s">
        <v>1531</v>
      </c>
      <c r="CO98" s="1" t="s">
        <v>435</v>
      </c>
      <c r="CQ98" s="1" t="s">
        <v>432</v>
      </c>
      <c r="CR98" s="1" t="s">
        <v>523</v>
      </c>
      <c r="CS98" s="1" t="s">
        <v>523</v>
      </c>
      <c r="CT98" s="3">
        <v>46070.433229166665</v>
      </c>
      <c r="CU98" s="1" t="s">
        <v>436</v>
      </c>
      <c r="CV98" s="1" t="s">
        <v>512</v>
      </c>
      <c r="CY98" s="1" t="s">
        <v>438</v>
      </c>
      <c r="DP98" s="1" t="s">
        <v>1532</v>
      </c>
      <c r="DU98" s="1" t="s">
        <v>1533</v>
      </c>
      <c r="GZ98" s="1" t="s">
        <v>1532</v>
      </c>
      <c r="HA98" s="1" t="s">
        <v>1533</v>
      </c>
      <c r="NM98" s="1" t="s">
        <v>441</v>
      </c>
      <c r="NN98" s="1">
        <v>4</v>
      </c>
      <c r="NS98" s="1">
        <v>5</v>
      </c>
      <c r="NT98" s="1">
        <v>5</v>
      </c>
      <c r="OA98" s="1">
        <v>5</v>
      </c>
      <c r="OB98" s="1">
        <v>5</v>
      </c>
      <c r="OC98" s="1">
        <v>5</v>
      </c>
      <c r="OD98" s="1">
        <v>4</v>
      </c>
      <c r="SC98" s="1" t="s">
        <v>1534</v>
      </c>
      <c r="SG98" s="1" t="s">
        <v>1535</v>
      </c>
      <c r="SH98" s="1" t="s">
        <v>438</v>
      </c>
      <c r="SI98" s="1" t="s">
        <v>432</v>
      </c>
      <c r="SK98" s="1" t="s">
        <v>568</v>
      </c>
      <c r="SL98" s="1" t="s">
        <v>620</v>
      </c>
    </row>
    <row r="99" spans="1:507" ht="48" x14ac:dyDescent="0.2">
      <c r="A99" s="1" t="s">
        <v>1536</v>
      </c>
      <c r="B99" s="1">
        <v>10</v>
      </c>
      <c r="C99" s="1">
        <v>5</v>
      </c>
      <c r="D99" s="3">
        <v>46070.420162037037</v>
      </c>
      <c r="E99" s="1">
        <v>5221894</v>
      </c>
      <c r="F99" s="1" t="s">
        <v>428</v>
      </c>
      <c r="H99" s="1" t="s">
        <v>1537</v>
      </c>
      <c r="J99" s="1" t="s">
        <v>1538</v>
      </c>
      <c r="L99" s="1" t="s">
        <v>1539</v>
      </c>
      <c r="N99" s="1" t="s">
        <v>1540</v>
      </c>
      <c r="O99" s="1" t="s">
        <v>432</v>
      </c>
      <c r="R99" s="1" t="s">
        <v>1538</v>
      </c>
      <c r="S99" s="1" t="s">
        <v>1541</v>
      </c>
      <c r="AB99" s="3">
        <v>46070.560914351852</v>
      </c>
      <c r="AC99" s="3">
        <v>46070.53565972222</v>
      </c>
      <c r="AE99" s="1" t="s">
        <v>1542</v>
      </c>
      <c r="BB99" s="1" t="s">
        <v>1543</v>
      </c>
      <c r="CO99" s="1" t="s">
        <v>435</v>
      </c>
      <c r="CQ99" s="1" t="s">
        <v>432</v>
      </c>
      <c r="CR99" s="1" t="s">
        <v>523</v>
      </c>
      <c r="CS99" s="1" t="s">
        <v>523</v>
      </c>
      <c r="CT99" s="3">
        <v>46070.420543981483</v>
      </c>
      <c r="CU99" s="1" t="s">
        <v>436</v>
      </c>
      <c r="CV99" s="1" t="s">
        <v>512</v>
      </c>
      <c r="CY99" s="1" t="s">
        <v>438</v>
      </c>
      <c r="DP99" s="1" t="s">
        <v>1544</v>
      </c>
      <c r="DU99" s="1" t="s">
        <v>1545</v>
      </c>
      <c r="GZ99" s="1" t="s">
        <v>1544</v>
      </c>
      <c r="HA99" s="1" t="s">
        <v>1545</v>
      </c>
      <c r="NM99" s="1" t="s">
        <v>441</v>
      </c>
      <c r="NN99" s="1">
        <v>3</v>
      </c>
      <c r="NS99" s="1">
        <v>5</v>
      </c>
      <c r="NT99" s="1">
        <v>5</v>
      </c>
      <c r="OA99" s="1">
        <v>4</v>
      </c>
      <c r="OB99" s="1">
        <v>5</v>
      </c>
      <c r="OC99" s="1">
        <v>5</v>
      </c>
      <c r="OD99" s="1">
        <v>5</v>
      </c>
      <c r="SB99" s="1" t="s">
        <v>443</v>
      </c>
      <c r="SC99" s="1" t="s">
        <v>646</v>
      </c>
      <c r="SF99" s="1" t="s">
        <v>579</v>
      </c>
      <c r="SG99" s="1" t="s">
        <v>647</v>
      </c>
      <c r="SH99" s="1" t="s">
        <v>438</v>
      </c>
      <c r="SI99" s="1" t="s">
        <v>438</v>
      </c>
      <c r="SK99" s="1" t="s">
        <v>1546</v>
      </c>
      <c r="SL99" s="1" t="s">
        <v>620</v>
      </c>
    </row>
    <row r="100" spans="1:507" ht="64" x14ac:dyDescent="0.2">
      <c r="A100" s="1" t="s">
        <v>1547</v>
      </c>
      <c r="B100" s="1">
        <v>10</v>
      </c>
      <c r="C100" s="1">
        <v>5</v>
      </c>
      <c r="D100" s="3">
        <v>46070.412280092591</v>
      </c>
      <c r="E100" s="1">
        <v>5221843</v>
      </c>
      <c r="F100" s="1" t="s">
        <v>428</v>
      </c>
      <c r="H100" s="1" t="s">
        <v>1548</v>
      </c>
      <c r="J100" s="1" t="s">
        <v>1549</v>
      </c>
      <c r="L100" s="1" t="s">
        <v>1550</v>
      </c>
      <c r="M100" s="1" t="s">
        <v>1550</v>
      </c>
      <c r="N100" s="1" t="s">
        <v>1551</v>
      </c>
      <c r="O100" s="1" t="s">
        <v>432</v>
      </c>
      <c r="R100" s="1" t="s">
        <v>1549</v>
      </c>
      <c r="S100" s="1" t="s">
        <v>1552</v>
      </c>
      <c r="AB100" s="3">
        <v>46070.516967592594</v>
      </c>
      <c r="AC100" s="3">
        <v>46070.535763888889</v>
      </c>
      <c r="AE100" s="1" t="s">
        <v>1553</v>
      </c>
      <c r="BB100" s="1" t="s">
        <v>1554</v>
      </c>
      <c r="CO100" s="1" t="s">
        <v>435</v>
      </c>
      <c r="CQ100" s="1" t="s">
        <v>432</v>
      </c>
      <c r="CR100" s="1" t="s">
        <v>523</v>
      </c>
      <c r="CS100" s="1" t="s">
        <v>523</v>
      </c>
      <c r="CT100" s="3">
        <v>46070.412592592591</v>
      </c>
      <c r="CU100" s="1" t="s">
        <v>436</v>
      </c>
      <c r="CV100" s="1" t="s">
        <v>512</v>
      </c>
      <c r="CY100" s="1" t="s">
        <v>438</v>
      </c>
      <c r="DP100" s="1" t="s">
        <v>1555</v>
      </c>
      <c r="DU100" s="1" t="s">
        <v>1556</v>
      </c>
      <c r="GZ100" s="1" t="s">
        <v>1555</v>
      </c>
      <c r="HA100" s="1" t="s">
        <v>1556</v>
      </c>
      <c r="NM100" s="1" t="s">
        <v>441</v>
      </c>
      <c r="NN100" s="1">
        <v>4</v>
      </c>
      <c r="NS100" s="1">
        <v>5</v>
      </c>
      <c r="NT100" s="1">
        <v>5</v>
      </c>
      <c r="OA100" s="1">
        <v>5</v>
      </c>
      <c r="OB100" s="1">
        <v>5</v>
      </c>
      <c r="OC100" s="1">
        <v>5</v>
      </c>
      <c r="OD100" s="1">
        <v>5</v>
      </c>
      <c r="SB100" s="1" t="s">
        <v>1557</v>
      </c>
      <c r="SC100" s="1" t="s">
        <v>1558</v>
      </c>
      <c r="SF100" s="1" t="s">
        <v>1559</v>
      </c>
      <c r="SG100" s="1" t="s">
        <v>1560</v>
      </c>
      <c r="SH100" s="1" t="s">
        <v>438</v>
      </c>
      <c r="SI100" s="1" t="s">
        <v>432</v>
      </c>
      <c r="SK100" s="1" t="s">
        <v>1561</v>
      </c>
      <c r="SL100" s="1" t="s">
        <v>919</v>
      </c>
    </row>
    <row r="101" spans="1:507" ht="80" x14ac:dyDescent="0.2">
      <c r="A101" s="1" t="s">
        <v>1562</v>
      </c>
      <c r="B101" s="1">
        <v>10</v>
      </c>
      <c r="C101" s="1">
        <v>5</v>
      </c>
      <c r="D101" s="3">
        <v>46070.233634259261</v>
      </c>
      <c r="E101" s="1">
        <v>5221404</v>
      </c>
      <c r="F101" s="1" t="s">
        <v>428</v>
      </c>
      <c r="H101" s="1" t="s">
        <v>1563</v>
      </c>
      <c r="J101" s="1" t="s">
        <v>1564</v>
      </c>
      <c r="L101" s="1" t="s">
        <v>1565</v>
      </c>
      <c r="M101" s="1" t="s">
        <v>1565</v>
      </c>
      <c r="N101" s="1" t="s">
        <v>1566</v>
      </c>
      <c r="O101" s="1" t="s">
        <v>432</v>
      </c>
      <c r="R101" s="1" t="s">
        <v>1564</v>
      </c>
      <c r="S101" s="1" t="s">
        <v>1567</v>
      </c>
      <c r="AB101" s="3">
        <v>46070.334456018521</v>
      </c>
      <c r="AC101" s="3">
        <v>46069.764594907407</v>
      </c>
      <c r="AE101" s="1" t="s">
        <v>1568</v>
      </c>
      <c r="BB101" s="1" t="s">
        <v>1569</v>
      </c>
      <c r="CO101" s="1" t="s">
        <v>435</v>
      </c>
      <c r="CQ101" s="1" t="s">
        <v>432</v>
      </c>
      <c r="CR101" s="1" t="s">
        <v>523</v>
      </c>
      <c r="CS101" s="1" t="s">
        <v>523</v>
      </c>
      <c r="CT101" s="3">
        <v>46070.227199074077</v>
      </c>
      <c r="CU101" s="1" t="s">
        <v>436</v>
      </c>
      <c r="CV101" s="1" t="s">
        <v>512</v>
      </c>
      <c r="CY101" s="1" t="s">
        <v>438</v>
      </c>
      <c r="DP101" s="1" t="s">
        <v>1570</v>
      </c>
      <c r="DU101" s="1" t="s">
        <v>1571</v>
      </c>
      <c r="GZ101" s="1" t="s">
        <v>1570</v>
      </c>
      <c r="HA101" s="1" t="s">
        <v>1571</v>
      </c>
      <c r="NM101" s="1" t="s">
        <v>441</v>
      </c>
      <c r="NN101" s="1">
        <v>5</v>
      </c>
      <c r="NS101" s="1">
        <v>5</v>
      </c>
      <c r="NT101" s="1">
        <v>5</v>
      </c>
      <c r="OA101" s="1">
        <v>5</v>
      </c>
      <c r="OB101" s="1">
        <v>5</v>
      </c>
      <c r="OC101" s="1">
        <v>5</v>
      </c>
      <c r="OD101" s="1">
        <v>5</v>
      </c>
      <c r="SC101" s="1" t="s">
        <v>1572</v>
      </c>
      <c r="SG101" s="1" t="s">
        <v>1573</v>
      </c>
      <c r="SH101" s="1" t="s">
        <v>438</v>
      </c>
      <c r="SI101" s="1" t="s">
        <v>438</v>
      </c>
      <c r="SK101" s="1" t="s">
        <v>486</v>
      </c>
    </row>
    <row r="102" spans="1:507" ht="32" x14ac:dyDescent="0.2">
      <c r="A102" s="1" t="s">
        <v>1574</v>
      </c>
      <c r="B102" s="1">
        <v>10</v>
      </c>
      <c r="C102" s="1">
        <v>5</v>
      </c>
      <c r="D102" s="3">
        <v>46069.68608796296</v>
      </c>
      <c r="E102" s="1">
        <v>5220563</v>
      </c>
      <c r="F102" s="1" t="s">
        <v>428</v>
      </c>
      <c r="H102" s="1" t="s">
        <v>1575</v>
      </c>
      <c r="J102" s="1" t="s">
        <v>1576</v>
      </c>
      <c r="L102" s="1" t="s">
        <v>1577</v>
      </c>
      <c r="N102" s="1" t="s">
        <v>1578</v>
      </c>
      <c r="O102" s="1" t="s">
        <v>432</v>
      </c>
      <c r="R102" s="1" t="s">
        <v>1576</v>
      </c>
      <c r="S102" s="1" t="s">
        <v>1579</v>
      </c>
      <c r="AB102" s="3">
        <v>46070.394293981481</v>
      </c>
      <c r="AC102" s="3">
        <v>46069.806689814817</v>
      </c>
      <c r="AE102" s="1" t="s">
        <v>1580</v>
      </c>
      <c r="BB102" s="1" t="s">
        <v>1581</v>
      </c>
      <c r="CO102" s="1" t="s">
        <v>435</v>
      </c>
      <c r="CQ102" s="1" t="s">
        <v>432</v>
      </c>
      <c r="CR102" s="1" t="s">
        <v>495</v>
      </c>
      <c r="CS102" s="1" t="s">
        <v>495</v>
      </c>
      <c r="CT102" s="3">
        <v>46069.685682870368</v>
      </c>
      <c r="CU102" s="1" t="s">
        <v>436</v>
      </c>
      <c r="CV102" s="1" t="s">
        <v>512</v>
      </c>
      <c r="CY102" s="1" t="s">
        <v>438</v>
      </c>
      <c r="DP102" s="1" t="s">
        <v>1582</v>
      </c>
      <c r="GZ102" s="1" t="s">
        <v>1582</v>
      </c>
      <c r="NM102" s="1" t="s">
        <v>441</v>
      </c>
      <c r="NN102" s="1">
        <v>5</v>
      </c>
      <c r="NS102" s="1">
        <v>5</v>
      </c>
      <c r="NT102" s="1">
        <v>5</v>
      </c>
      <c r="OA102" s="1">
        <v>5</v>
      </c>
      <c r="OB102" s="1">
        <v>5</v>
      </c>
      <c r="OC102" s="1">
        <v>5</v>
      </c>
      <c r="OD102" s="1">
        <v>5</v>
      </c>
      <c r="SB102" s="1" t="s">
        <v>1583</v>
      </c>
      <c r="SC102" s="1" t="s">
        <v>1583</v>
      </c>
      <c r="SF102" s="1" t="s">
        <v>1584</v>
      </c>
      <c r="SG102" s="1" t="s">
        <v>1584</v>
      </c>
      <c r="SH102" s="1" t="s">
        <v>432</v>
      </c>
      <c r="SI102" s="1" t="s">
        <v>432</v>
      </c>
      <c r="SK102" s="1" t="s">
        <v>445</v>
      </c>
    </row>
    <row r="103" spans="1:507" ht="48" x14ac:dyDescent="0.2">
      <c r="A103" s="1" t="s">
        <v>1585</v>
      </c>
      <c r="B103" s="1">
        <v>10</v>
      </c>
      <c r="C103" s="1">
        <v>5</v>
      </c>
      <c r="D103" s="3">
        <v>46069.610659722224</v>
      </c>
      <c r="E103" s="1">
        <v>5220272</v>
      </c>
      <c r="F103" s="1" t="s">
        <v>428</v>
      </c>
      <c r="H103" s="1" t="s">
        <v>1586</v>
      </c>
      <c r="J103" s="1" t="s">
        <v>1587</v>
      </c>
      <c r="L103" s="1" t="s">
        <v>1588</v>
      </c>
      <c r="O103" s="1" t="s">
        <v>432</v>
      </c>
      <c r="R103" s="1" t="s">
        <v>1587</v>
      </c>
      <c r="AB103" s="3">
        <v>46069.624594907407</v>
      </c>
      <c r="AC103" s="3">
        <v>46063.535902777781</v>
      </c>
      <c r="AE103" s="1" t="s">
        <v>1589</v>
      </c>
      <c r="BB103" s="1" t="s">
        <v>1590</v>
      </c>
      <c r="CO103" s="1" t="s">
        <v>435</v>
      </c>
      <c r="CQ103" s="1" t="s">
        <v>432</v>
      </c>
      <c r="CT103" s="3">
        <v>46069.609016203707</v>
      </c>
      <c r="CU103" s="1" t="s">
        <v>436</v>
      </c>
      <c r="CV103" s="1" t="s">
        <v>512</v>
      </c>
      <c r="CY103" s="1" t="s">
        <v>438</v>
      </c>
      <c r="DP103" s="1" t="s">
        <v>1591</v>
      </c>
      <c r="GZ103" s="1" t="s">
        <v>1591</v>
      </c>
      <c r="NM103" s="1" t="s">
        <v>441</v>
      </c>
      <c r="NN103" s="1">
        <v>4</v>
      </c>
      <c r="NS103" s="1">
        <v>5</v>
      </c>
      <c r="NT103" s="1">
        <v>5</v>
      </c>
      <c r="OA103" s="1">
        <v>5</v>
      </c>
      <c r="OB103" s="1">
        <v>5</v>
      </c>
      <c r="OC103" s="1">
        <v>5</v>
      </c>
      <c r="OD103" s="1">
        <v>5</v>
      </c>
      <c r="SB103" s="1" t="s">
        <v>1592</v>
      </c>
      <c r="SC103" s="1" t="s">
        <v>443</v>
      </c>
      <c r="SF103" s="1" t="s">
        <v>1593</v>
      </c>
      <c r="SG103" s="1" t="s">
        <v>444</v>
      </c>
      <c r="SH103" s="1" t="s">
        <v>438</v>
      </c>
      <c r="SI103" s="1" t="s">
        <v>432</v>
      </c>
      <c r="SK103" s="1" t="s">
        <v>445</v>
      </c>
    </row>
    <row r="104" spans="1:507" ht="48" x14ac:dyDescent="0.2">
      <c r="A104" s="1" t="s">
        <v>1594</v>
      </c>
      <c r="B104" s="1">
        <v>10</v>
      </c>
      <c r="C104" s="1">
        <v>5</v>
      </c>
      <c r="D104" s="3">
        <v>46069.546655092592</v>
      </c>
      <c r="E104" s="1">
        <v>5219988</v>
      </c>
      <c r="F104" s="1" t="s">
        <v>428</v>
      </c>
      <c r="H104" s="1" t="s">
        <v>1595</v>
      </c>
      <c r="J104" s="1" t="s">
        <v>1596</v>
      </c>
      <c r="L104" s="1" t="s">
        <v>1597</v>
      </c>
      <c r="O104" s="1" t="s">
        <v>432</v>
      </c>
      <c r="R104" s="1" t="s">
        <v>1596</v>
      </c>
      <c r="AB104" s="3">
        <v>46069.609131944446</v>
      </c>
      <c r="AC104" s="3">
        <v>46069.595277777778</v>
      </c>
      <c r="AE104" s="1" t="s">
        <v>1598</v>
      </c>
      <c r="BB104" s="1" t="s">
        <v>1599</v>
      </c>
      <c r="CO104" s="1" t="s">
        <v>435</v>
      </c>
      <c r="CQ104" s="1" t="s">
        <v>432</v>
      </c>
      <c r="CR104" s="1" t="s">
        <v>523</v>
      </c>
      <c r="CS104" s="1" t="s">
        <v>523</v>
      </c>
      <c r="CT104" s="3">
        <v>46069.546319444446</v>
      </c>
      <c r="CU104" s="1" t="s">
        <v>436</v>
      </c>
      <c r="CV104" s="1" t="s">
        <v>512</v>
      </c>
      <c r="CY104" s="1" t="s">
        <v>438</v>
      </c>
      <c r="DP104" s="1" t="s">
        <v>1600</v>
      </c>
      <c r="DU104" s="1" t="s">
        <v>630</v>
      </c>
      <c r="GZ104" s="1" t="s">
        <v>1600</v>
      </c>
      <c r="HA104" s="1" t="s">
        <v>630</v>
      </c>
      <c r="NM104" s="1" t="s">
        <v>441</v>
      </c>
      <c r="NN104" s="1">
        <v>5</v>
      </c>
      <c r="NS104" s="1">
        <v>5</v>
      </c>
      <c r="NT104" s="1">
        <v>5</v>
      </c>
      <c r="OA104" s="1">
        <v>5</v>
      </c>
      <c r="OB104" s="1">
        <v>5</v>
      </c>
      <c r="OC104" s="1">
        <v>5</v>
      </c>
      <c r="OD104" s="1">
        <v>5</v>
      </c>
      <c r="SB104" s="1" t="s">
        <v>1601</v>
      </c>
      <c r="SC104" s="1" t="s">
        <v>1602</v>
      </c>
      <c r="SE104" s="1" t="s">
        <v>484</v>
      </c>
      <c r="SF104" s="1" t="s">
        <v>1603</v>
      </c>
      <c r="SG104" s="1" t="s">
        <v>1604</v>
      </c>
      <c r="SH104" s="1" t="s">
        <v>438</v>
      </c>
      <c r="SI104" s="1" t="s">
        <v>432</v>
      </c>
      <c r="SK104" s="1" t="s">
        <v>568</v>
      </c>
      <c r="SL104" s="1" t="s">
        <v>486</v>
      </c>
    </row>
    <row r="105" spans="1:507" ht="32" x14ac:dyDescent="0.2">
      <c r="A105" s="1" t="s">
        <v>1605</v>
      </c>
      <c r="B105" s="1">
        <v>9</v>
      </c>
      <c r="C105" s="1">
        <v>5</v>
      </c>
      <c r="D105" s="3">
        <v>46069.471655092595</v>
      </c>
      <c r="E105" s="1">
        <v>5219688</v>
      </c>
      <c r="F105" s="1" t="s">
        <v>428</v>
      </c>
      <c r="H105" s="1" t="s">
        <v>1606</v>
      </c>
      <c r="J105" s="1" t="s">
        <v>1607</v>
      </c>
      <c r="L105" s="1" t="s">
        <v>1608</v>
      </c>
      <c r="O105" s="1" t="s">
        <v>432</v>
      </c>
      <c r="R105" s="1" t="s">
        <v>1607</v>
      </c>
      <c r="AB105" s="3">
        <v>46069.580034722225</v>
      </c>
      <c r="AC105" s="3">
        <v>46069.595462962963</v>
      </c>
      <c r="AE105" s="1" t="s">
        <v>1609</v>
      </c>
      <c r="BB105" s="1" t="s">
        <v>1610</v>
      </c>
      <c r="CO105" s="1" t="s">
        <v>435</v>
      </c>
      <c r="CQ105" s="1" t="s">
        <v>432</v>
      </c>
      <c r="CR105" s="1" t="s">
        <v>561</v>
      </c>
      <c r="CS105" s="1" t="s">
        <v>561</v>
      </c>
      <c r="CT105" s="3">
        <v>46069.47216435185</v>
      </c>
      <c r="CU105" s="1" t="s">
        <v>436</v>
      </c>
      <c r="CV105" s="1" t="s">
        <v>512</v>
      </c>
      <c r="CY105" s="1" t="s">
        <v>438</v>
      </c>
      <c r="DP105" s="1" t="s">
        <v>1611</v>
      </c>
      <c r="DU105" s="1" t="s">
        <v>442</v>
      </c>
      <c r="GZ105" s="1" t="s">
        <v>1611</v>
      </c>
      <c r="HA105" s="1" t="s">
        <v>442</v>
      </c>
      <c r="NM105" s="1" t="s">
        <v>441</v>
      </c>
      <c r="NN105" s="1">
        <v>5</v>
      </c>
      <c r="NS105" s="1">
        <v>4</v>
      </c>
      <c r="NT105" s="1">
        <v>5</v>
      </c>
      <c r="OA105" s="1">
        <v>5</v>
      </c>
      <c r="OB105" s="1" t="s">
        <v>442</v>
      </c>
      <c r="OC105" s="1">
        <v>5</v>
      </c>
      <c r="OD105" s="1">
        <v>5</v>
      </c>
      <c r="SC105" s="1" t="s">
        <v>443</v>
      </c>
      <c r="SG105" s="1" t="s">
        <v>444</v>
      </c>
      <c r="SH105" s="1" t="s">
        <v>438</v>
      </c>
      <c r="SI105" s="1" t="s">
        <v>432</v>
      </c>
      <c r="SK105" s="1" t="s">
        <v>445</v>
      </c>
      <c r="SL105" s="1" t="s">
        <v>619</v>
      </c>
    </row>
    <row r="106" spans="1:507" ht="80" x14ac:dyDescent="0.2">
      <c r="A106" s="1" t="s">
        <v>1612</v>
      </c>
      <c r="B106" s="1">
        <v>9</v>
      </c>
      <c r="C106" s="1">
        <v>4</v>
      </c>
      <c r="D106" s="3">
        <v>46066.71802083333</v>
      </c>
      <c r="E106" s="1">
        <v>5215883</v>
      </c>
      <c r="F106" s="1" t="s">
        <v>428</v>
      </c>
      <c r="H106" s="1" t="s">
        <v>1613</v>
      </c>
      <c r="J106" s="1" t="s">
        <v>1614</v>
      </c>
      <c r="L106" s="1" t="s">
        <v>1615</v>
      </c>
      <c r="M106" s="1" t="s">
        <v>1615</v>
      </c>
      <c r="N106" s="1" t="s">
        <v>1616</v>
      </c>
      <c r="O106" s="1" t="s">
        <v>438</v>
      </c>
      <c r="R106" s="1" t="s">
        <v>1614</v>
      </c>
      <c r="S106" s="1" t="s">
        <v>1617</v>
      </c>
      <c r="AB106" s="3">
        <v>46071.506712962961</v>
      </c>
      <c r="AC106" s="3">
        <v>46028.535243055558</v>
      </c>
      <c r="AE106" s="1" t="s">
        <v>1618</v>
      </c>
      <c r="BB106" s="1" t="s">
        <v>1619</v>
      </c>
      <c r="CO106" s="1" t="s">
        <v>435</v>
      </c>
      <c r="CQ106" s="1" t="s">
        <v>432</v>
      </c>
      <c r="CR106" s="1" t="s">
        <v>728</v>
      </c>
      <c r="CS106" s="1" t="s">
        <v>729</v>
      </c>
      <c r="CT106" s="3">
        <v>46066.715856481482</v>
      </c>
      <c r="CU106" s="1" t="s">
        <v>436</v>
      </c>
      <c r="CV106" s="1" t="s">
        <v>512</v>
      </c>
      <c r="CW106" s="3">
        <v>46071.506574074076</v>
      </c>
      <c r="CX106" s="1" t="s">
        <v>1057</v>
      </c>
      <c r="CY106" s="1" t="s">
        <v>438</v>
      </c>
      <c r="DP106" s="1" t="s">
        <v>1620</v>
      </c>
      <c r="DU106" s="1" t="s">
        <v>1621</v>
      </c>
      <c r="GZ106" s="1" t="s">
        <v>1620</v>
      </c>
      <c r="HA106" s="1" t="s">
        <v>1621</v>
      </c>
      <c r="NM106" s="1" t="s">
        <v>441</v>
      </c>
      <c r="NN106" s="1">
        <v>3</v>
      </c>
      <c r="NS106" s="1">
        <v>4</v>
      </c>
      <c r="NT106" s="1">
        <v>5</v>
      </c>
      <c r="OA106" s="1">
        <v>4</v>
      </c>
      <c r="OB106" s="1">
        <v>4</v>
      </c>
      <c r="OC106" s="1">
        <v>4</v>
      </c>
      <c r="OD106" s="1">
        <v>5</v>
      </c>
      <c r="SB106" s="1" t="s">
        <v>1622</v>
      </c>
      <c r="SC106" s="1" t="s">
        <v>704</v>
      </c>
      <c r="SF106" s="1" t="s">
        <v>1623</v>
      </c>
      <c r="SG106" s="1" t="s">
        <v>1624</v>
      </c>
      <c r="SH106" s="1" t="s">
        <v>438</v>
      </c>
      <c r="SI106" s="1" t="s">
        <v>432</v>
      </c>
      <c r="SK106" s="1" t="s">
        <v>445</v>
      </c>
      <c r="SL106" s="1" t="s">
        <v>620</v>
      </c>
    </row>
    <row r="107" spans="1:507" ht="32" x14ac:dyDescent="0.2">
      <c r="A107" s="1" t="s">
        <v>1625</v>
      </c>
      <c r="B107" s="1">
        <v>10</v>
      </c>
      <c r="C107" s="1">
        <v>5</v>
      </c>
      <c r="D107" s="3">
        <v>46066.669224537036</v>
      </c>
      <c r="E107" s="1">
        <v>5215787</v>
      </c>
      <c r="F107" s="1" t="s">
        <v>428</v>
      </c>
      <c r="H107" s="1" t="s">
        <v>1626</v>
      </c>
      <c r="J107" s="1" t="s">
        <v>1627</v>
      </c>
      <c r="L107" s="1" t="s">
        <v>1628</v>
      </c>
      <c r="N107" s="1" t="s">
        <v>466</v>
      </c>
      <c r="O107" s="1" t="s">
        <v>438</v>
      </c>
      <c r="R107" s="1" t="s">
        <v>1627</v>
      </c>
      <c r="S107" s="1" t="s">
        <v>467</v>
      </c>
      <c r="AB107" s="3">
        <v>46069.580821759257</v>
      </c>
      <c r="AC107" s="3">
        <v>46064.540243055555</v>
      </c>
      <c r="AE107" s="1" t="s">
        <v>1629</v>
      </c>
      <c r="BB107" s="1" t="s">
        <v>1630</v>
      </c>
      <c r="CO107" s="1" t="s">
        <v>435</v>
      </c>
      <c r="CQ107" s="1" t="s">
        <v>432</v>
      </c>
      <c r="CR107" s="1" t="s">
        <v>561</v>
      </c>
      <c r="CS107" s="1" t="s">
        <v>561</v>
      </c>
      <c r="CT107" s="3">
        <v>46066.669178240743</v>
      </c>
      <c r="CU107" s="1" t="s">
        <v>436</v>
      </c>
      <c r="CV107" s="1" t="s">
        <v>512</v>
      </c>
      <c r="CY107" s="1" t="s">
        <v>438</v>
      </c>
      <c r="DP107" s="1" t="s">
        <v>1631</v>
      </c>
      <c r="GZ107" s="1" t="s">
        <v>1631</v>
      </c>
      <c r="NM107" s="1" t="s">
        <v>441</v>
      </c>
      <c r="NN107" s="1">
        <v>5</v>
      </c>
      <c r="NS107" s="1">
        <v>5</v>
      </c>
      <c r="NT107" s="1">
        <v>5</v>
      </c>
      <c r="OA107" s="1">
        <v>5</v>
      </c>
      <c r="OB107" s="1">
        <v>5</v>
      </c>
      <c r="OC107" s="1">
        <v>5</v>
      </c>
      <c r="OD107" s="1">
        <v>5</v>
      </c>
      <c r="SB107" s="1" t="s">
        <v>745</v>
      </c>
      <c r="SC107" s="1" t="s">
        <v>917</v>
      </c>
      <c r="SF107" s="1" t="s">
        <v>747</v>
      </c>
      <c r="SG107" s="1" t="s">
        <v>918</v>
      </c>
      <c r="SH107" s="1" t="s">
        <v>438</v>
      </c>
      <c r="SI107" s="1" t="s">
        <v>432</v>
      </c>
      <c r="SK107" s="1" t="s">
        <v>1265</v>
      </c>
    </row>
    <row r="108" spans="1:507" ht="48" x14ac:dyDescent="0.2">
      <c r="A108" s="1" t="s">
        <v>1632</v>
      </c>
      <c r="B108" s="1">
        <v>10</v>
      </c>
      <c r="C108" s="1">
        <v>5</v>
      </c>
      <c r="D108" s="3">
        <v>46066.66574074074</v>
      </c>
      <c r="E108" s="1">
        <v>5215774</v>
      </c>
      <c r="F108" s="1" t="s">
        <v>428</v>
      </c>
      <c r="H108" s="1" t="s">
        <v>1633</v>
      </c>
      <c r="J108" s="1" t="s">
        <v>1634</v>
      </c>
      <c r="L108" s="1" t="s">
        <v>1635</v>
      </c>
      <c r="O108" s="1" t="s">
        <v>432</v>
      </c>
      <c r="R108" s="1" t="s">
        <v>1634</v>
      </c>
      <c r="AB108" s="3">
        <v>46069.624421296299</v>
      </c>
      <c r="AC108" s="3">
        <v>46066.54451388889</v>
      </c>
      <c r="AE108" s="1" t="s">
        <v>1636</v>
      </c>
      <c r="BB108" s="1" t="s">
        <v>1637</v>
      </c>
      <c r="CO108" s="1" t="s">
        <v>435</v>
      </c>
      <c r="CQ108" s="1" t="s">
        <v>432</v>
      </c>
      <c r="CR108" s="1" t="s">
        <v>1227</v>
      </c>
      <c r="CS108" s="1" t="s">
        <v>1227</v>
      </c>
      <c r="CT108" s="3">
        <v>46066.665300925924</v>
      </c>
      <c r="CU108" s="1" t="s">
        <v>436</v>
      </c>
      <c r="CV108" s="1" t="s">
        <v>512</v>
      </c>
      <c r="CY108" s="1" t="s">
        <v>438</v>
      </c>
      <c r="DP108" s="1" t="s">
        <v>1638</v>
      </c>
      <c r="DU108" s="1" t="s">
        <v>1639</v>
      </c>
      <c r="GZ108" s="1" t="s">
        <v>1638</v>
      </c>
      <c r="HA108" s="1" t="s">
        <v>1639</v>
      </c>
      <c r="NM108" s="1" t="s">
        <v>441</v>
      </c>
      <c r="NN108" s="1">
        <v>5</v>
      </c>
      <c r="NS108" s="1">
        <v>5</v>
      </c>
      <c r="NT108" s="1">
        <v>5</v>
      </c>
      <c r="OA108" s="1">
        <v>5</v>
      </c>
      <c r="OB108" s="1">
        <v>5</v>
      </c>
      <c r="OC108" s="1">
        <v>5</v>
      </c>
      <c r="OD108" s="1">
        <v>5</v>
      </c>
      <c r="SB108" s="1" t="s">
        <v>1583</v>
      </c>
      <c r="SC108" s="1" t="s">
        <v>1640</v>
      </c>
      <c r="SF108" s="1" t="s">
        <v>1584</v>
      </c>
      <c r="SG108" s="1" t="s">
        <v>1641</v>
      </c>
      <c r="SH108" s="1" t="s">
        <v>438</v>
      </c>
      <c r="SI108" s="1" t="s">
        <v>432</v>
      </c>
      <c r="SK108" s="1" t="s">
        <v>568</v>
      </c>
      <c r="SL108" s="1" t="s">
        <v>486</v>
      </c>
    </row>
    <row r="109" spans="1:507" ht="96" x14ac:dyDescent="0.2">
      <c r="A109" s="1" t="s">
        <v>1642</v>
      </c>
      <c r="B109" s="1">
        <v>10</v>
      </c>
      <c r="C109" s="1">
        <v>5</v>
      </c>
      <c r="D109" s="3">
        <v>46066.653680555559</v>
      </c>
      <c r="E109" s="1">
        <v>5215738</v>
      </c>
      <c r="F109" s="1" t="s">
        <v>428</v>
      </c>
      <c r="H109" s="1" t="s">
        <v>1643</v>
      </c>
      <c r="J109" s="1" t="s">
        <v>1644</v>
      </c>
      <c r="L109" s="1" t="s">
        <v>1645</v>
      </c>
      <c r="M109" s="1" t="s">
        <v>1645</v>
      </c>
      <c r="N109" s="1" t="s">
        <v>1646</v>
      </c>
      <c r="O109" s="1" t="s">
        <v>438</v>
      </c>
      <c r="R109" s="1" t="s">
        <v>1644</v>
      </c>
      <c r="S109" s="1" t="s">
        <v>1647</v>
      </c>
      <c r="AB109" s="3">
        <v>46069.621770833335</v>
      </c>
      <c r="AC109" s="3">
        <v>46065.53869212963</v>
      </c>
      <c r="AE109" s="1" t="s">
        <v>1648</v>
      </c>
      <c r="BB109" s="1" t="s">
        <v>1649</v>
      </c>
      <c r="CO109" s="1" t="s">
        <v>435</v>
      </c>
      <c r="CQ109" s="1" t="s">
        <v>432</v>
      </c>
      <c r="CR109" s="1" t="s">
        <v>1227</v>
      </c>
      <c r="CS109" s="1" t="s">
        <v>1227</v>
      </c>
      <c r="CT109" s="3">
        <v>46066.652048611111</v>
      </c>
      <c r="CU109" s="1" t="s">
        <v>436</v>
      </c>
      <c r="CV109" s="1" t="s">
        <v>512</v>
      </c>
      <c r="CY109" s="1" t="s">
        <v>438</v>
      </c>
      <c r="DP109" s="1" t="s">
        <v>1650</v>
      </c>
      <c r="DU109" s="1" t="s">
        <v>1651</v>
      </c>
      <c r="GZ109" s="1" t="s">
        <v>1650</v>
      </c>
      <c r="HA109" s="1" t="s">
        <v>1651</v>
      </c>
      <c r="NM109" s="1" t="s">
        <v>441</v>
      </c>
      <c r="NN109" s="1">
        <v>5</v>
      </c>
      <c r="NS109" s="1">
        <v>5</v>
      </c>
      <c r="NT109" s="1">
        <v>5</v>
      </c>
      <c r="OA109" s="1">
        <v>5</v>
      </c>
      <c r="OB109" s="1">
        <v>5</v>
      </c>
      <c r="OC109" s="1">
        <v>5</v>
      </c>
      <c r="OD109" s="1">
        <v>5</v>
      </c>
      <c r="SB109" s="1" t="s">
        <v>1652</v>
      </c>
      <c r="SC109" s="1" t="s">
        <v>773</v>
      </c>
      <c r="SF109" s="1" t="s">
        <v>1653</v>
      </c>
      <c r="SG109" s="1" t="s">
        <v>1357</v>
      </c>
      <c r="SH109" s="1" t="s">
        <v>438</v>
      </c>
      <c r="SI109" s="1" t="s">
        <v>438</v>
      </c>
      <c r="SK109" s="1" t="s">
        <v>445</v>
      </c>
      <c r="SL109" s="1" t="s">
        <v>1654</v>
      </c>
      <c r="SM109" s="1" t="s">
        <v>1372</v>
      </c>
    </row>
    <row r="110" spans="1:507" ht="48" x14ac:dyDescent="0.2">
      <c r="A110" s="1" t="s">
        <v>1655</v>
      </c>
      <c r="B110" s="1">
        <v>10</v>
      </c>
      <c r="C110" s="1">
        <v>5</v>
      </c>
      <c r="D110" s="3">
        <v>46066.631585648145</v>
      </c>
      <c r="E110" s="1">
        <v>5215681</v>
      </c>
      <c r="F110" s="1" t="s">
        <v>428</v>
      </c>
      <c r="H110" s="1" t="s">
        <v>1656</v>
      </c>
      <c r="J110" s="1" t="s">
        <v>1657</v>
      </c>
      <c r="L110" s="1" t="s">
        <v>1658</v>
      </c>
      <c r="M110" s="1" t="s">
        <v>1658</v>
      </c>
      <c r="N110" s="1" t="s">
        <v>1659</v>
      </c>
      <c r="O110" s="1" t="s">
        <v>438</v>
      </c>
      <c r="R110" s="1" t="s">
        <v>1657</v>
      </c>
      <c r="S110" s="1" t="s">
        <v>1660</v>
      </c>
      <c r="AB110" s="3">
        <v>46069.586759259262</v>
      </c>
      <c r="AC110" s="3">
        <v>46066.545358796298</v>
      </c>
      <c r="AE110" s="1" t="s">
        <v>1661</v>
      </c>
      <c r="BB110" s="1" t="s">
        <v>1662</v>
      </c>
      <c r="CO110" s="1" t="s">
        <v>435</v>
      </c>
      <c r="CQ110" s="1" t="s">
        <v>432</v>
      </c>
      <c r="CR110" s="1" t="s">
        <v>561</v>
      </c>
      <c r="CS110" s="1" t="s">
        <v>561</v>
      </c>
      <c r="CT110" s="3">
        <v>46066.631111111114</v>
      </c>
      <c r="CU110" s="1" t="s">
        <v>436</v>
      </c>
      <c r="CV110" s="1" t="s">
        <v>512</v>
      </c>
      <c r="CY110" s="1" t="s">
        <v>438</v>
      </c>
      <c r="DP110" s="1" t="s">
        <v>1663</v>
      </c>
      <c r="DU110" s="1" t="s">
        <v>442</v>
      </c>
      <c r="GZ110" s="1" t="s">
        <v>1663</v>
      </c>
      <c r="HA110" s="1" t="s">
        <v>442</v>
      </c>
      <c r="NM110" s="1" t="s">
        <v>441</v>
      </c>
      <c r="NN110" s="1">
        <v>5</v>
      </c>
      <c r="NS110" s="1">
        <v>5</v>
      </c>
      <c r="NT110" s="1">
        <v>5</v>
      </c>
      <c r="OA110" s="1">
        <v>5</v>
      </c>
      <c r="OB110" s="1">
        <v>5</v>
      </c>
      <c r="OC110" s="1">
        <v>5</v>
      </c>
      <c r="OD110" s="1">
        <v>5</v>
      </c>
      <c r="SC110" s="1" t="s">
        <v>443</v>
      </c>
      <c r="SG110" s="1" t="s">
        <v>444</v>
      </c>
      <c r="SH110" s="1" t="s">
        <v>438</v>
      </c>
      <c r="SI110" s="1" t="s">
        <v>432</v>
      </c>
      <c r="SK110" s="1" t="s">
        <v>568</v>
      </c>
    </row>
    <row r="111" spans="1:507" ht="64" x14ac:dyDescent="0.2">
      <c r="A111" s="1" t="s">
        <v>1664</v>
      </c>
      <c r="B111" s="1">
        <v>10</v>
      </c>
      <c r="C111" s="1">
        <v>5</v>
      </c>
      <c r="D111" s="3">
        <v>46066.631550925929</v>
      </c>
      <c r="E111" s="1">
        <v>5215677</v>
      </c>
      <c r="F111" s="1" t="s">
        <v>428</v>
      </c>
      <c r="H111" s="1" t="s">
        <v>1665</v>
      </c>
      <c r="J111" s="1" t="s">
        <v>1666</v>
      </c>
      <c r="L111" s="1" t="s">
        <v>1667</v>
      </c>
      <c r="N111" s="1" t="s">
        <v>1616</v>
      </c>
      <c r="O111" s="1" t="s">
        <v>432</v>
      </c>
      <c r="R111" s="1" t="s">
        <v>1666</v>
      </c>
      <c r="S111" s="1" t="s">
        <v>1617</v>
      </c>
      <c r="AB111" s="3">
        <v>46069.618032407408</v>
      </c>
      <c r="AC111" s="3">
        <v>46066.547673611109</v>
      </c>
      <c r="AE111" s="1" t="s">
        <v>1668</v>
      </c>
      <c r="BB111" s="1" t="s">
        <v>1669</v>
      </c>
      <c r="CO111" s="1" t="s">
        <v>435</v>
      </c>
      <c r="CQ111" s="1" t="s">
        <v>432</v>
      </c>
      <c r="CR111" s="1" t="s">
        <v>1227</v>
      </c>
      <c r="CS111" s="1" t="s">
        <v>1227</v>
      </c>
      <c r="CT111" s="3">
        <v>46066.630532407406</v>
      </c>
      <c r="CU111" s="1" t="s">
        <v>436</v>
      </c>
      <c r="CV111" s="1" t="s">
        <v>512</v>
      </c>
      <c r="CY111" s="1" t="s">
        <v>438</v>
      </c>
      <c r="DP111" s="1" t="s">
        <v>1670</v>
      </c>
      <c r="DU111" s="1" t="s">
        <v>1671</v>
      </c>
      <c r="GZ111" s="1" t="s">
        <v>1670</v>
      </c>
      <c r="HA111" s="1" t="s">
        <v>1671</v>
      </c>
      <c r="NM111" s="1" t="s">
        <v>441</v>
      </c>
      <c r="NN111" s="1">
        <v>5</v>
      </c>
      <c r="NS111" s="1">
        <v>5</v>
      </c>
      <c r="NT111" s="1">
        <v>5</v>
      </c>
      <c r="OA111" s="1">
        <v>5</v>
      </c>
      <c r="OB111" s="1">
        <v>5</v>
      </c>
      <c r="OC111" s="1">
        <v>5</v>
      </c>
      <c r="OD111" s="1">
        <v>5</v>
      </c>
      <c r="SB111" s="1" t="s">
        <v>1672</v>
      </c>
      <c r="SC111" s="1" t="s">
        <v>1673</v>
      </c>
      <c r="SF111" s="1" t="s">
        <v>1674</v>
      </c>
      <c r="SG111" s="1" t="s">
        <v>1675</v>
      </c>
      <c r="SH111" s="1" t="s">
        <v>438</v>
      </c>
      <c r="SI111" s="1" t="s">
        <v>438</v>
      </c>
      <c r="SK111" s="1" t="s">
        <v>445</v>
      </c>
      <c r="SL111" s="1" t="s">
        <v>919</v>
      </c>
    </row>
    <row r="112" spans="1:507" ht="32" x14ac:dyDescent="0.2">
      <c r="A112" s="1" t="s">
        <v>1676</v>
      </c>
      <c r="B112" s="1">
        <v>9</v>
      </c>
      <c r="C112" s="1">
        <v>4</v>
      </c>
      <c r="D112" s="3">
        <v>46066.523194444446</v>
      </c>
      <c r="E112" s="1">
        <v>5215212</v>
      </c>
      <c r="F112" s="1" t="s">
        <v>428</v>
      </c>
      <c r="H112" s="1" t="s">
        <v>1677</v>
      </c>
      <c r="J112" s="1" t="s">
        <v>1678</v>
      </c>
      <c r="L112" s="1" t="s">
        <v>1679</v>
      </c>
      <c r="M112" s="1" t="s">
        <v>1679</v>
      </c>
      <c r="N112" s="1" t="s">
        <v>1680</v>
      </c>
      <c r="O112" s="1" t="s">
        <v>432</v>
      </c>
      <c r="R112" s="1" t="s">
        <v>1678</v>
      </c>
      <c r="S112" s="1" t="s">
        <v>1681</v>
      </c>
      <c r="AB112" s="3">
        <v>46069.39880787037</v>
      </c>
      <c r="AC112" s="3">
        <v>46065.537743055553</v>
      </c>
      <c r="AE112" s="1" t="s">
        <v>1682</v>
      </c>
      <c r="BB112" s="1" t="s">
        <v>1683</v>
      </c>
      <c r="CO112" s="1" t="s">
        <v>435</v>
      </c>
      <c r="CQ112" s="1" t="s">
        <v>432</v>
      </c>
      <c r="CR112" s="1" t="s">
        <v>511</v>
      </c>
      <c r="CS112" s="1" t="s">
        <v>511</v>
      </c>
      <c r="CT112" s="3">
        <v>46066.523020833331</v>
      </c>
      <c r="CU112" s="1" t="s">
        <v>436</v>
      </c>
      <c r="CV112" s="1" t="s">
        <v>512</v>
      </c>
      <c r="CY112" s="1" t="s">
        <v>438</v>
      </c>
      <c r="DP112" s="1" t="s">
        <v>1684</v>
      </c>
      <c r="DU112" s="1" t="s">
        <v>1685</v>
      </c>
      <c r="GZ112" s="1" t="s">
        <v>1684</v>
      </c>
      <c r="HA112" s="1" t="s">
        <v>1685</v>
      </c>
      <c r="NM112" s="1" t="s">
        <v>441</v>
      </c>
      <c r="NN112" s="1">
        <v>5</v>
      </c>
      <c r="NS112" s="1">
        <v>5</v>
      </c>
      <c r="NT112" s="1">
        <v>5</v>
      </c>
      <c r="OA112" s="1">
        <v>1</v>
      </c>
      <c r="OB112" s="1">
        <v>4</v>
      </c>
      <c r="OC112" s="1">
        <v>2</v>
      </c>
      <c r="OD112" s="1">
        <v>1</v>
      </c>
      <c r="SB112" s="1" t="s">
        <v>443</v>
      </c>
      <c r="SC112" s="1" t="s">
        <v>796</v>
      </c>
      <c r="SF112" s="1" t="s">
        <v>579</v>
      </c>
      <c r="SG112" s="1" t="s">
        <v>1686</v>
      </c>
      <c r="SH112" s="1" t="s">
        <v>438</v>
      </c>
      <c r="SI112" s="1" t="s">
        <v>438</v>
      </c>
      <c r="SK112" s="1" t="s">
        <v>672</v>
      </c>
      <c r="SL112" s="1" t="s">
        <v>787</v>
      </c>
    </row>
    <row r="113" spans="1:508" ht="32" x14ac:dyDescent="0.2">
      <c r="A113" s="1" t="s">
        <v>1687</v>
      </c>
      <c r="B113" s="1">
        <v>9</v>
      </c>
      <c r="C113" s="1">
        <v>5</v>
      </c>
      <c r="D113" s="3">
        <v>46066.505023148151</v>
      </c>
      <c r="E113" s="1">
        <v>5215124</v>
      </c>
      <c r="F113" s="1" t="s">
        <v>428</v>
      </c>
      <c r="H113" s="1" t="s">
        <v>1688</v>
      </c>
      <c r="J113" s="1" t="s">
        <v>1689</v>
      </c>
      <c r="L113" s="1" t="s">
        <v>1690</v>
      </c>
      <c r="O113" s="1" t="s">
        <v>432</v>
      </c>
      <c r="R113" s="1" t="s">
        <v>1689</v>
      </c>
      <c r="AB113" s="3">
        <v>46069.396990740737</v>
      </c>
      <c r="AC113" s="3">
        <v>46066.545023148145</v>
      </c>
      <c r="AE113" s="1" t="s">
        <v>1691</v>
      </c>
      <c r="BB113" s="1" t="s">
        <v>1692</v>
      </c>
      <c r="CO113" s="1" t="s">
        <v>435</v>
      </c>
      <c r="CQ113" s="1" t="s">
        <v>432</v>
      </c>
      <c r="CR113" s="1" t="s">
        <v>511</v>
      </c>
      <c r="CS113" s="1" t="s">
        <v>511</v>
      </c>
      <c r="CT113" s="3">
        <v>46066.503541666665</v>
      </c>
      <c r="CU113" s="1" t="s">
        <v>436</v>
      </c>
      <c r="CV113" s="1" t="s">
        <v>512</v>
      </c>
      <c r="CY113" s="1" t="s">
        <v>438</v>
      </c>
      <c r="DP113" s="1" t="s">
        <v>1693</v>
      </c>
      <c r="DU113" s="1" t="s">
        <v>1694</v>
      </c>
      <c r="GZ113" s="1" t="s">
        <v>1693</v>
      </c>
      <c r="HA113" s="1" t="s">
        <v>1694</v>
      </c>
      <c r="NM113" s="1" t="s">
        <v>441</v>
      </c>
      <c r="NN113" s="1">
        <v>4</v>
      </c>
      <c r="NS113" s="1">
        <v>5</v>
      </c>
      <c r="NT113" s="1">
        <v>5</v>
      </c>
      <c r="OA113" s="1">
        <v>4</v>
      </c>
      <c r="OB113" s="1">
        <v>4</v>
      </c>
      <c r="OC113" s="1">
        <v>5</v>
      </c>
      <c r="OD113" s="1">
        <v>5</v>
      </c>
      <c r="SB113" s="1" t="s">
        <v>1695</v>
      </c>
      <c r="SC113" s="1" t="s">
        <v>1696</v>
      </c>
      <c r="SF113" s="1" t="s">
        <v>1697</v>
      </c>
      <c r="SG113" s="1" t="s">
        <v>1698</v>
      </c>
      <c r="SH113" s="1" t="s">
        <v>438</v>
      </c>
      <c r="SI113" s="1" t="s">
        <v>438</v>
      </c>
      <c r="SK113" s="1" t="s">
        <v>619</v>
      </c>
    </row>
    <row r="114" spans="1:508" ht="48" x14ac:dyDescent="0.2">
      <c r="A114" s="1" t="s">
        <v>1699</v>
      </c>
      <c r="B114" s="1">
        <v>10</v>
      </c>
      <c r="C114" s="1">
        <v>5</v>
      </c>
      <c r="D114" s="3">
        <v>46066.49422453704</v>
      </c>
      <c r="E114" s="1">
        <v>5215083</v>
      </c>
      <c r="F114" s="1" t="s">
        <v>428</v>
      </c>
      <c r="H114" s="1" t="s">
        <v>1700</v>
      </c>
      <c r="J114" s="1" t="s">
        <v>1701</v>
      </c>
      <c r="L114" s="1" t="s">
        <v>1702</v>
      </c>
      <c r="M114" s="1" t="s">
        <v>1703</v>
      </c>
      <c r="N114" s="1" t="s">
        <v>1704</v>
      </c>
      <c r="O114" s="1" t="s">
        <v>432</v>
      </c>
      <c r="R114" s="1" t="s">
        <v>1701</v>
      </c>
      <c r="S114" s="1" t="s">
        <v>1705</v>
      </c>
      <c r="AB114" s="3">
        <v>46069.395775462966</v>
      </c>
      <c r="AC114" s="3">
        <v>46066.545972222222</v>
      </c>
      <c r="AE114" s="1" t="s">
        <v>1706</v>
      </c>
      <c r="BB114" s="1" t="s">
        <v>1707</v>
      </c>
      <c r="CO114" s="1" t="s">
        <v>435</v>
      </c>
      <c r="CQ114" s="1" t="s">
        <v>432</v>
      </c>
      <c r="CR114" s="1" t="s">
        <v>511</v>
      </c>
      <c r="CS114" s="1" t="s">
        <v>511</v>
      </c>
      <c r="CT114" s="3">
        <v>46066.493923611109</v>
      </c>
      <c r="CU114" s="1" t="s">
        <v>436</v>
      </c>
      <c r="CV114" s="1" t="s">
        <v>512</v>
      </c>
      <c r="CY114" s="1" t="s">
        <v>438</v>
      </c>
      <c r="DP114" s="1" t="s">
        <v>1708</v>
      </c>
      <c r="DU114" s="1" t="s">
        <v>1709</v>
      </c>
      <c r="GZ114" s="1" t="s">
        <v>1708</v>
      </c>
      <c r="HA114" s="1" t="s">
        <v>1709</v>
      </c>
      <c r="NM114" s="1" t="s">
        <v>441</v>
      </c>
      <c r="NN114" s="1">
        <v>4</v>
      </c>
      <c r="NS114" s="1">
        <v>5</v>
      </c>
      <c r="NT114" s="1">
        <v>5</v>
      </c>
      <c r="OA114" s="1">
        <v>5</v>
      </c>
      <c r="OB114" s="1">
        <v>5</v>
      </c>
      <c r="OC114" s="1">
        <v>5</v>
      </c>
      <c r="OD114" s="1">
        <v>5</v>
      </c>
      <c r="SB114" s="1" t="s">
        <v>443</v>
      </c>
      <c r="SC114" s="1" t="s">
        <v>646</v>
      </c>
      <c r="SF114" s="1" t="s">
        <v>444</v>
      </c>
      <c r="SG114" s="1" t="s">
        <v>647</v>
      </c>
      <c r="SH114" s="1" t="s">
        <v>438</v>
      </c>
      <c r="SI114" s="1" t="s">
        <v>432</v>
      </c>
      <c r="SK114" s="1" t="s">
        <v>1546</v>
      </c>
      <c r="SL114" s="1" t="s">
        <v>620</v>
      </c>
    </row>
    <row r="115" spans="1:508" ht="48" x14ac:dyDescent="0.2">
      <c r="A115" s="1" t="s">
        <v>1710</v>
      </c>
      <c r="B115" s="1">
        <v>10</v>
      </c>
      <c r="C115" s="1">
        <v>5</v>
      </c>
      <c r="D115" s="3">
        <v>46066.470590277779</v>
      </c>
      <c r="E115" s="1">
        <v>5214953</v>
      </c>
      <c r="F115" s="1" t="s">
        <v>428</v>
      </c>
      <c r="H115" s="1" t="s">
        <v>1711</v>
      </c>
      <c r="J115" s="1" t="s">
        <v>1712</v>
      </c>
      <c r="L115" s="1" t="s">
        <v>1713</v>
      </c>
      <c r="M115" s="1" t="s">
        <v>1713</v>
      </c>
      <c r="N115" s="1" t="s">
        <v>1714</v>
      </c>
      <c r="O115" s="1" t="s">
        <v>432</v>
      </c>
      <c r="R115" s="1" t="s">
        <v>1712</v>
      </c>
      <c r="S115" s="1" t="s">
        <v>1715</v>
      </c>
      <c r="AB115" s="3">
        <v>46069.390694444446</v>
      </c>
      <c r="AC115" s="3">
        <v>46066.544421296298</v>
      </c>
      <c r="AE115" s="1" t="s">
        <v>1716</v>
      </c>
      <c r="BB115" s="1" t="s">
        <v>1717</v>
      </c>
      <c r="CO115" s="1" t="s">
        <v>435</v>
      </c>
      <c r="CQ115" s="1" t="s">
        <v>432</v>
      </c>
      <c r="CR115" s="1" t="s">
        <v>511</v>
      </c>
      <c r="CS115" s="1" t="s">
        <v>511</v>
      </c>
      <c r="CT115" s="3">
        <v>46066.470127314817</v>
      </c>
      <c r="CU115" s="1" t="s">
        <v>436</v>
      </c>
      <c r="CV115" s="1" t="s">
        <v>512</v>
      </c>
      <c r="CY115" s="1" t="s">
        <v>438</v>
      </c>
      <c r="DP115" s="1" t="s">
        <v>1718</v>
      </c>
      <c r="DU115" s="1" t="s">
        <v>938</v>
      </c>
      <c r="GZ115" s="1" t="s">
        <v>1718</v>
      </c>
      <c r="HA115" s="1" t="s">
        <v>938</v>
      </c>
      <c r="NM115" s="1" t="s">
        <v>441</v>
      </c>
      <c r="NN115" s="1">
        <v>5</v>
      </c>
      <c r="NS115" s="1">
        <v>5</v>
      </c>
      <c r="NT115" s="1">
        <v>5</v>
      </c>
      <c r="OA115" s="1">
        <v>5</v>
      </c>
      <c r="OB115" s="1">
        <v>5</v>
      </c>
      <c r="OC115" s="1">
        <v>5</v>
      </c>
      <c r="OD115" s="1">
        <v>5</v>
      </c>
      <c r="SB115" s="1" t="s">
        <v>758</v>
      </c>
      <c r="SC115" s="1" t="s">
        <v>773</v>
      </c>
      <c r="SF115" s="1" t="s">
        <v>1719</v>
      </c>
      <c r="SG115" s="1" t="s">
        <v>1357</v>
      </c>
      <c r="SH115" s="1" t="s">
        <v>438</v>
      </c>
      <c r="SI115" s="1" t="s">
        <v>432</v>
      </c>
      <c r="SK115" s="1" t="s">
        <v>445</v>
      </c>
    </row>
    <row r="116" spans="1:508" ht="32" x14ac:dyDescent="0.2">
      <c r="A116" s="1" t="s">
        <v>1720</v>
      </c>
      <c r="B116" s="1">
        <v>10</v>
      </c>
      <c r="C116" s="1">
        <v>5</v>
      </c>
      <c r="D116" s="3">
        <v>46066.458784722221</v>
      </c>
      <c r="E116" s="1">
        <v>5214876</v>
      </c>
      <c r="F116" s="1" t="s">
        <v>428</v>
      </c>
      <c r="H116" s="1" t="s">
        <v>1721</v>
      </c>
      <c r="J116" s="1" t="s">
        <v>1722</v>
      </c>
      <c r="L116" s="1" t="s">
        <v>1723</v>
      </c>
      <c r="M116" s="1" t="s">
        <v>1723</v>
      </c>
      <c r="N116" s="1" t="s">
        <v>1724</v>
      </c>
      <c r="O116" s="1" t="s">
        <v>432</v>
      </c>
      <c r="R116" s="1" t="s">
        <v>1722</v>
      </c>
      <c r="S116" s="1" t="s">
        <v>1725</v>
      </c>
      <c r="AB116" s="3">
        <v>46069.383761574078</v>
      </c>
      <c r="AC116" s="3">
        <v>46062.846388888887</v>
      </c>
      <c r="AE116" s="1" t="s">
        <v>1726</v>
      </c>
      <c r="BB116" s="1" t="s">
        <v>1727</v>
      </c>
      <c r="CO116" s="1" t="s">
        <v>435</v>
      </c>
      <c r="CQ116" s="1" t="s">
        <v>432</v>
      </c>
      <c r="CR116" s="1" t="s">
        <v>511</v>
      </c>
      <c r="CS116" s="1" t="s">
        <v>511</v>
      </c>
      <c r="CT116" s="3">
        <v>46066.452789351853</v>
      </c>
      <c r="CU116" s="1" t="s">
        <v>436</v>
      </c>
      <c r="CV116" s="1" t="s">
        <v>512</v>
      </c>
      <c r="CY116" s="1" t="s">
        <v>438</v>
      </c>
      <c r="DP116" s="1" t="s">
        <v>1728</v>
      </c>
      <c r="DU116" s="1" t="s">
        <v>1729</v>
      </c>
      <c r="GZ116" s="1" t="s">
        <v>1728</v>
      </c>
      <c r="HA116" s="1" t="s">
        <v>1729</v>
      </c>
      <c r="NM116" s="1" t="s">
        <v>441</v>
      </c>
      <c r="NN116" s="1">
        <v>5</v>
      </c>
      <c r="NS116" s="1">
        <v>5</v>
      </c>
      <c r="NT116" s="1">
        <v>5</v>
      </c>
      <c r="OA116" s="1">
        <v>5</v>
      </c>
      <c r="OB116" s="1">
        <v>5</v>
      </c>
      <c r="OC116" s="1">
        <v>5</v>
      </c>
      <c r="OD116" s="1">
        <v>5</v>
      </c>
      <c r="SC116" s="1" t="s">
        <v>443</v>
      </c>
      <c r="SG116" s="1" t="s">
        <v>444</v>
      </c>
      <c r="SH116" s="1" t="s">
        <v>438</v>
      </c>
      <c r="SI116" s="1" t="s">
        <v>432</v>
      </c>
      <c r="SK116" s="1" t="s">
        <v>445</v>
      </c>
    </row>
    <row r="117" spans="1:508" ht="32" x14ac:dyDescent="0.2">
      <c r="A117" s="1" t="s">
        <v>1730</v>
      </c>
      <c r="B117" s="1">
        <v>10</v>
      </c>
      <c r="C117" s="1">
        <v>4</v>
      </c>
      <c r="D117" s="3">
        <v>46066.450150462966</v>
      </c>
      <c r="E117" s="1">
        <v>5214864</v>
      </c>
      <c r="F117" s="1" t="s">
        <v>428</v>
      </c>
      <c r="H117" s="1" t="s">
        <v>1731</v>
      </c>
      <c r="J117" s="1" t="s">
        <v>1732</v>
      </c>
      <c r="L117" s="1" t="s">
        <v>1733</v>
      </c>
      <c r="N117" s="1" t="s">
        <v>1734</v>
      </c>
      <c r="O117" s="1" t="s">
        <v>432</v>
      </c>
      <c r="R117" s="1" t="s">
        <v>1732</v>
      </c>
      <c r="S117" s="1" t="s">
        <v>1735</v>
      </c>
      <c r="AB117" s="3">
        <v>46069.381504629629</v>
      </c>
      <c r="AC117" s="3">
        <v>46066.545428240737</v>
      </c>
      <c r="AE117" s="1" t="s">
        <v>1736</v>
      </c>
      <c r="BB117" s="1" t="s">
        <v>1737</v>
      </c>
      <c r="CO117" s="1" t="s">
        <v>435</v>
      </c>
      <c r="CQ117" s="1" t="s">
        <v>432</v>
      </c>
      <c r="CR117" s="1" t="s">
        <v>511</v>
      </c>
      <c r="CS117" s="1" t="s">
        <v>511</v>
      </c>
      <c r="CT117" s="3">
        <v>46066.45045138889</v>
      </c>
      <c r="CU117" s="1" t="s">
        <v>436</v>
      </c>
      <c r="CV117" s="1" t="s">
        <v>512</v>
      </c>
      <c r="CY117" s="1" t="s">
        <v>438</v>
      </c>
      <c r="DP117" s="1" t="s">
        <v>1738</v>
      </c>
      <c r="GZ117" s="1" t="s">
        <v>1738</v>
      </c>
      <c r="NM117" s="1" t="s">
        <v>441</v>
      </c>
      <c r="NN117" s="1">
        <v>4</v>
      </c>
      <c r="NS117" s="1">
        <v>5</v>
      </c>
      <c r="NT117" s="1">
        <v>5</v>
      </c>
      <c r="OA117" s="1">
        <v>5</v>
      </c>
      <c r="OB117" s="1">
        <v>5</v>
      </c>
      <c r="OC117" s="1">
        <v>5</v>
      </c>
      <c r="OD117" s="1">
        <v>5</v>
      </c>
      <c r="SB117" s="1" t="s">
        <v>443</v>
      </c>
      <c r="SC117" s="1" t="s">
        <v>443</v>
      </c>
      <c r="SF117" s="1" t="s">
        <v>579</v>
      </c>
      <c r="SG117" s="1" t="s">
        <v>444</v>
      </c>
      <c r="SH117" s="1" t="s">
        <v>438</v>
      </c>
      <c r="SI117" s="1" t="s">
        <v>438</v>
      </c>
      <c r="SK117" s="1" t="s">
        <v>1265</v>
      </c>
    </row>
    <row r="118" spans="1:508" ht="32" x14ac:dyDescent="0.2">
      <c r="A118" s="1" t="s">
        <v>1739</v>
      </c>
      <c r="B118" s="1">
        <v>10</v>
      </c>
      <c r="C118" s="1">
        <v>5</v>
      </c>
      <c r="D118" s="3">
        <v>46066.445914351854</v>
      </c>
      <c r="E118" s="1">
        <v>5214841</v>
      </c>
      <c r="F118" s="1" t="s">
        <v>428</v>
      </c>
      <c r="H118" s="1" t="s">
        <v>1740</v>
      </c>
      <c r="J118" s="1" t="s">
        <v>1741</v>
      </c>
      <c r="L118" s="1" t="s">
        <v>1742</v>
      </c>
      <c r="O118" s="1" t="s">
        <v>432</v>
      </c>
      <c r="R118" s="1" t="s">
        <v>1741</v>
      </c>
      <c r="AB118" s="3">
        <v>46069.379780092589</v>
      </c>
      <c r="AC118" s="3">
        <v>46066.546817129631</v>
      </c>
      <c r="AE118" s="1" t="s">
        <v>1743</v>
      </c>
      <c r="BB118" s="1" t="s">
        <v>1744</v>
      </c>
      <c r="CO118" s="1" t="s">
        <v>435</v>
      </c>
      <c r="CQ118" s="1" t="s">
        <v>432</v>
      </c>
      <c r="CR118" s="1" t="s">
        <v>511</v>
      </c>
      <c r="CS118" s="1" t="s">
        <v>511</v>
      </c>
      <c r="CT118" s="3">
        <v>46066.445879629631</v>
      </c>
      <c r="CU118" s="1" t="s">
        <v>436</v>
      </c>
      <c r="CV118" s="1" t="s">
        <v>512</v>
      </c>
      <c r="CY118" s="1" t="s">
        <v>438</v>
      </c>
      <c r="DP118" s="1" t="s">
        <v>1745</v>
      </c>
      <c r="GZ118" s="1" t="s">
        <v>1745</v>
      </c>
      <c r="NM118" s="1" t="s">
        <v>441</v>
      </c>
      <c r="NN118" s="1">
        <v>5</v>
      </c>
      <c r="NS118" s="1">
        <v>5</v>
      </c>
      <c r="NT118" s="1">
        <v>5</v>
      </c>
      <c r="OA118" s="1">
        <v>5</v>
      </c>
      <c r="OB118" s="1">
        <v>5</v>
      </c>
      <c r="OC118" s="1">
        <v>5</v>
      </c>
      <c r="OD118" s="1">
        <v>5</v>
      </c>
      <c r="SB118" s="1" t="s">
        <v>483</v>
      </c>
      <c r="SC118" s="1" t="s">
        <v>987</v>
      </c>
      <c r="SF118" s="1" t="s">
        <v>485</v>
      </c>
      <c r="SG118" s="1" t="s">
        <v>988</v>
      </c>
      <c r="SH118" s="1" t="s">
        <v>438</v>
      </c>
      <c r="SI118" s="1" t="s">
        <v>432</v>
      </c>
      <c r="SK118" s="1" t="s">
        <v>1746</v>
      </c>
      <c r="SL118" s="1" t="s">
        <v>919</v>
      </c>
    </row>
    <row r="119" spans="1:508" ht="32" x14ac:dyDescent="0.2">
      <c r="A119" s="1" t="s">
        <v>1747</v>
      </c>
      <c r="B119" s="1">
        <v>10</v>
      </c>
      <c r="C119" s="1">
        <v>5</v>
      </c>
      <c r="D119" s="3">
        <v>46066.430590277778</v>
      </c>
      <c r="E119" s="1">
        <v>5214741</v>
      </c>
      <c r="F119" s="1" t="s">
        <v>428</v>
      </c>
      <c r="H119" s="1" t="s">
        <v>1748</v>
      </c>
      <c r="J119" s="1" t="s">
        <v>1749</v>
      </c>
      <c r="L119" s="1" t="s">
        <v>1750</v>
      </c>
      <c r="O119" s="1" t="s">
        <v>432</v>
      </c>
      <c r="R119" s="1" t="s">
        <v>1749</v>
      </c>
      <c r="AB119" s="3">
        <v>46069.37840277778</v>
      </c>
      <c r="AC119" s="3">
        <v>46066.545405092591</v>
      </c>
      <c r="AE119" s="1" t="s">
        <v>1751</v>
      </c>
      <c r="BB119" s="1" t="s">
        <v>1752</v>
      </c>
      <c r="CO119" s="1" t="s">
        <v>435</v>
      </c>
      <c r="CQ119" s="1" t="s">
        <v>432</v>
      </c>
      <c r="CR119" s="1" t="s">
        <v>511</v>
      </c>
      <c r="CS119" s="1" t="s">
        <v>511</v>
      </c>
      <c r="CT119" s="3">
        <v>46066.43072916667</v>
      </c>
      <c r="CU119" s="1" t="s">
        <v>436</v>
      </c>
      <c r="CV119" s="1" t="s">
        <v>512</v>
      </c>
      <c r="CY119" s="1" t="s">
        <v>438</v>
      </c>
      <c r="DP119" s="1" t="s">
        <v>1753</v>
      </c>
      <c r="GZ119" s="1" t="s">
        <v>1753</v>
      </c>
      <c r="NM119" s="1" t="s">
        <v>441</v>
      </c>
      <c r="NN119" s="1">
        <v>5</v>
      </c>
      <c r="NS119" s="1">
        <v>5</v>
      </c>
      <c r="NT119" s="1">
        <v>5</v>
      </c>
      <c r="OA119" s="1">
        <v>5</v>
      </c>
      <c r="OB119" s="1">
        <v>5</v>
      </c>
      <c r="OC119" s="1">
        <v>5</v>
      </c>
      <c r="OD119" s="1">
        <v>5</v>
      </c>
      <c r="SC119" s="1" t="s">
        <v>443</v>
      </c>
      <c r="SG119" s="1" t="s">
        <v>444</v>
      </c>
      <c r="SH119" s="1" t="s">
        <v>438</v>
      </c>
      <c r="SI119" s="1" t="s">
        <v>432</v>
      </c>
      <c r="SK119" s="1" t="s">
        <v>445</v>
      </c>
    </row>
    <row r="120" spans="1:508" ht="32" x14ac:dyDescent="0.2">
      <c r="A120" s="1" t="s">
        <v>1754</v>
      </c>
      <c r="B120" s="1">
        <v>10</v>
      </c>
      <c r="C120" s="1">
        <v>5</v>
      </c>
      <c r="D120" s="3">
        <v>46066.288784722223</v>
      </c>
      <c r="E120" s="1">
        <v>5214141</v>
      </c>
      <c r="F120" s="1" t="s">
        <v>428</v>
      </c>
      <c r="H120" s="1" t="s">
        <v>1755</v>
      </c>
      <c r="J120" s="1" t="s">
        <v>1756</v>
      </c>
      <c r="L120" s="1" t="s">
        <v>1757</v>
      </c>
      <c r="M120" s="1" t="s">
        <v>1757</v>
      </c>
      <c r="N120" s="1" t="s">
        <v>1758</v>
      </c>
      <c r="O120" s="1" t="s">
        <v>432</v>
      </c>
      <c r="R120" s="1" t="s">
        <v>1756</v>
      </c>
      <c r="S120" s="1" t="s">
        <v>1759</v>
      </c>
      <c r="AB120" s="3">
        <v>46066.449988425928</v>
      </c>
      <c r="AC120" s="3">
        <v>46065.539942129632</v>
      </c>
      <c r="AE120" s="1" t="s">
        <v>1760</v>
      </c>
      <c r="BB120" s="1" t="s">
        <v>1761</v>
      </c>
      <c r="CO120" s="1" t="s">
        <v>435</v>
      </c>
      <c r="CQ120" s="1" t="s">
        <v>432</v>
      </c>
      <c r="CR120" s="1" t="s">
        <v>523</v>
      </c>
      <c r="CS120" s="1" t="s">
        <v>523</v>
      </c>
      <c r="CT120" s="3">
        <v>46066.288090277776</v>
      </c>
      <c r="CU120" s="1" t="s">
        <v>436</v>
      </c>
      <c r="CV120" s="1" t="s">
        <v>512</v>
      </c>
      <c r="CY120" s="1" t="s">
        <v>438</v>
      </c>
      <c r="DP120" s="1" t="s">
        <v>1762</v>
      </c>
      <c r="DU120" s="1" t="s">
        <v>682</v>
      </c>
      <c r="GZ120" s="1" t="s">
        <v>1762</v>
      </c>
      <c r="HA120" s="1" t="s">
        <v>682</v>
      </c>
      <c r="NM120" s="1" t="s">
        <v>441</v>
      </c>
      <c r="NN120" s="1">
        <v>5</v>
      </c>
      <c r="NS120" s="1">
        <v>5</v>
      </c>
      <c r="NT120" s="1">
        <v>5</v>
      </c>
      <c r="OA120" s="1">
        <v>5</v>
      </c>
      <c r="OB120" s="1">
        <v>5</v>
      </c>
      <c r="OC120" s="1">
        <v>5</v>
      </c>
      <c r="OD120" s="1">
        <v>5</v>
      </c>
      <c r="SB120" s="1" t="s">
        <v>1622</v>
      </c>
      <c r="SC120" s="1" t="s">
        <v>646</v>
      </c>
      <c r="SF120" s="1" t="s">
        <v>1763</v>
      </c>
      <c r="SG120" s="1" t="s">
        <v>1254</v>
      </c>
      <c r="SH120" s="1" t="s">
        <v>438</v>
      </c>
      <c r="SI120" s="1" t="s">
        <v>432</v>
      </c>
      <c r="SK120" s="1" t="s">
        <v>445</v>
      </c>
      <c r="SL120" s="1" t="s">
        <v>1372</v>
      </c>
    </row>
    <row r="121" spans="1:508" ht="176" x14ac:dyDescent="0.2">
      <c r="A121" s="1" t="s">
        <v>1764</v>
      </c>
      <c r="B121" s="1">
        <v>10</v>
      </c>
      <c r="C121" s="1">
        <v>3</v>
      </c>
      <c r="D121" s="3">
        <v>46065.780173611114</v>
      </c>
      <c r="E121" s="1">
        <v>5213344</v>
      </c>
      <c r="F121" s="1" t="s">
        <v>428</v>
      </c>
      <c r="H121" s="1" t="s">
        <v>1765</v>
      </c>
      <c r="J121" s="1" t="s">
        <v>1766</v>
      </c>
      <c r="L121" s="1" t="s">
        <v>1767</v>
      </c>
      <c r="M121" s="1" t="s">
        <v>1767</v>
      </c>
      <c r="N121" s="1" t="s">
        <v>1140</v>
      </c>
      <c r="O121" s="1" t="s">
        <v>432</v>
      </c>
      <c r="R121" s="1" t="s">
        <v>1766</v>
      </c>
      <c r="S121" s="1" t="s">
        <v>1141</v>
      </c>
      <c r="AB121" s="3">
        <v>46071.742488425924</v>
      </c>
      <c r="AC121" s="3">
        <v>46064.811678240738</v>
      </c>
      <c r="AE121" s="1" t="s">
        <v>1768</v>
      </c>
      <c r="BB121" s="1" t="s">
        <v>1769</v>
      </c>
      <c r="CO121" s="1" t="s">
        <v>435</v>
      </c>
      <c r="CQ121" s="1" t="s">
        <v>432</v>
      </c>
      <c r="CR121" s="1" t="s">
        <v>1770</v>
      </c>
      <c r="CS121" s="1" t="s">
        <v>729</v>
      </c>
      <c r="CT121" s="3">
        <v>46065.777708333335</v>
      </c>
      <c r="CU121" s="1" t="s">
        <v>436</v>
      </c>
      <c r="CV121" s="1" t="s">
        <v>512</v>
      </c>
      <c r="CW121" s="3">
        <v>46071.742442129631</v>
      </c>
      <c r="CX121" s="1" t="s">
        <v>1057</v>
      </c>
      <c r="CY121" s="1" t="s">
        <v>438</v>
      </c>
      <c r="DP121" s="1" t="s">
        <v>1771</v>
      </c>
      <c r="DU121" s="1" t="s">
        <v>1772</v>
      </c>
      <c r="GZ121" s="1" t="s">
        <v>1771</v>
      </c>
      <c r="HA121" s="1" t="s">
        <v>1772</v>
      </c>
      <c r="NM121" s="1" t="s">
        <v>441</v>
      </c>
      <c r="NN121" s="1">
        <v>5</v>
      </c>
      <c r="NS121" s="1">
        <v>5</v>
      </c>
      <c r="NT121" s="1">
        <v>5</v>
      </c>
      <c r="OA121" s="1">
        <v>2</v>
      </c>
      <c r="OB121" s="1">
        <v>4</v>
      </c>
      <c r="OC121" s="1">
        <v>4</v>
      </c>
      <c r="OD121" s="1">
        <v>4</v>
      </c>
      <c r="SB121" s="1" t="s">
        <v>1773</v>
      </c>
      <c r="SC121" s="1" t="s">
        <v>1774</v>
      </c>
      <c r="SF121" s="1" t="s">
        <v>1775</v>
      </c>
      <c r="SG121" s="1" t="s">
        <v>1776</v>
      </c>
      <c r="SH121" s="1" t="s">
        <v>438</v>
      </c>
      <c r="SI121" s="1" t="s">
        <v>438</v>
      </c>
      <c r="SK121" s="1" t="s">
        <v>955</v>
      </c>
      <c r="SL121" s="1" t="s">
        <v>500</v>
      </c>
      <c r="SM121" s="1" t="s">
        <v>486</v>
      </c>
      <c r="SN121" s="1" t="s">
        <v>1777</v>
      </c>
    </row>
    <row r="122" spans="1:508" ht="32" x14ac:dyDescent="0.2">
      <c r="A122" s="1" t="s">
        <v>1778</v>
      </c>
      <c r="B122" s="1">
        <v>10</v>
      </c>
      <c r="C122" s="1">
        <v>5</v>
      </c>
      <c r="D122" s="3">
        <v>46065.752164351848</v>
      </c>
      <c r="E122" s="1">
        <v>5213246</v>
      </c>
      <c r="F122" s="1" t="s">
        <v>428</v>
      </c>
      <c r="H122" s="1" t="s">
        <v>1779</v>
      </c>
      <c r="J122" s="1" t="s">
        <v>1780</v>
      </c>
      <c r="L122" s="1" t="s">
        <v>1781</v>
      </c>
      <c r="N122" s="1" t="s">
        <v>903</v>
      </c>
      <c r="O122" s="1" t="s">
        <v>438</v>
      </c>
      <c r="R122" s="1" t="s">
        <v>1780</v>
      </c>
      <c r="S122" s="1" t="s">
        <v>904</v>
      </c>
      <c r="AB122" s="3">
        <v>46066.411435185182</v>
      </c>
      <c r="AC122" s="3">
        <v>46065.811759259261</v>
      </c>
      <c r="AE122" s="1" t="s">
        <v>1782</v>
      </c>
      <c r="BB122" s="1" t="s">
        <v>1783</v>
      </c>
      <c r="CO122" s="1" t="s">
        <v>435</v>
      </c>
      <c r="CQ122" s="1" t="s">
        <v>432</v>
      </c>
      <c r="CR122" s="1" t="s">
        <v>1227</v>
      </c>
      <c r="CS122" s="1" t="s">
        <v>1227</v>
      </c>
      <c r="CT122" s="3">
        <v>46065.751851851855</v>
      </c>
      <c r="CU122" s="1" t="s">
        <v>436</v>
      </c>
      <c r="CV122" s="1" t="s">
        <v>512</v>
      </c>
      <c r="CY122" s="1" t="s">
        <v>438</v>
      </c>
      <c r="DP122" s="1" t="s">
        <v>1784</v>
      </c>
      <c r="DU122" s="1" t="s">
        <v>1785</v>
      </c>
      <c r="GZ122" s="1" t="s">
        <v>1784</v>
      </c>
      <c r="HA122" s="1" t="s">
        <v>1785</v>
      </c>
      <c r="NM122" s="1" t="s">
        <v>441</v>
      </c>
      <c r="NN122" s="1">
        <v>5</v>
      </c>
      <c r="NS122" s="1">
        <v>5</v>
      </c>
      <c r="NT122" s="1">
        <v>5</v>
      </c>
      <c r="OA122" s="1">
        <v>5</v>
      </c>
      <c r="OB122" s="1">
        <v>5</v>
      </c>
      <c r="OC122" s="1">
        <v>5</v>
      </c>
      <c r="OD122" s="1">
        <v>5</v>
      </c>
      <c r="SC122" s="1" t="s">
        <v>483</v>
      </c>
      <c r="SG122" s="1" t="s">
        <v>485</v>
      </c>
      <c r="SH122" s="1" t="s">
        <v>438</v>
      </c>
      <c r="SI122" s="1" t="s">
        <v>438</v>
      </c>
      <c r="SK122" s="1" t="s">
        <v>955</v>
      </c>
    </row>
    <row r="123" spans="1:508" ht="32" x14ac:dyDescent="0.2">
      <c r="A123" s="1" t="s">
        <v>1786</v>
      </c>
      <c r="B123" s="1">
        <v>10</v>
      </c>
      <c r="C123" s="1">
        <v>5</v>
      </c>
      <c r="D123" s="3">
        <v>46065.609085648146</v>
      </c>
      <c r="E123" s="1">
        <v>5212713</v>
      </c>
      <c r="F123" s="1" t="s">
        <v>428</v>
      </c>
      <c r="H123" s="1" t="s">
        <v>1787</v>
      </c>
      <c r="J123" s="1" t="s">
        <v>1788</v>
      </c>
      <c r="L123" s="1" t="s">
        <v>1789</v>
      </c>
      <c r="M123" s="1" t="s">
        <v>1789</v>
      </c>
      <c r="N123" s="1" t="s">
        <v>1790</v>
      </c>
      <c r="O123" s="1" t="s">
        <v>432</v>
      </c>
      <c r="R123" s="1" t="s">
        <v>1788</v>
      </c>
      <c r="S123" s="1" t="s">
        <v>1791</v>
      </c>
      <c r="AB123" s="3">
        <v>46065.65351851852</v>
      </c>
      <c r="AC123" s="3">
        <v>46065.642071759263</v>
      </c>
      <c r="AE123" s="1" t="s">
        <v>1792</v>
      </c>
      <c r="BB123" s="1" t="s">
        <v>1793</v>
      </c>
      <c r="CO123" s="1" t="s">
        <v>435</v>
      </c>
      <c r="CQ123" s="1" t="s">
        <v>432</v>
      </c>
      <c r="CR123" s="1" t="s">
        <v>523</v>
      </c>
      <c r="CS123" s="1" t="s">
        <v>523</v>
      </c>
      <c r="CT123" s="3">
        <v>46065.609386574077</v>
      </c>
      <c r="CU123" s="1" t="s">
        <v>436</v>
      </c>
      <c r="CV123" s="1" t="s">
        <v>512</v>
      </c>
      <c r="CY123" s="1" t="s">
        <v>438</v>
      </c>
      <c r="DP123" s="1" t="s">
        <v>1794</v>
      </c>
      <c r="DU123" s="1" t="s">
        <v>1795</v>
      </c>
      <c r="GZ123" s="1" t="s">
        <v>1794</v>
      </c>
      <c r="HA123" s="1" t="s">
        <v>1795</v>
      </c>
      <c r="NM123" s="1" t="s">
        <v>441</v>
      </c>
      <c r="NN123" s="1">
        <v>5</v>
      </c>
      <c r="NS123" s="1">
        <v>5</v>
      </c>
      <c r="NT123" s="1">
        <v>5</v>
      </c>
      <c r="OA123" s="1">
        <v>5</v>
      </c>
      <c r="OB123" s="1">
        <v>5</v>
      </c>
      <c r="OC123" s="1">
        <v>5</v>
      </c>
      <c r="OD123" s="1">
        <v>5</v>
      </c>
      <c r="SB123" s="1" t="s">
        <v>1622</v>
      </c>
      <c r="SC123" s="1" t="s">
        <v>646</v>
      </c>
      <c r="SF123" s="1" t="s">
        <v>1763</v>
      </c>
      <c r="SG123" s="1" t="s">
        <v>1254</v>
      </c>
      <c r="SH123" s="1" t="s">
        <v>438</v>
      </c>
      <c r="SI123" s="1" t="s">
        <v>432</v>
      </c>
      <c r="SK123" s="1" t="s">
        <v>445</v>
      </c>
      <c r="SL123" s="1" t="s">
        <v>919</v>
      </c>
    </row>
    <row r="124" spans="1:508" ht="160" x14ac:dyDescent="0.2">
      <c r="A124" s="1" t="s">
        <v>1796</v>
      </c>
      <c r="B124" s="1">
        <v>10</v>
      </c>
      <c r="C124" s="1">
        <v>4</v>
      </c>
      <c r="D124" s="3">
        <v>46065.607476851852</v>
      </c>
      <c r="E124" s="1">
        <v>5212689</v>
      </c>
      <c r="F124" s="1" t="s">
        <v>428</v>
      </c>
      <c r="H124" s="1" t="s">
        <v>1797</v>
      </c>
      <c r="J124" s="1" t="s">
        <v>1798</v>
      </c>
      <c r="L124" s="1" t="s">
        <v>1799</v>
      </c>
      <c r="O124" s="1" t="s">
        <v>438</v>
      </c>
      <c r="R124" s="1" t="s">
        <v>1798</v>
      </c>
      <c r="AB124" s="3">
        <v>46065.658368055556</v>
      </c>
      <c r="AC124" s="3">
        <v>46065.556250000001</v>
      </c>
      <c r="AE124" s="1" t="s">
        <v>1800</v>
      </c>
      <c r="BB124" s="1" t="s">
        <v>1801</v>
      </c>
      <c r="CO124" s="1" t="s">
        <v>435</v>
      </c>
      <c r="CQ124" s="1" t="s">
        <v>432</v>
      </c>
      <c r="CR124" s="1" t="s">
        <v>523</v>
      </c>
      <c r="CS124" s="1" t="s">
        <v>523</v>
      </c>
      <c r="CT124" s="3">
        <v>46065.605439814812</v>
      </c>
      <c r="CU124" s="1" t="s">
        <v>436</v>
      </c>
      <c r="CV124" s="1" t="s">
        <v>512</v>
      </c>
      <c r="CY124" s="1" t="s">
        <v>438</v>
      </c>
      <c r="DP124" s="1" t="s">
        <v>1802</v>
      </c>
      <c r="DU124" s="1" t="s">
        <v>1803</v>
      </c>
      <c r="GZ124" s="1" t="s">
        <v>1802</v>
      </c>
      <c r="HA124" s="1" t="s">
        <v>1803</v>
      </c>
      <c r="NM124" s="1" t="s">
        <v>441</v>
      </c>
      <c r="NN124" s="1">
        <v>5</v>
      </c>
      <c r="NS124" s="1">
        <v>5</v>
      </c>
      <c r="NT124" s="1">
        <v>5</v>
      </c>
      <c r="OA124" s="1">
        <v>4</v>
      </c>
      <c r="OB124" s="1">
        <v>5</v>
      </c>
      <c r="OC124" s="1">
        <v>3</v>
      </c>
      <c r="OD124" s="1">
        <v>5</v>
      </c>
      <c r="SB124" s="1" t="s">
        <v>1804</v>
      </c>
      <c r="SC124" s="1" t="s">
        <v>758</v>
      </c>
      <c r="SF124" s="1" t="s">
        <v>1805</v>
      </c>
      <c r="SG124" s="1" t="s">
        <v>1806</v>
      </c>
      <c r="SH124" s="1" t="s">
        <v>438</v>
      </c>
      <c r="SI124" s="1" t="s">
        <v>438</v>
      </c>
      <c r="SK124" s="1" t="s">
        <v>760</v>
      </c>
      <c r="SL124" s="1" t="s">
        <v>1807</v>
      </c>
    </row>
    <row r="125" spans="1:508" ht="32" x14ac:dyDescent="0.2">
      <c r="A125" s="1" t="s">
        <v>1808</v>
      </c>
      <c r="B125" s="1">
        <v>10</v>
      </c>
      <c r="C125" s="1">
        <v>5</v>
      </c>
      <c r="D125" s="3">
        <v>46065.603298611109</v>
      </c>
      <c r="E125" s="1">
        <v>5212655</v>
      </c>
      <c r="F125" s="1" t="s">
        <v>428</v>
      </c>
      <c r="H125" s="1" t="s">
        <v>1809</v>
      </c>
      <c r="J125" s="1" t="s">
        <v>1810</v>
      </c>
      <c r="L125" s="1" t="s">
        <v>1742</v>
      </c>
      <c r="M125" s="1" t="s">
        <v>1742</v>
      </c>
      <c r="N125" s="1" t="s">
        <v>1811</v>
      </c>
      <c r="O125" s="1" t="s">
        <v>432</v>
      </c>
      <c r="R125" s="1" t="s">
        <v>1810</v>
      </c>
      <c r="S125" s="1" t="s">
        <v>1812</v>
      </c>
      <c r="AB125" s="3">
        <v>46065.658912037034</v>
      </c>
      <c r="AC125" s="3">
        <v>46065.538854166669</v>
      </c>
      <c r="AE125" s="1" t="s">
        <v>1813</v>
      </c>
      <c r="BB125" s="1" t="s">
        <v>1814</v>
      </c>
      <c r="CO125" s="1" t="s">
        <v>435</v>
      </c>
      <c r="CQ125" s="1" t="s">
        <v>432</v>
      </c>
      <c r="CR125" s="1" t="s">
        <v>523</v>
      </c>
      <c r="CS125" s="1" t="s">
        <v>523</v>
      </c>
      <c r="CT125" s="3">
        <v>46065.601053240738</v>
      </c>
      <c r="CU125" s="1" t="s">
        <v>436</v>
      </c>
      <c r="CV125" s="1" t="s">
        <v>512</v>
      </c>
      <c r="CY125" s="1" t="s">
        <v>438</v>
      </c>
      <c r="DP125" s="1" t="s">
        <v>1815</v>
      </c>
      <c r="DU125" s="1" t="s">
        <v>1218</v>
      </c>
      <c r="GZ125" s="1" t="s">
        <v>1815</v>
      </c>
      <c r="HA125" s="1" t="s">
        <v>1218</v>
      </c>
      <c r="NM125" s="1" t="s">
        <v>441</v>
      </c>
      <c r="NN125" s="1">
        <v>4</v>
      </c>
      <c r="NS125" s="1">
        <v>4</v>
      </c>
      <c r="NT125" s="1">
        <v>5</v>
      </c>
      <c r="OA125" s="1">
        <v>4</v>
      </c>
      <c r="OB125" s="1">
        <v>5</v>
      </c>
      <c r="OC125" s="1">
        <v>5</v>
      </c>
      <c r="OD125" s="1">
        <v>5</v>
      </c>
      <c r="SB125" s="1" t="s">
        <v>1816</v>
      </c>
      <c r="SC125" s="1" t="s">
        <v>1817</v>
      </c>
      <c r="SF125" s="1" t="s">
        <v>1818</v>
      </c>
      <c r="SG125" s="1" t="s">
        <v>1819</v>
      </c>
      <c r="SH125" s="1" t="s">
        <v>438</v>
      </c>
      <c r="SI125" s="1" t="s">
        <v>438</v>
      </c>
      <c r="SK125" s="1" t="s">
        <v>1166</v>
      </c>
    </row>
    <row r="126" spans="1:508" ht="48" x14ac:dyDescent="0.2">
      <c r="A126" s="1" t="s">
        <v>1820</v>
      </c>
      <c r="B126" s="1">
        <v>10</v>
      </c>
      <c r="C126" s="1">
        <v>5</v>
      </c>
      <c r="D126" s="3">
        <v>46065.603229166663</v>
      </c>
      <c r="E126" s="1">
        <v>5212675</v>
      </c>
      <c r="F126" s="1" t="s">
        <v>428</v>
      </c>
      <c r="H126" s="1" t="s">
        <v>1821</v>
      </c>
      <c r="J126" s="1" t="s">
        <v>1822</v>
      </c>
      <c r="L126" s="1" t="s">
        <v>1823</v>
      </c>
      <c r="N126" s="1" t="s">
        <v>1179</v>
      </c>
      <c r="O126" s="1" t="s">
        <v>432</v>
      </c>
      <c r="R126" s="1" t="s">
        <v>1822</v>
      </c>
      <c r="S126" s="1" t="s">
        <v>1180</v>
      </c>
      <c r="AB126" s="3">
        <v>46065.659502314818</v>
      </c>
      <c r="AC126" s="3">
        <v>46059.537141203706</v>
      </c>
      <c r="AE126" s="1" t="s">
        <v>1824</v>
      </c>
      <c r="BB126" s="1" t="s">
        <v>1825</v>
      </c>
      <c r="CO126" s="1" t="s">
        <v>435</v>
      </c>
      <c r="CQ126" s="1" t="s">
        <v>432</v>
      </c>
      <c r="CR126" s="1" t="s">
        <v>523</v>
      </c>
      <c r="CS126" s="1" t="s">
        <v>523</v>
      </c>
      <c r="CT126" s="3">
        <v>46065.60328703704</v>
      </c>
      <c r="CU126" s="1" t="s">
        <v>436</v>
      </c>
      <c r="CV126" s="1" t="s">
        <v>512</v>
      </c>
      <c r="CY126" s="1" t="s">
        <v>438</v>
      </c>
      <c r="DP126" s="1" t="s">
        <v>1826</v>
      </c>
      <c r="DU126" s="1" t="s">
        <v>1827</v>
      </c>
      <c r="GZ126" s="1" t="s">
        <v>1826</v>
      </c>
      <c r="HA126" s="1" t="s">
        <v>1827</v>
      </c>
      <c r="NM126" s="1" t="s">
        <v>441</v>
      </c>
      <c r="NN126" s="1">
        <v>3</v>
      </c>
      <c r="NS126" s="1">
        <v>4</v>
      </c>
      <c r="NT126" s="1">
        <v>5</v>
      </c>
      <c r="OA126" s="1">
        <v>4</v>
      </c>
      <c r="OB126" s="1" t="s">
        <v>442</v>
      </c>
      <c r="OC126" s="1">
        <v>5</v>
      </c>
      <c r="OD126" s="1">
        <v>5</v>
      </c>
      <c r="SB126" s="1" t="s">
        <v>443</v>
      </c>
      <c r="SC126" s="1" t="s">
        <v>758</v>
      </c>
      <c r="SF126" s="1" t="s">
        <v>444</v>
      </c>
      <c r="SG126" s="1" t="s">
        <v>1719</v>
      </c>
      <c r="SH126" s="1" t="s">
        <v>438</v>
      </c>
      <c r="SI126" s="1" t="s">
        <v>432</v>
      </c>
      <c r="SK126" s="1" t="s">
        <v>1546</v>
      </c>
      <c r="SL126" s="1" t="s">
        <v>799</v>
      </c>
    </row>
    <row r="127" spans="1:508" ht="128" x14ac:dyDescent="0.2">
      <c r="A127" s="1" t="s">
        <v>1828</v>
      </c>
      <c r="B127" s="1">
        <v>10</v>
      </c>
      <c r="C127" s="1">
        <v>5</v>
      </c>
      <c r="D127" s="3">
        <v>46065.597233796296</v>
      </c>
      <c r="E127" s="1">
        <v>5212619</v>
      </c>
      <c r="F127" s="1" t="s">
        <v>428</v>
      </c>
      <c r="H127" s="1" t="s">
        <v>1829</v>
      </c>
      <c r="J127" s="1" t="s">
        <v>1830</v>
      </c>
      <c r="L127" s="1" t="s">
        <v>1831</v>
      </c>
      <c r="M127" s="1" t="s">
        <v>1831</v>
      </c>
      <c r="N127" s="1" t="s">
        <v>1832</v>
      </c>
      <c r="O127" s="1" t="s">
        <v>432</v>
      </c>
      <c r="R127" s="1" t="s">
        <v>1830</v>
      </c>
      <c r="S127" s="1" t="s">
        <v>1833</v>
      </c>
      <c r="AB127" s="3">
        <v>46065.662777777776</v>
      </c>
      <c r="AC127" s="3">
        <v>46065.538645833331</v>
      </c>
      <c r="AE127" s="1" t="s">
        <v>1834</v>
      </c>
      <c r="BB127" s="1" t="s">
        <v>1835</v>
      </c>
      <c r="CO127" s="1" t="s">
        <v>435</v>
      </c>
      <c r="CQ127" s="1" t="s">
        <v>432</v>
      </c>
      <c r="CR127" s="1" t="s">
        <v>523</v>
      </c>
      <c r="CS127" s="1" t="s">
        <v>523</v>
      </c>
      <c r="CT127" s="3">
        <v>46065.594525462962</v>
      </c>
      <c r="CU127" s="1" t="s">
        <v>436</v>
      </c>
      <c r="CV127" s="1" t="s">
        <v>512</v>
      </c>
      <c r="CY127" s="1" t="s">
        <v>438</v>
      </c>
      <c r="DP127" s="1" t="s">
        <v>1836</v>
      </c>
      <c r="DU127" s="1" t="s">
        <v>1837</v>
      </c>
      <c r="GZ127" s="1" t="s">
        <v>1836</v>
      </c>
      <c r="HA127" s="1" t="s">
        <v>1837</v>
      </c>
      <c r="NM127" s="1" t="s">
        <v>441</v>
      </c>
      <c r="NN127" s="1">
        <v>4</v>
      </c>
      <c r="NS127" s="1">
        <v>5</v>
      </c>
      <c r="NT127" s="1">
        <v>5</v>
      </c>
      <c r="OA127" s="1">
        <v>4</v>
      </c>
      <c r="OB127" s="1">
        <v>5</v>
      </c>
      <c r="OC127" s="1">
        <v>5</v>
      </c>
      <c r="OD127" s="1">
        <v>5</v>
      </c>
      <c r="SB127" s="1" t="s">
        <v>1838</v>
      </c>
      <c r="SC127" s="1" t="s">
        <v>1839</v>
      </c>
      <c r="SE127" s="1" t="s">
        <v>484</v>
      </c>
      <c r="SF127" s="1" t="s">
        <v>1840</v>
      </c>
      <c r="SG127" s="1" t="s">
        <v>1841</v>
      </c>
      <c r="SH127" s="1" t="s">
        <v>438</v>
      </c>
      <c r="SI127" s="1" t="s">
        <v>438</v>
      </c>
      <c r="SK127" s="1" t="s">
        <v>919</v>
      </c>
      <c r="SL127" s="1" t="s">
        <v>486</v>
      </c>
      <c r="SM127" s="1" t="s">
        <v>1210</v>
      </c>
    </row>
    <row r="128" spans="1:508" ht="64" x14ac:dyDescent="0.2">
      <c r="A128" s="1" t="s">
        <v>1842</v>
      </c>
      <c r="B128" s="1">
        <v>10</v>
      </c>
      <c r="C128" s="1">
        <v>5</v>
      </c>
      <c r="D128" s="3">
        <v>46065.527013888888</v>
      </c>
      <c r="E128" s="1">
        <v>5212332</v>
      </c>
      <c r="F128" s="1" t="s">
        <v>428</v>
      </c>
      <c r="H128" s="1" t="s">
        <v>1843</v>
      </c>
      <c r="J128" s="1" t="s">
        <v>1844</v>
      </c>
      <c r="L128" s="1" t="s">
        <v>1845</v>
      </c>
      <c r="O128" s="1" t="s">
        <v>432</v>
      </c>
      <c r="R128" s="1" t="s">
        <v>1844</v>
      </c>
      <c r="AB128" s="3">
        <v>46065.703483796293</v>
      </c>
      <c r="AC128" s="3">
        <v>46059.537465277775</v>
      </c>
      <c r="AE128" s="1" t="s">
        <v>1846</v>
      </c>
      <c r="BB128" s="1" t="s">
        <v>1847</v>
      </c>
      <c r="CO128" s="1" t="s">
        <v>435</v>
      </c>
      <c r="CQ128" s="1" t="s">
        <v>432</v>
      </c>
      <c r="CR128" s="1" t="s">
        <v>523</v>
      </c>
      <c r="CS128" s="1" t="s">
        <v>523</v>
      </c>
      <c r="CT128" s="3">
        <v>46065.524629629632</v>
      </c>
      <c r="CU128" s="1" t="s">
        <v>436</v>
      </c>
      <c r="CV128" s="1" t="s">
        <v>512</v>
      </c>
      <c r="CY128" s="1" t="s">
        <v>438</v>
      </c>
      <c r="DP128" s="1" t="s">
        <v>1848</v>
      </c>
      <c r="DU128" s="1" t="s">
        <v>442</v>
      </c>
      <c r="GZ128" s="1" t="s">
        <v>1848</v>
      </c>
      <c r="HA128" s="1" t="s">
        <v>442</v>
      </c>
      <c r="NM128" s="1" t="s">
        <v>441</v>
      </c>
      <c r="NN128" s="1">
        <v>5</v>
      </c>
      <c r="NS128" s="1">
        <v>5</v>
      </c>
      <c r="NT128" s="1">
        <v>5</v>
      </c>
      <c r="OA128" s="1">
        <v>5</v>
      </c>
      <c r="OB128" s="1">
        <v>5</v>
      </c>
      <c r="OC128" s="1">
        <v>5</v>
      </c>
      <c r="OD128" s="1">
        <v>5</v>
      </c>
      <c r="SB128" s="1" t="s">
        <v>615</v>
      </c>
      <c r="SC128" s="1" t="s">
        <v>1463</v>
      </c>
      <c r="SF128" s="1" t="s">
        <v>844</v>
      </c>
      <c r="SG128" s="1" t="s">
        <v>1849</v>
      </c>
      <c r="SH128" s="1" t="s">
        <v>438</v>
      </c>
      <c r="SI128" s="1" t="s">
        <v>432</v>
      </c>
      <c r="SK128" s="1" t="s">
        <v>568</v>
      </c>
    </row>
    <row r="129" spans="1:507" ht="48" x14ac:dyDescent="0.2">
      <c r="A129" s="1" t="s">
        <v>1850</v>
      </c>
      <c r="B129" s="1">
        <v>10</v>
      </c>
      <c r="C129" s="1">
        <v>5</v>
      </c>
      <c r="D129" s="3">
        <v>46065.513287037036</v>
      </c>
      <c r="E129" s="1">
        <v>5212245</v>
      </c>
      <c r="F129" s="1" t="s">
        <v>428</v>
      </c>
      <c r="H129" s="1" t="s">
        <v>1851</v>
      </c>
      <c r="J129" s="1" t="s">
        <v>1852</v>
      </c>
      <c r="L129" s="1" t="s">
        <v>1853</v>
      </c>
      <c r="M129" s="1" t="s">
        <v>1853</v>
      </c>
      <c r="N129" s="1" t="s">
        <v>1854</v>
      </c>
      <c r="O129" s="1" t="s">
        <v>432</v>
      </c>
      <c r="R129" s="1" t="s">
        <v>1852</v>
      </c>
      <c r="S129" s="1" t="s">
        <v>1855</v>
      </c>
      <c r="AB129" s="3">
        <v>46065.705983796295</v>
      </c>
      <c r="AC129" s="3">
        <v>46065.539363425924</v>
      </c>
      <c r="AE129" s="1" t="s">
        <v>1856</v>
      </c>
      <c r="BB129" s="1" t="s">
        <v>1857</v>
      </c>
      <c r="CO129" s="1" t="s">
        <v>435</v>
      </c>
      <c r="CQ129" s="1" t="s">
        <v>432</v>
      </c>
      <c r="CR129" s="1" t="s">
        <v>523</v>
      </c>
      <c r="CS129" s="1" t="s">
        <v>523</v>
      </c>
      <c r="CT129" s="3">
        <v>46065.503518518519</v>
      </c>
      <c r="CU129" s="1" t="s">
        <v>436</v>
      </c>
      <c r="CV129" s="1" t="s">
        <v>512</v>
      </c>
      <c r="CY129" s="1" t="s">
        <v>438</v>
      </c>
      <c r="DP129" s="1" t="s">
        <v>1858</v>
      </c>
      <c r="DU129" s="1" t="s">
        <v>1859</v>
      </c>
      <c r="GZ129" s="1" t="s">
        <v>1858</v>
      </c>
      <c r="HA129" s="1" t="s">
        <v>1859</v>
      </c>
      <c r="NM129" s="1" t="s">
        <v>441</v>
      </c>
      <c r="NN129" s="1">
        <v>5</v>
      </c>
      <c r="NS129" s="1">
        <v>5</v>
      </c>
      <c r="NT129" s="1">
        <v>5</v>
      </c>
      <c r="OA129" s="1">
        <v>5</v>
      </c>
      <c r="OB129" s="1">
        <v>4</v>
      </c>
      <c r="OC129" s="1">
        <v>5</v>
      </c>
      <c r="OD129" s="1">
        <v>4</v>
      </c>
      <c r="SC129" s="1" t="s">
        <v>646</v>
      </c>
      <c r="SG129" s="1" t="s">
        <v>647</v>
      </c>
      <c r="SH129" s="1" t="s">
        <v>438</v>
      </c>
      <c r="SI129" s="1" t="s">
        <v>432</v>
      </c>
      <c r="SK129" s="1" t="s">
        <v>568</v>
      </c>
    </row>
    <row r="130" spans="1:507" ht="32" x14ac:dyDescent="0.2">
      <c r="A130" s="1" t="s">
        <v>1860</v>
      </c>
      <c r="B130" s="1">
        <v>10</v>
      </c>
      <c r="C130" s="1">
        <v>4</v>
      </c>
      <c r="D130" s="3">
        <v>46065.502118055556</v>
      </c>
      <c r="E130" s="1">
        <v>5212240</v>
      </c>
      <c r="F130" s="1" t="s">
        <v>428</v>
      </c>
      <c r="H130" s="1" t="s">
        <v>1861</v>
      </c>
      <c r="J130" s="1" t="s">
        <v>1862</v>
      </c>
      <c r="L130" s="1" t="s">
        <v>1863</v>
      </c>
      <c r="O130" s="1" t="s">
        <v>432</v>
      </c>
      <c r="R130" s="1" t="s">
        <v>1862</v>
      </c>
      <c r="AB130" s="3">
        <v>46065.575486111113</v>
      </c>
      <c r="AC130" s="3">
        <v>46064.540578703702</v>
      </c>
      <c r="AE130" s="1" t="s">
        <v>1864</v>
      </c>
      <c r="BB130" s="1" t="s">
        <v>1865</v>
      </c>
      <c r="CO130" s="1" t="s">
        <v>435</v>
      </c>
      <c r="CQ130" s="1" t="s">
        <v>432</v>
      </c>
      <c r="CR130" s="1" t="s">
        <v>495</v>
      </c>
      <c r="CS130" s="1" t="s">
        <v>495</v>
      </c>
      <c r="CT130" s="3">
        <v>46065.502349537041</v>
      </c>
      <c r="CU130" s="1" t="s">
        <v>436</v>
      </c>
      <c r="CV130" s="1" t="s">
        <v>512</v>
      </c>
      <c r="CY130" s="1" t="s">
        <v>438</v>
      </c>
      <c r="DP130" s="1" t="s">
        <v>1866</v>
      </c>
      <c r="DU130" s="1" t="s">
        <v>1867</v>
      </c>
      <c r="GZ130" s="1" t="s">
        <v>1866</v>
      </c>
      <c r="HA130" s="1" t="s">
        <v>1867</v>
      </c>
      <c r="NM130" s="1" t="s">
        <v>441</v>
      </c>
      <c r="NN130" s="1">
        <v>3</v>
      </c>
      <c r="NS130" s="1">
        <v>5</v>
      </c>
      <c r="NT130" s="1">
        <v>5</v>
      </c>
      <c r="OA130" s="1">
        <v>3</v>
      </c>
      <c r="OB130" s="1" t="s">
        <v>442</v>
      </c>
      <c r="OC130" s="1">
        <v>3</v>
      </c>
      <c r="OD130" s="1">
        <v>1</v>
      </c>
      <c r="SB130" s="1" t="s">
        <v>443</v>
      </c>
      <c r="SC130" s="1" t="s">
        <v>1114</v>
      </c>
      <c r="SF130" s="1" t="s">
        <v>579</v>
      </c>
      <c r="SG130" s="1" t="s">
        <v>1868</v>
      </c>
      <c r="SH130" s="1" t="s">
        <v>438</v>
      </c>
      <c r="SI130" s="1" t="s">
        <v>438</v>
      </c>
      <c r="SK130" s="1" t="s">
        <v>760</v>
      </c>
    </row>
    <row r="131" spans="1:507" ht="32" x14ac:dyDescent="0.2">
      <c r="A131" s="1" t="s">
        <v>1869</v>
      </c>
      <c r="B131" s="1">
        <v>10</v>
      </c>
      <c r="C131" s="1">
        <v>5</v>
      </c>
      <c r="D131" s="3">
        <v>46065.493854166663</v>
      </c>
      <c r="E131" s="1">
        <v>5212193</v>
      </c>
      <c r="F131" s="1" t="s">
        <v>428</v>
      </c>
      <c r="H131" s="1" t="s">
        <v>1870</v>
      </c>
      <c r="J131" s="1" t="s">
        <v>1871</v>
      </c>
      <c r="L131" s="1" t="s">
        <v>1872</v>
      </c>
      <c r="M131" s="1" t="s">
        <v>1872</v>
      </c>
      <c r="N131" s="1" t="s">
        <v>1292</v>
      </c>
      <c r="O131" s="1" t="s">
        <v>432</v>
      </c>
      <c r="R131" s="1" t="s">
        <v>1871</v>
      </c>
      <c r="S131" s="1" t="s">
        <v>1293</v>
      </c>
      <c r="AB131" s="3">
        <v>46065.562847222223</v>
      </c>
      <c r="AC131" s="3">
        <v>46065.537777777776</v>
      </c>
      <c r="AE131" s="1" t="s">
        <v>1873</v>
      </c>
      <c r="BB131" s="1" t="s">
        <v>1874</v>
      </c>
      <c r="CO131" s="1" t="s">
        <v>435</v>
      </c>
      <c r="CQ131" s="1" t="s">
        <v>432</v>
      </c>
      <c r="CR131" s="1" t="s">
        <v>495</v>
      </c>
      <c r="CS131" s="1" t="s">
        <v>495</v>
      </c>
      <c r="CT131" s="3">
        <v>46065.493645833332</v>
      </c>
      <c r="CU131" s="1" t="s">
        <v>436</v>
      </c>
      <c r="CV131" s="1" t="s">
        <v>512</v>
      </c>
      <c r="CY131" s="1" t="s">
        <v>438</v>
      </c>
      <c r="DP131" s="1" t="s">
        <v>1875</v>
      </c>
      <c r="DU131" s="1" t="s">
        <v>1876</v>
      </c>
      <c r="GZ131" s="1" t="s">
        <v>1875</v>
      </c>
      <c r="HA131" s="1" t="s">
        <v>1876</v>
      </c>
      <c r="NM131" s="1" t="s">
        <v>441</v>
      </c>
      <c r="NN131" s="1">
        <v>3</v>
      </c>
      <c r="NS131" s="1">
        <v>5</v>
      </c>
      <c r="NT131" s="1">
        <v>5</v>
      </c>
      <c r="OA131" s="1">
        <v>5</v>
      </c>
      <c r="OB131" s="1">
        <v>5</v>
      </c>
      <c r="OC131" s="1">
        <v>5</v>
      </c>
      <c r="OD131" s="1">
        <v>5</v>
      </c>
      <c r="SC131" s="1" t="s">
        <v>646</v>
      </c>
      <c r="SG131" s="1" t="s">
        <v>647</v>
      </c>
      <c r="SH131" s="1" t="s">
        <v>438</v>
      </c>
      <c r="SI131" s="1" t="s">
        <v>432</v>
      </c>
      <c r="SK131" s="1" t="s">
        <v>445</v>
      </c>
      <c r="SL131" s="1" t="s">
        <v>620</v>
      </c>
    </row>
    <row r="132" spans="1:507" ht="32" x14ac:dyDescent="0.2">
      <c r="A132" s="1" t="s">
        <v>1877</v>
      </c>
      <c r="B132" s="1">
        <v>10</v>
      </c>
      <c r="C132" s="1">
        <v>5</v>
      </c>
      <c r="D132" s="3">
        <v>46065.493032407408</v>
      </c>
      <c r="E132" s="1">
        <v>5212194</v>
      </c>
      <c r="F132" s="1" t="s">
        <v>428</v>
      </c>
      <c r="H132" s="1" t="s">
        <v>1878</v>
      </c>
      <c r="J132" s="1" t="s">
        <v>1879</v>
      </c>
      <c r="L132" s="1" t="s">
        <v>1880</v>
      </c>
      <c r="N132" s="1" t="s">
        <v>1881</v>
      </c>
      <c r="O132" s="1" t="s">
        <v>432</v>
      </c>
      <c r="R132" s="1" t="s">
        <v>1879</v>
      </c>
      <c r="S132" s="1" t="s">
        <v>1882</v>
      </c>
      <c r="AB132" s="3">
        <v>46065.562465277777</v>
      </c>
      <c r="AC132" s="3">
        <v>46065.54</v>
      </c>
      <c r="AE132" s="1" t="s">
        <v>1883</v>
      </c>
      <c r="BB132" s="1" t="s">
        <v>1884</v>
      </c>
      <c r="CO132" s="1" t="s">
        <v>435</v>
      </c>
      <c r="CQ132" s="1" t="s">
        <v>432</v>
      </c>
      <c r="CR132" s="1" t="s">
        <v>495</v>
      </c>
      <c r="CS132" s="1" t="s">
        <v>495</v>
      </c>
      <c r="CT132" s="3">
        <v>46065.493645833332</v>
      </c>
      <c r="CU132" s="1" t="s">
        <v>436</v>
      </c>
      <c r="CV132" s="1" t="s">
        <v>512</v>
      </c>
      <c r="CY132" s="1" t="s">
        <v>438</v>
      </c>
      <c r="DP132" s="1" t="s">
        <v>1885</v>
      </c>
      <c r="DU132" s="1" t="s">
        <v>1886</v>
      </c>
      <c r="GZ132" s="1" t="s">
        <v>1885</v>
      </c>
      <c r="HA132" s="1" t="s">
        <v>1886</v>
      </c>
      <c r="NM132" s="1" t="s">
        <v>441</v>
      </c>
      <c r="NN132" s="1">
        <v>5</v>
      </c>
      <c r="NS132" s="1">
        <v>5</v>
      </c>
      <c r="NT132" s="1">
        <v>5</v>
      </c>
      <c r="OA132" s="1">
        <v>5</v>
      </c>
      <c r="OB132" s="1">
        <v>5</v>
      </c>
      <c r="OC132" s="1">
        <v>5</v>
      </c>
      <c r="OD132" s="1">
        <v>5</v>
      </c>
      <c r="SB132" s="1" t="s">
        <v>896</v>
      </c>
      <c r="SC132" s="1" t="s">
        <v>773</v>
      </c>
      <c r="SF132" s="1" t="s">
        <v>897</v>
      </c>
      <c r="SG132" s="1" t="s">
        <v>1357</v>
      </c>
      <c r="SH132" s="1" t="s">
        <v>438</v>
      </c>
      <c r="SI132" s="1" t="s">
        <v>438</v>
      </c>
      <c r="SK132" s="1" t="s">
        <v>445</v>
      </c>
      <c r="SL132" s="1" t="s">
        <v>799</v>
      </c>
    </row>
    <row r="133" spans="1:507" ht="48" x14ac:dyDescent="0.2">
      <c r="A133" s="1" t="s">
        <v>1887</v>
      </c>
      <c r="B133" s="1">
        <v>10</v>
      </c>
      <c r="C133" s="1">
        <v>5</v>
      </c>
      <c r="D133" s="3">
        <v>46065.475983796299</v>
      </c>
      <c r="E133" s="1">
        <v>5212115</v>
      </c>
      <c r="F133" s="1" t="s">
        <v>428</v>
      </c>
      <c r="H133" s="1" t="s">
        <v>1888</v>
      </c>
      <c r="J133" s="1" t="s">
        <v>1889</v>
      </c>
      <c r="L133" s="1" t="s">
        <v>1890</v>
      </c>
      <c r="M133" s="1" t="s">
        <v>1890</v>
      </c>
      <c r="N133" s="1" t="s">
        <v>1891</v>
      </c>
      <c r="O133" s="1" t="s">
        <v>438</v>
      </c>
      <c r="R133" s="1" t="s">
        <v>1889</v>
      </c>
      <c r="S133" s="1" t="s">
        <v>1892</v>
      </c>
      <c r="AB133" s="3">
        <v>46065.569328703707</v>
      </c>
      <c r="AC133" s="3">
        <v>46056.537280092591</v>
      </c>
      <c r="AE133" s="1" t="s">
        <v>1893</v>
      </c>
      <c r="BB133" s="1" t="s">
        <v>1894</v>
      </c>
      <c r="CO133" s="1" t="s">
        <v>435</v>
      </c>
      <c r="CQ133" s="1" t="s">
        <v>432</v>
      </c>
      <c r="CR133" s="1" t="s">
        <v>511</v>
      </c>
      <c r="CS133" s="1" t="s">
        <v>511</v>
      </c>
      <c r="CT133" s="3">
        <v>46065.475787037038</v>
      </c>
      <c r="CU133" s="1" t="s">
        <v>436</v>
      </c>
      <c r="CV133" s="1" t="s">
        <v>512</v>
      </c>
      <c r="CY133" s="1" t="s">
        <v>438</v>
      </c>
      <c r="DP133" s="1" t="s">
        <v>1895</v>
      </c>
      <c r="DU133" s="1" t="s">
        <v>1896</v>
      </c>
      <c r="GZ133" s="1" t="s">
        <v>1895</v>
      </c>
      <c r="HA133" s="1" t="s">
        <v>1896</v>
      </c>
      <c r="NM133" s="1" t="s">
        <v>441</v>
      </c>
      <c r="NN133" s="1">
        <v>5</v>
      </c>
      <c r="NS133" s="1">
        <v>5</v>
      </c>
      <c r="NT133" s="1">
        <v>5</v>
      </c>
      <c r="OA133" s="1">
        <v>4</v>
      </c>
      <c r="OB133" s="1">
        <v>4</v>
      </c>
      <c r="OC133" s="1">
        <v>5</v>
      </c>
      <c r="OD133" s="1">
        <v>4</v>
      </c>
      <c r="SB133" s="1" t="s">
        <v>443</v>
      </c>
      <c r="SC133" s="1" t="s">
        <v>773</v>
      </c>
      <c r="SF133" s="1" t="s">
        <v>444</v>
      </c>
      <c r="SG133" s="1" t="s">
        <v>786</v>
      </c>
      <c r="SH133" s="1" t="s">
        <v>438</v>
      </c>
      <c r="SI133" s="1" t="s">
        <v>438</v>
      </c>
      <c r="SK133" s="1" t="s">
        <v>568</v>
      </c>
      <c r="SL133" s="1" t="s">
        <v>787</v>
      </c>
    </row>
    <row r="134" spans="1:507" ht="80" x14ac:dyDescent="0.2">
      <c r="A134" s="1" t="s">
        <v>1897</v>
      </c>
      <c r="B134" s="1">
        <v>10</v>
      </c>
      <c r="C134" s="1">
        <v>5</v>
      </c>
      <c r="D134" s="3">
        <v>46065.442037037035</v>
      </c>
      <c r="E134" s="1">
        <v>5211949</v>
      </c>
      <c r="F134" s="1" t="s">
        <v>428</v>
      </c>
      <c r="H134" s="1" t="s">
        <v>1898</v>
      </c>
      <c r="J134" s="1" t="s">
        <v>1899</v>
      </c>
      <c r="L134" s="1" t="s">
        <v>1900</v>
      </c>
      <c r="N134" s="1" t="s">
        <v>1901</v>
      </c>
      <c r="O134" s="1" t="s">
        <v>432</v>
      </c>
      <c r="R134" s="1" t="s">
        <v>1899</v>
      </c>
      <c r="S134" s="1" t="s">
        <v>1902</v>
      </c>
      <c r="AB134" s="3">
        <v>46065.583958333336</v>
      </c>
      <c r="AC134" s="3">
        <v>46065.538530092592</v>
      </c>
      <c r="AE134" s="1" t="s">
        <v>1903</v>
      </c>
      <c r="BB134" s="1" t="s">
        <v>1904</v>
      </c>
      <c r="CO134" s="1" t="s">
        <v>435</v>
      </c>
      <c r="CQ134" s="1" t="s">
        <v>432</v>
      </c>
      <c r="CR134" s="1" t="s">
        <v>534</v>
      </c>
      <c r="CS134" s="1" t="s">
        <v>534</v>
      </c>
      <c r="CT134" s="3">
        <v>46065.44090277778</v>
      </c>
      <c r="CU134" s="1" t="s">
        <v>436</v>
      </c>
      <c r="CV134" s="1" t="s">
        <v>512</v>
      </c>
      <c r="CY134" s="1" t="s">
        <v>438</v>
      </c>
      <c r="DP134" s="1" t="s">
        <v>1905</v>
      </c>
      <c r="DU134" s="1" t="s">
        <v>1906</v>
      </c>
      <c r="GZ134" s="1" t="s">
        <v>1905</v>
      </c>
      <c r="HA134" s="1" t="s">
        <v>1906</v>
      </c>
      <c r="NM134" s="1" t="s">
        <v>441</v>
      </c>
      <c r="NN134" s="1">
        <v>5</v>
      </c>
      <c r="NS134" s="1">
        <v>5</v>
      </c>
      <c r="NT134" s="1">
        <v>5</v>
      </c>
      <c r="OA134" s="1">
        <v>5</v>
      </c>
      <c r="OB134" s="1">
        <v>5</v>
      </c>
      <c r="OC134" s="1">
        <v>5</v>
      </c>
      <c r="OD134" s="1">
        <v>5</v>
      </c>
      <c r="SB134" s="1" t="s">
        <v>537</v>
      </c>
      <c r="SC134" s="1" t="s">
        <v>704</v>
      </c>
      <c r="SF134" s="1" t="s">
        <v>1907</v>
      </c>
      <c r="SG134" s="1" t="s">
        <v>1908</v>
      </c>
      <c r="SH134" s="1" t="s">
        <v>438</v>
      </c>
      <c r="SI134" s="1" t="s">
        <v>438</v>
      </c>
      <c r="SK134" s="1" t="s">
        <v>760</v>
      </c>
      <c r="SL134" s="1" t="s">
        <v>672</v>
      </c>
      <c r="SM134" s="1" t="s">
        <v>866</v>
      </c>
    </row>
    <row r="135" spans="1:507" ht="32" x14ac:dyDescent="0.2">
      <c r="A135" s="1" t="s">
        <v>1909</v>
      </c>
      <c r="B135" s="1">
        <v>10</v>
      </c>
      <c r="C135" s="1">
        <v>5</v>
      </c>
      <c r="D135" s="3">
        <v>46065.437384259261</v>
      </c>
      <c r="E135" s="1">
        <v>5211922</v>
      </c>
      <c r="F135" s="1" t="s">
        <v>428</v>
      </c>
      <c r="H135" s="1" t="s">
        <v>1910</v>
      </c>
      <c r="J135" s="1" t="s">
        <v>1911</v>
      </c>
      <c r="L135" s="1" t="s">
        <v>1912</v>
      </c>
      <c r="M135" s="1" t="s">
        <v>1912</v>
      </c>
      <c r="N135" s="1" t="s">
        <v>1052</v>
      </c>
      <c r="O135" s="1" t="s">
        <v>438</v>
      </c>
      <c r="R135" s="1" t="s">
        <v>1911</v>
      </c>
      <c r="S135" s="1" t="s">
        <v>1053</v>
      </c>
      <c r="AB135" s="3">
        <v>46065.580972222226</v>
      </c>
      <c r="AC135" s="3">
        <v>46065.539756944447</v>
      </c>
      <c r="AE135" s="1" t="s">
        <v>1913</v>
      </c>
      <c r="BB135" s="1" t="s">
        <v>1914</v>
      </c>
      <c r="CO135" s="1" t="s">
        <v>435</v>
      </c>
      <c r="CQ135" s="1" t="s">
        <v>432</v>
      </c>
      <c r="CR135" s="1" t="s">
        <v>534</v>
      </c>
      <c r="CS135" s="1" t="s">
        <v>534</v>
      </c>
      <c r="CT135" s="3">
        <v>46065.436689814815</v>
      </c>
      <c r="CU135" s="1" t="s">
        <v>436</v>
      </c>
      <c r="CV135" s="1" t="s">
        <v>512</v>
      </c>
      <c r="CY135" s="1" t="s">
        <v>438</v>
      </c>
      <c r="DP135" s="1" t="s">
        <v>1915</v>
      </c>
      <c r="DU135" s="1" t="s">
        <v>440</v>
      </c>
      <c r="GZ135" s="1" t="s">
        <v>1915</v>
      </c>
      <c r="HA135" s="1" t="s">
        <v>440</v>
      </c>
      <c r="NM135" s="1" t="s">
        <v>441</v>
      </c>
      <c r="NN135" s="1">
        <v>5</v>
      </c>
      <c r="NS135" s="1">
        <v>5</v>
      </c>
      <c r="NT135" s="1">
        <v>5</v>
      </c>
      <c r="OA135" s="1">
        <v>5</v>
      </c>
      <c r="OB135" s="1">
        <v>5</v>
      </c>
      <c r="OC135" s="1">
        <v>5</v>
      </c>
      <c r="OD135" s="1">
        <v>5</v>
      </c>
      <c r="SC135" s="1" t="s">
        <v>1601</v>
      </c>
      <c r="SG135" s="1" t="s">
        <v>1603</v>
      </c>
      <c r="SH135" s="1" t="s">
        <v>438</v>
      </c>
      <c r="SI135" s="1" t="s">
        <v>438</v>
      </c>
      <c r="SK135" s="1" t="s">
        <v>486</v>
      </c>
    </row>
    <row r="136" spans="1:507" ht="80" x14ac:dyDescent="0.2">
      <c r="A136" s="1" t="s">
        <v>1916</v>
      </c>
      <c r="B136" s="1">
        <v>6</v>
      </c>
      <c r="C136" s="1">
        <v>3</v>
      </c>
      <c r="D136" s="3">
        <v>46065.434039351851</v>
      </c>
      <c r="E136" s="1">
        <v>5211889</v>
      </c>
      <c r="F136" s="1" t="s">
        <v>428</v>
      </c>
      <c r="H136" s="1" t="s">
        <v>1917</v>
      </c>
      <c r="J136" s="1" t="s">
        <v>1918</v>
      </c>
      <c r="L136" s="1" t="s">
        <v>1919</v>
      </c>
      <c r="N136" s="1" t="s">
        <v>1920</v>
      </c>
      <c r="O136" s="1" t="s">
        <v>432</v>
      </c>
      <c r="R136" s="1" t="s">
        <v>1918</v>
      </c>
      <c r="S136" s="1" t="s">
        <v>1921</v>
      </c>
      <c r="AB136" s="3">
        <v>46068.55096064815</v>
      </c>
      <c r="AC136" s="3">
        <v>46065.5387962963</v>
      </c>
      <c r="AE136" s="1" t="s">
        <v>1922</v>
      </c>
      <c r="BB136" s="1" t="s">
        <v>1923</v>
      </c>
      <c r="CO136" s="1" t="s">
        <v>435</v>
      </c>
      <c r="CQ136" s="1" t="s">
        <v>432</v>
      </c>
      <c r="CR136" s="1" t="s">
        <v>1924</v>
      </c>
      <c r="CS136" s="1" t="s">
        <v>729</v>
      </c>
      <c r="CT136" s="3">
        <v>46065.431134259263</v>
      </c>
      <c r="CU136" s="1" t="s">
        <v>1206</v>
      </c>
      <c r="CV136" s="1" t="s">
        <v>512</v>
      </c>
      <c r="CW136" s="3">
        <v>46068.55091435185</v>
      </c>
      <c r="CX136" s="1" t="s">
        <v>1057</v>
      </c>
      <c r="CY136" s="1" t="s">
        <v>438</v>
      </c>
      <c r="DP136" s="1" t="s">
        <v>1925</v>
      </c>
      <c r="DU136" s="1" t="s">
        <v>1926</v>
      </c>
      <c r="GZ136" s="1" t="s">
        <v>1925</v>
      </c>
      <c r="HA136" s="1" t="s">
        <v>1926</v>
      </c>
      <c r="NM136" s="1" t="s">
        <v>441</v>
      </c>
      <c r="NN136" s="1">
        <v>2</v>
      </c>
      <c r="NS136" s="1">
        <v>3</v>
      </c>
      <c r="NT136" s="1">
        <v>3</v>
      </c>
      <c r="OA136" s="1">
        <v>3</v>
      </c>
      <c r="OB136" s="1">
        <v>2</v>
      </c>
      <c r="OC136" s="1">
        <v>3</v>
      </c>
      <c r="OD136" s="1">
        <v>3</v>
      </c>
      <c r="SB136" s="1" t="s">
        <v>1927</v>
      </c>
      <c r="SC136" s="1" t="s">
        <v>646</v>
      </c>
      <c r="SF136" s="1" t="s">
        <v>1928</v>
      </c>
      <c r="SG136" s="1" t="s">
        <v>647</v>
      </c>
      <c r="SH136" s="1" t="s">
        <v>438</v>
      </c>
      <c r="SI136" s="1" t="s">
        <v>438</v>
      </c>
      <c r="SK136" s="1" t="s">
        <v>620</v>
      </c>
    </row>
    <row r="137" spans="1:507" ht="64" x14ac:dyDescent="0.2">
      <c r="A137" s="1" t="s">
        <v>1929</v>
      </c>
      <c r="B137" s="1">
        <v>10</v>
      </c>
      <c r="C137" s="1">
        <v>5</v>
      </c>
      <c r="D137" s="3">
        <v>46065.432939814818</v>
      </c>
      <c r="E137" s="1">
        <v>5211900</v>
      </c>
      <c r="F137" s="1" t="s">
        <v>428</v>
      </c>
      <c r="H137" s="1" t="s">
        <v>1930</v>
      </c>
      <c r="J137" s="1" t="s">
        <v>1931</v>
      </c>
      <c r="L137" s="1" t="s">
        <v>1932</v>
      </c>
      <c r="O137" s="1" t="s">
        <v>432</v>
      </c>
      <c r="R137" s="1" t="s">
        <v>1931</v>
      </c>
      <c r="AB137" s="3">
        <v>46065.579351851855</v>
      </c>
      <c r="AC137" s="3">
        <v>46065.537893518522</v>
      </c>
      <c r="AE137" s="1" t="s">
        <v>1933</v>
      </c>
      <c r="BB137" s="1" t="s">
        <v>1934</v>
      </c>
      <c r="CO137" s="1" t="s">
        <v>435</v>
      </c>
      <c r="CQ137" s="1" t="s">
        <v>432</v>
      </c>
      <c r="CR137" s="1" t="s">
        <v>534</v>
      </c>
      <c r="CS137" s="1" t="s">
        <v>534</v>
      </c>
      <c r="CT137" s="3">
        <v>46065.432164351849</v>
      </c>
      <c r="CU137" s="1" t="s">
        <v>436</v>
      </c>
      <c r="CV137" s="1" t="s">
        <v>512</v>
      </c>
      <c r="CY137" s="1" t="s">
        <v>438</v>
      </c>
      <c r="DP137" s="1" t="s">
        <v>1935</v>
      </c>
      <c r="DU137" s="1" t="s">
        <v>682</v>
      </c>
      <c r="GZ137" s="1" t="s">
        <v>1935</v>
      </c>
      <c r="HA137" s="1" t="s">
        <v>682</v>
      </c>
      <c r="NM137" s="1" t="s">
        <v>441</v>
      </c>
      <c r="NN137" s="1">
        <v>5</v>
      </c>
      <c r="NS137" s="1">
        <v>5</v>
      </c>
      <c r="NT137" s="1">
        <v>5</v>
      </c>
      <c r="OA137" s="1">
        <v>5</v>
      </c>
      <c r="OB137" s="1">
        <v>5</v>
      </c>
      <c r="OC137" s="1">
        <v>5</v>
      </c>
      <c r="OD137" s="1">
        <v>5</v>
      </c>
      <c r="SB137" s="1" t="s">
        <v>1936</v>
      </c>
      <c r="SC137" s="1" t="s">
        <v>1696</v>
      </c>
      <c r="SF137" s="1" t="s">
        <v>1937</v>
      </c>
      <c r="SG137" s="1" t="s">
        <v>1938</v>
      </c>
      <c r="SH137" s="1" t="s">
        <v>438</v>
      </c>
      <c r="SI137" s="1" t="s">
        <v>438</v>
      </c>
      <c r="SK137" s="1" t="s">
        <v>445</v>
      </c>
      <c r="SL137" s="1" t="s">
        <v>619</v>
      </c>
    </row>
    <row r="138" spans="1:507" ht="48" x14ac:dyDescent="0.2">
      <c r="A138" s="1" t="s">
        <v>1939</v>
      </c>
      <c r="B138" s="1">
        <v>10</v>
      </c>
      <c r="C138" s="1">
        <v>5</v>
      </c>
      <c r="D138" s="3">
        <v>46065.419618055559</v>
      </c>
      <c r="E138" s="1">
        <v>5211800</v>
      </c>
      <c r="F138" s="1" t="s">
        <v>428</v>
      </c>
      <c r="H138" s="1" t="s">
        <v>1940</v>
      </c>
      <c r="J138" s="1" t="s">
        <v>1941</v>
      </c>
      <c r="L138" s="1" t="s">
        <v>1942</v>
      </c>
      <c r="M138" s="1" t="s">
        <v>1942</v>
      </c>
      <c r="N138" s="1" t="s">
        <v>1943</v>
      </c>
      <c r="O138" s="1" t="s">
        <v>432</v>
      </c>
      <c r="R138" s="1" t="s">
        <v>1941</v>
      </c>
      <c r="S138" s="1" t="s">
        <v>1944</v>
      </c>
      <c r="AB138" s="3">
        <v>46065.587754629632</v>
      </c>
      <c r="AC138" s="3">
        <v>46065.539467592593</v>
      </c>
      <c r="AE138" s="1" t="s">
        <v>1945</v>
      </c>
      <c r="BB138" s="1" t="s">
        <v>1946</v>
      </c>
      <c r="CO138" s="1" t="s">
        <v>435</v>
      </c>
      <c r="CQ138" s="1" t="s">
        <v>432</v>
      </c>
      <c r="CR138" s="1" t="s">
        <v>549</v>
      </c>
      <c r="CS138" s="1" t="s">
        <v>549</v>
      </c>
      <c r="CT138" s="3">
        <v>46065.419537037036</v>
      </c>
      <c r="CU138" s="1" t="s">
        <v>436</v>
      </c>
      <c r="CV138" s="1" t="s">
        <v>512</v>
      </c>
      <c r="CY138" s="1" t="s">
        <v>438</v>
      </c>
      <c r="DP138" s="1" t="s">
        <v>1947</v>
      </c>
      <c r="DU138" s="1" t="s">
        <v>1948</v>
      </c>
      <c r="GZ138" s="1" t="s">
        <v>1947</v>
      </c>
      <c r="HA138" s="1" t="s">
        <v>1948</v>
      </c>
      <c r="NM138" s="1" t="s">
        <v>441</v>
      </c>
      <c r="NN138" s="1">
        <v>4</v>
      </c>
      <c r="NS138" s="1">
        <v>5</v>
      </c>
      <c r="NT138" s="1">
        <v>5</v>
      </c>
      <c r="OA138" s="1">
        <v>5</v>
      </c>
      <c r="OB138" s="1">
        <v>5</v>
      </c>
      <c r="OC138" s="1">
        <v>5</v>
      </c>
      <c r="OD138" s="1">
        <v>5</v>
      </c>
      <c r="SB138" s="1" t="s">
        <v>646</v>
      </c>
      <c r="SC138" s="1" t="s">
        <v>646</v>
      </c>
      <c r="SF138" s="1" t="s">
        <v>1949</v>
      </c>
      <c r="SG138" s="1" t="s">
        <v>647</v>
      </c>
      <c r="SH138" s="1" t="s">
        <v>438</v>
      </c>
      <c r="SI138" s="1" t="s">
        <v>438</v>
      </c>
      <c r="SK138" s="1" t="s">
        <v>568</v>
      </c>
      <c r="SL138" s="1" t="s">
        <v>620</v>
      </c>
    </row>
    <row r="139" spans="1:507" ht="48" x14ac:dyDescent="0.2">
      <c r="A139" s="1" t="s">
        <v>1950</v>
      </c>
      <c r="B139" s="1">
        <v>10</v>
      </c>
      <c r="C139" s="1">
        <v>5</v>
      </c>
      <c r="D139" s="3">
        <v>46065.418425925927</v>
      </c>
      <c r="E139" s="1">
        <v>5211784</v>
      </c>
      <c r="F139" s="1" t="s">
        <v>428</v>
      </c>
      <c r="H139" s="1" t="s">
        <v>1951</v>
      </c>
      <c r="J139" s="1" t="s">
        <v>1952</v>
      </c>
      <c r="L139" s="1" t="s">
        <v>1953</v>
      </c>
      <c r="O139" s="1" t="s">
        <v>432</v>
      </c>
      <c r="R139" s="1" t="s">
        <v>1952</v>
      </c>
      <c r="AB139" s="3">
        <v>46065.587060185186</v>
      </c>
      <c r="AC139" s="3">
        <v>46065.538402777776</v>
      </c>
      <c r="AE139" s="1" t="s">
        <v>1954</v>
      </c>
      <c r="BB139" s="1" t="s">
        <v>1955</v>
      </c>
      <c r="CO139" s="1" t="s">
        <v>435</v>
      </c>
      <c r="CQ139" s="1" t="s">
        <v>432</v>
      </c>
      <c r="CR139" s="1" t="s">
        <v>549</v>
      </c>
      <c r="CS139" s="1" t="s">
        <v>549</v>
      </c>
      <c r="CT139" s="3">
        <v>46065.417928240742</v>
      </c>
      <c r="CU139" s="1" t="s">
        <v>436</v>
      </c>
      <c r="CV139" s="1" t="s">
        <v>512</v>
      </c>
      <c r="CY139" s="1" t="s">
        <v>438</v>
      </c>
      <c r="DP139" s="1" t="s">
        <v>1956</v>
      </c>
      <c r="DU139" s="1" t="s">
        <v>1957</v>
      </c>
      <c r="GZ139" s="1" t="s">
        <v>1956</v>
      </c>
      <c r="HA139" s="1" t="s">
        <v>1957</v>
      </c>
      <c r="NM139" s="1" t="s">
        <v>441</v>
      </c>
      <c r="NN139" s="1">
        <v>5</v>
      </c>
      <c r="NS139" s="1">
        <v>5</v>
      </c>
      <c r="NT139" s="1">
        <v>5</v>
      </c>
      <c r="OA139" s="1">
        <v>5</v>
      </c>
      <c r="OB139" s="1">
        <v>5</v>
      </c>
      <c r="OC139" s="1">
        <v>5</v>
      </c>
      <c r="OD139" s="1">
        <v>5</v>
      </c>
      <c r="SB139" s="1" t="s">
        <v>1958</v>
      </c>
      <c r="SC139" s="1" t="s">
        <v>1959</v>
      </c>
      <c r="SF139" s="1" t="s">
        <v>1960</v>
      </c>
      <c r="SG139" s="1" t="s">
        <v>1961</v>
      </c>
      <c r="SH139" s="1" t="s">
        <v>438</v>
      </c>
      <c r="SI139" s="1" t="s">
        <v>432</v>
      </c>
      <c r="SK139" s="1" t="s">
        <v>486</v>
      </c>
      <c r="SL139" s="1" t="s">
        <v>799</v>
      </c>
    </row>
    <row r="140" spans="1:507" ht="48" x14ac:dyDescent="0.2">
      <c r="A140" s="1" t="s">
        <v>1962</v>
      </c>
      <c r="B140" s="1">
        <v>10</v>
      </c>
      <c r="C140" s="1">
        <v>5</v>
      </c>
      <c r="D140" s="3">
        <v>46065.037523148145</v>
      </c>
      <c r="E140" s="1">
        <v>5210969</v>
      </c>
      <c r="F140" s="1" t="s">
        <v>428</v>
      </c>
      <c r="H140" s="1" t="s">
        <v>1963</v>
      </c>
      <c r="J140" s="1" t="s">
        <v>1964</v>
      </c>
      <c r="L140" s="1" t="s">
        <v>1965</v>
      </c>
      <c r="N140" s="1" t="s">
        <v>1966</v>
      </c>
      <c r="O140" s="1" t="s">
        <v>432</v>
      </c>
      <c r="R140" s="1" t="s">
        <v>1964</v>
      </c>
      <c r="S140" s="1" t="s">
        <v>1967</v>
      </c>
      <c r="AB140" s="3">
        <v>46065.641875000001</v>
      </c>
      <c r="AC140" s="3">
        <v>46063.53701388889</v>
      </c>
      <c r="AE140" s="1" t="s">
        <v>1968</v>
      </c>
      <c r="BB140" s="1" t="s">
        <v>1969</v>
      </c>
      <c r="CO140" s="1" t="s">
        <v>435</v>
      </c>
      <c r="CQ140" s="1" t="s">
        <v>432</v>
      </c>
      <c r="CR140" s="1" t="s">
        <v>561</v>
      </c>
      <c r="CS140" s="1" t="s">
        <v>561</v>
      </c>
      <c r="CT140" s="3">
        <v>46065.035277777781</v>
      </c>
      <c r="CU140" s="1" t="s">
        <v>436</v>
      </c>
      <c r="CV140" s="1" t="s">
        <v>512</v>
      </c>
      <c r="CY140" s="1" t="s">
        <v>438</v>
      </c>
      <c r="DP140" s="1" t="s">
        <v>1970</v>
      </c>
      <c r="DU140" s="1" t="s">
        <v>1971</v>
      </c>
      <c r="GZ140" s="1" t="s">
        <v>1970</v>
      </c>
      <c r="HA140" s="1" t="s">
        <v>1971</v>
      </c>
      <c r="NM140" s="1" t="s">
        <v>441</v>
      </c>
      <c r="NN140" s="1">
        <v>4</v>
      </c>
      <c r="NS140" s="1">
        <v>5</v>
      </c>
      <c r="NT140" s="1">
        <v>5</v>
      </c>
      <c r="OA140" s="1">
        <v>5</v>
      </c>
      <c r="OB140" s="1">
        <v>3</v>
      </c>
      <c r="OC140" s="1">
        <v>5</v>
      </c>
      <c r="OD140" s="1">
        <v>4</v>
      </c>
      <c r="SB140" s="1" t="s">
        <v>1804</v>
      </c>
      <c r="SC140" s="1" t="s">
        <v>1817</v>
      </c>
      <c r="SF140" s="1" t="s">
        <v>1972</v>
      </c>
      <c r="SG140" s="1" t="s">
        <v>1973</v>
      </c>
      <c r="SH140" s="1" t="s">
        <v>438</v>
      </c>
      <c r="SI140" s="1" t="s">
        <v>438</v>
      </c>
      <c r="SK140" s="1" t="s">
        <v>760</v>
      </c>
      <c r="SL140" s="1" t="s">
        <v>1974</v>
      </c>
    </row>
    <row r="141" spans="1:507" ht="64" x14ac:dyDescent="0.2">
      <c r="A141" s="1" t="s">
        <v>1975</v>
      </c>
      <c r="B141" s="1">
        <v>10</v>
      </c>
      <c r="C141" s="1">
        <v>5</v>
      </c>
      <c r="D141" s="3">
        <v>46064.998379629629</v>
      </c>
      <c r="E141" s="1">
        <v>5210932</v>
      </c>
      <c r="F141" s="1" t="s">
        <v>428</v>
      </c>
      <c r="H141" s="1" t="s">
        <v>1976</v>
      </c>
      <c r="J141" s="1" t="s">
        <v>1977</v>
      </c>
      <c r="L141" s="1" t="s">
        <v>1978</v>
      </c>
      <c r="M141" s="1" t="s">
        <v>1978</v>
      </c>
      <c r="N141" s="1" t="s">
        <v>1979</v>
      </c>
      <c r="O141" s="1" t="s">
        <v>438</v>
      </c>
      <c r="R141" s="1" t="s">
        <v>1977</v>
      </c>
      <c r="S141" s="1" t="s">
        <v>1980</v>
      </c>
      <c r="AB141" s="3">
        <v>46069.589606481481</v>
      </c>
      <c r="AC141" s="3">
        <v>46064.540393518517</v>
      </c>
      <c r="AE141" s="1" t="s">
        <v>1981</v>
      </c>
      <c r="BB141" s="1" t="s">
        <v>1982</v>
      </c>
      <c r="CO141" s="1" t="s">
        <v>435</v>
      </c>
      <c r="CQ141" s="1" t="s">
        <v>432</v>
      </c>
      <c r="CR141" s="1" t="s">
        <v>561</v>
      </c>
      <c r="CS141" s="1" t="s">
        <v>561</v>
      </c>
      <c r="CT141" s="3">
        <v>46064.995983796296</v>
      </c>
      <c r="CU141" s="1" t="s">
        <v>436</v>
      </c>
      <c r="CV141" s="1" t="s">
        <v>512</v>
      </c>
      <c r="CY141" s="1" t="s">
        <v>438</v>
      </c>
      <c r="DP141" s="1" t="s">
        <v>1983</v>
      </c>
      <c r="DU141" s="1" t="s">
        <v>1984</v>
      </c>
      <c r="GZ141" s="1" t="s">
        <v>1983</v>
      </c>
      <c r="HA141" s="1" t="s">
        <v>1984</v>
      </c>
      <c r="NM141" s="1" t="s">
        <v>441</v>
      </c>
      <c r="NN141" s="1">
        <v>5</v>
      </c>
      <c r="NS141" s="1">
        <v>5</v>
      </c>
      <c r="NT141" s="1">
        <v>5</v>
      </c>
      <c r="OA141" s="1">
        <v>5</v>
      </c>
      <c r="OB141" s="1">
        <v>5</v>
      </c>
      <c r="OC141" s="1">
        <v>5</v>
      </c>
      <c r="OD141" s="1">
        <v>4</v>
      </c>
      <c r="SB141" s="1" t="s">
        <v>1985</v>
      </c>
      <c r="SC141" s="1" t="s">
        <v>1986</v>
      </c>
      <c r="SF141" s="1" t="s">
        <v>1987</v>
      </c>
      <c r="SG141" s="1" t="s">
        <v>1988</v>
      </c>
      <c r="SH141" s="1" t="s">
        <v>438</v>
      </c>
      <c r="SI141" s="1" t="s">
        <v>438</v>
      </c>
      <c r="SK141" s="1" t="s">
        <v>1989</v>
      </c>
      <c r="SL141" s="1" t="s">
        <v>540</v>
      </c>
    </row>
    <row r="142" spans="1:507" ht="48" x14ac:dyDescent="0.2">
      <c r="A142" s="1" t="s">
        <v>1990</v>
      </c>
      <c r="B142" s="1">
        <v>9</v>
      </c>
      <c r="C142" s="1">
        <v>5</v>
      </c>
      <c r="D142" s="3">
        <v>46064.982164351852</v>
      </c>
      <c r="E142" s="1">
        <v>5210909</v>
      </c>
      <c r="F142" s="1" t="s">
        <v>428</v>
      </c>
      <c r="H142" s="1" t="s">
        <v>1991</v>
      </c>
      <c r="J142" s="1" t="s">
        <v>1992</v>
      </c>
      <c r="L142" s="1" t="s">
        <v>1993</v>
      </c>
      <c r="N142" s="1" t="s">
        <v>1994</v>
      </c>
      <c r="O142" s="1" t="s">
        <v>432</v>
      </c>
      <c r="R142" s="1" t="s">
        <v>1992</v>
      </c>
      <c r="S142" s="1" t="s">
        <v>1995</v>
      </c>
      <c r="AB142" s="3">
        <v>46069.59002314815</v>
      </c>
      <c r="AC142" s="3">
        <v>46064.542337962965</v>
      </c>
      <c r="AE142" s="1" t="s">
        <v>1996</v>
      </c>
      <c r="BB142" s="1" t="s">
        <v>1997</v>
      </c>
      <c r="CO142" s="1" t="s">
        <v>435</v>
      </c>
      <c r="CQ142" s="1" t="s">
        <v>432</v>
      </c>
      <c r="CR142" s="1" t="s">
        <v>561</v>
      </c>
      <c r="CS142" s="1" t="s">
        <v>561</v>
      </c>
      <c r="CT142" s="3">
        <v>46064.981215277781</v>
      </c>
      <c r="CU142" s="1" t="s">
        <v>436</v>
      </c>
      <c r="CV142" s="1" t="s">
        <v>512</v>
      </c>
      <c r="CY142" s="1" t="s">
        <v>438</v>
      </c>
      <c r="DP142" s="1" t="s">
        <v>1998</v>
      </c>
      <c r="GZ142" s="1" t="s">
        <v>1998</v>
      </c>
      <c r="NM142" s="1" t="s">
        <v>441</v>
      </c>
      <c r="NN142" s="1">
        <v>5</v>
      </c>
      <c r="NS142" s="1">
        <v>5</v>
      </c>
      <c r="NT142" s="1">
        <v>5</v>
      </c>
      <c r="OA142" s="1">
        <v>5</v>
      </c>
      <c r="OB142" s="1">
        <v>5</v>
      </c>
      <c r="OC142" s="1">
        <v>5</v>
      </c>
      <c r="OD142" s="1">
        <v>5</v>
      </c>
      <c r="SB142" s="1" t="s">
        <v>1672</v>
      </c>
      <c r="SC142" s="1" t="s">
        <v>646</v>
      </c>
      <c r="SF142" s="1" t="s">
        <v>1674</v>
      </c>
      <c r="SG142" s="1" t="s">
        <v>1254</v>
      </c>
      <c r="SH142" s="1" t="s">
        <v>438</v>
      </c>
      <c r="SI142" s="1" t="s">
        <v>432</v>
      </c>
      <c r="SK142" s="1" t="s">
        <v>445</v>
      </c>
      <c r="SL142" s="1" t="s">
        <v>919</v>
      </c>
    </row>
    <row r="143" spans="1:507" ht="48" x14ac:dyDescent="0.2">
      <c r="A143" s="1" t="s">
        <v>1999</v>
      </c>
      <c r="B143" s="1">
        <v>9</v>
      </c>
      <c r="C143" s="1">
        <v>4</v>
      </c>
      <c r="D143" s="3">
        <v>46064.967557870368</v>
      </c>
      <c r="E143" s="1">
        <v>5210882</v>
      </c>
      <c r="F143" s="1" t="s">
        <v>428</v>
      </c>
      <c r="H143" s="1" t="s">
        <v>2000</v>
      </c>
      <c r="J143" s="1" t="s">
        <v>2001</v>
      </c>
      <c r="L143" s="1" t="s">
        <v>1757</v>
      </c>
      <c r="O143" s="1" t="s">
        <v>432</v>
      </c>
      <c r="R143" s="1" t="s">
        <v>2001</v>
      </c>
      <c r="AB143" s="3">
        <v>46069.591493055559</v>
      </c>
      <c r="AC143" s="3">
        <v>46064.540069444447</v>
      </c>
      <c r="AE143" s="1" t="s">
        <v>2002</v>
      </c>
      <c r="BB143" s="1" t="s">
        <v>2003</v>
      </c>
      <c r="CO143" s="1" t="s">
        <v>435</v>
      </c>
      <c r="CQ143" s="1" t="s">
        <v>432</v>
      </c>
      <c r="CR143" s="1" t="s">
        <v>561</v>
      </c>
      <c r="CS143" s="1" t="s">
        <v>561</v>
      </c>
      <c r="CT143" s="3">
        <v>46064.966793981483</v>
      </c>
      <c r="CU143" s="1" t="s">
        <v>436</v>
      </c>
      <c r="CV143" s="1" t="s">
        <v>512</v>
      </c>
      <c r="CY143" s="1" t="s">
        <v>438</v>
      </c>
      <c r="DP143" s="1" t="s">
        <v>2004</v>
      </c>
      <c r="DU143" s="1" t="s">
        <v>2005</v>
      </c>
      <c r="GZ143" s="1" t="s">
        <v>2004</v>
      </c>
      <c r="HA143" s="1" t="s">
        <v>2005</v>
      </c>
      <c r="NM143" s="1" t="s">
        <v>441</v>
      </c>
      <c r="NN143" s="1">
        <v>4</v>
      </c>
      <c r="NS143" s="1">
        <v>4</v>
      </c>
      <c r="NT143" s="1">
        <v>5</v>
      </c>
      <c r="OA143" s="1">
        <v>5</v>
      </c>
      <c r="OB143" s="1">
        <v>5</v>
      </c>
      <c r="OC143" s="1">
        <v>5</v>
      </c>
      <c r="OD143" s="1">
        <v>5</v>
      </c>
      <c r="SB143" s="1" t="s">
        <v>2006</v>
      </c>
      <c r="SC143" s="1" t="s">
        <v>2007</v>
      </c>
      <c r="SF143" s="1" t="s">
        <v>2008</v>
      </c>
      <c r="SG143" s="1" t="s">
        <v>2009</v>
      </c>
      <c r="SH143" s="1" t="s">
        <v>438</v>
      </c>
      <c r="SI143" s="1" t="s">
        <v>432</v>
      </c>
      <c r="SK143" s="1" t="s">
        <v>1126</v>
      </c>
      <c r="SL143" s="1" t="s">
        <v>620</v>
      </c>
    </row>
    <row r="144" spans="1:507" ht="32" x14ac:dyDescent="0.2">
      <c r="A144" s="1" t="s">
        <v>2010</v>
      </c>
      <c r="B144" s="1">
        <v>10</v>
      </c>
      <c r="C144" s="1">
        <v>5</v>
      </c>
      <c r="D144" s="3">
        <v>46064.879803240743</v>
      </c>
      <c r="E144" s="1">
        <v>5210660</v>
      </c>
      <c r="F144" s="1" t="s">
        <v>428</v>
      </c>
      <c r="H144" s="1" t="s">
        <v>2011</v>
      </c>
      <c r="J144" s="1" t="s">
        <v>2012</v>
      </c>
      <c r="L144" s="1" t="s">
        <v>2013</v>
      </c>
      <c r="M144" s="1" t="s">
        <v>2013</v>
      </c>
      <c r="N144" s="1" t="s">
        <v>2014</v>
      </c>
      <c r="O144" s="1" t="s">
        <v>432</v>
      </c>
      <c r="R144" s="1" t="s">
        <v>2012</v>
      </c>
      <c r="S144" s="1" t="s">
        <v>2015</v>
      </c>
      <c r="AB144" s="3">
        <v>46065.375578703701</v>
      </c>
      <c r="AC144" s="3">
        <v>46064.54010416667</v>
      </c>
      <c r="AE144" s="1" t="s">
        <v>2016</v>
      </c>
      <c r="BB144" s="1" t="s">
        <v>2017</v>
      </c>
      <c r="CO144" s="1" t="s">
        <v>435</v>
      </c>
      <c r="CQ144" s="1" t="s">
        <v>432</v>
      </c>
      <c r="CR144" s="1" t="s">
        <v>523</v>
      </c>
      <c r="CS144" s="1" t="s">
        <v>523</v>
      </c>
      <c r="CT144" s="3">
        <v>46064.879814814813</v>
      </c>
      <c r="CU144" s="1" t="s">
        <v>436</v>
      </c>
      <c r="CV144" s="1" t="s">
        <v>512</v>
      </c>
      <c r="CY144" s="1" t="s">
        <v>438</v>
      </c>
      <c r="DP144" s="1" t="s">
        <v>1025</v>
      </c>
      <c r="DU144" s="1" t="s">
        <v>2018</v>
      </c>
      <c r="GZ144" s="1" t="s">
        <v>1025</v>
      </c>
      <c r="HA144" s="1" t="s">
        <v>2018</v>
      </c>
      <c r="NM144" s="1" t="s">
        <v>441</v>
      </c>
      <c r="NN144" s="1">
        <v>4</v>
      </c>
      <c r="NS144" s="1">
        <v>5</v>
      </c>
      <c r="NT144" s="1">
        <v>5</v>
      </c>
      <c r="OA144" s="1">
        <v>5</v>
      </c>
      <c r="OB144" s="1">
        <v>5</v>
      </c>
      <c r="OC144" s="1">
        <v>5</v>
      </c>
      <c r="OD144" s="1">
        <v>5</v>
      </c>
      <c r="SB144" s="1" t="s">
        <v>745</v>
      </c>
      <c r="SC144" s="1" t="s">
        <v>917</v>
      </c>
      <c r="SF144" s="1" t="s">
        <v>747</v>
      </c>
      <c r="SG144" s="1" t="s">
        <v>918</v>
      </c>
      <c r="SH144" s="1" t="s">
        <v>438</v>
      </c>
      <c r="SI144" s="1" t="s">
        <v>432</v>
      </c>
      <c r="SK144" s="1" t="s">
        <v>445</v>
      </c>
    </row>
    <row r="145" spans="1:509" ht="48" x14ac:dyDescent="0.2">
      <c r="A145" s="1" t="s">
        <v>2019</v>
      </c>
      <c r="B145" s="1">
        <v>10</v>
      </c>
      <c r="C145" s="1">
        <v>5</v>
      </c>
      <c r="D145" s="3">
        <v>46064.817071759258</v>
      </c>
      <c r="E145" s="1">
        <v>5210332</v>
      </c>
      <c r="F145" s="1" t="s">
        <v>428</v>
      </c>
      <c r="H145" s="1" t="s">
        <v>2020</v>
      </c>
      <c r="J145" s="1" t="s">
        <v>2021</v>
      </c>
      <c r="L145" s="1" t="s">
        <v>2022</v>
      </c>
      <c r="O145" s="1" t="s">
        <v>432</v>
      </c>
      <c r="R145" s="1" t="s">
        <v>2021</v>
      </c>
      <c r="AB145" s="3">
        <v>46065.492581018516</v>
      </c>
      <c r="AC145" s="3">
        <v>46064.542881944442</v>
      </c>
      <c r="AE145" s="1" t="s">
        <v>2023</v>
      </c>
      <c r="BB145" s="1" t="s">
        <v>2024</v>
      </c>
      <c r="CO145" s="1" t="s">
        <v>435</v>
      </c>
      <c r="CQ145" s="1" t="s">
        <v>432</v>
      </c>
      <c r="CR145" s="1" t="s">
        <v>523</v>
      </c>
      <c r="CS145" s="1" t="s">
        <v>523</v>
      </c>
      <c r="CT145" s="3">
        <v>46064.815659722219</v>
      </c>
      <c r="CU145" s="1" t="s">
        <v>436</v>
      </c>
      <c r="CV145" s="1" t="s">
        <v>512</v>
      </c>
      <c r="CY145" s="1" t="s">
        <v>438</v>
      </c>
      <c r="DP145" s="1" t="s">
        <v>2025</v>
      </c>
      <c r="DU145" s="1" t="s">
        <v>2026</v>
      </c>
      <c r="GZ145" s="1" t="s">
        <v>2025</v>
      </c>
      <c r="HA145" s="1" t="s">
        <v>2026</v>
      </c>
      <c r="NM145" s="1" t="s">
        <v>441</v>
      </c>
      <c r="NN145" s="1">
        <v>5</v>
      </c>
      <c r="NS145" s="1">
        <v>5</v>
      </c>
      <c r="NT145" s="1">
        <v>5</v>
      </c>
      <c r="OA145" s="1">
        <v>5</v>
      </c>
      <c r="OB145" s="1">
        <v>5</v>
      </c>
      <c r="OC145" s="1">
        <v>5</v>
      </c>
      <c r="OD145" s="1">
        <v>5</v>
      </c>
      <c r="SB145" s="1" t="s">
        <v>2027</v>
      </c>
      <c r="SC145" s="1" t="s">
        <v>2028</v>
      </c>
      <c r="SF145" s="1" t="s">
        <v>2029</v>
      </c>
      <c r="SG145" s="1" t="s">
        <v>2030</v>
      </c>
      <c r="SH145" s="1" t="s">
        <v>438</v>
      </c>
      <c r="SI145" s="1" t="s">
        <v>438</v>
      </c>
      <c r="SK145" s="1" t="s">
        <v>568</v>
      </c>
      <c r="SL145" s="1" t="s">
        <v>1166</v>
      </c>
    </row>
    <row r="146" spans="1:509" ht="32" x14ac:dyDescent="0.2">
      <c r="A146" s="1" t="s">
        <v>2031</v>
      </c>
      <c r="B146" s="1">
        <v>10</v>
      </c>
      <c r="C146" s="1">
        <v>5</v>
      </c>
      <c r="D146" s="3">
        <v>46064.724895833337</v>
      </c>
      <c r="E146" s="1">
        <v>5210035</v>
      </c>
      <c r="F146" s="1" t="s">
        <v>428</v>
      </c>
      <c r="H146" s="1" t="s">
        <v>2032</v>
      </c>
      <c r="J146" s="1" t="s">
        <v>2033</v>
      </c>
      <c r="L146" s="1" t="s">
        <v>2034</v>
      </c>
      <c r="N146" s="1" t="s">
        <v>2035</v>
      </c>
      <c r="O146" s="1" t="s">
        <v>438</v>
      </c>
      <c r="R146" s="1" t="s">
        <v>2033</v>
      </c>
      <c r="S146" s="1" t="s">
        <v>2036</v>
      </c>
      <c r="AB146" s="3">
        <v>46065.520497685182</v>
      </c>
      <c r="AC146" s="3">
        <v>46064.727210648147</v>
      </c>
      <c r="AE146" s="1" t="s">
        <v>2037</v>
      </c>
      <c r="BB146" s="1" t="s">
        <v>2038</v>
      </c>
      <c r="CO146" s="1" t="s">
        <v>435</v>
      </c>
      <c r="CQ146" s="1" t="s">
        <v>432</v>
      </c>
      <c r="CR146" s="1" t="s">
        <v>523</v>
      </c>
      <c r="CS146" s="1" t="s">
        <v>523</v>
      </c>
      <c r="CT146" s="3">
        <v>46064.724583333336</v>
      </c>
      <c r="CU146" s="1" t="s">
        <v>436</v>
      </c>
      <c r="CV146" s="1" t="s">
        <v>512</v>
      </c>
      <c r="CY146" s="1" t="s">
        <v>438</v>
      </c>
      <c r="DP146" s="1" t="s">
        <v>2039</v>
      </c>
      <c r="GZ146" s="1" t="s">
        <v>2039</v>
      </c>
      <c r="NM146" s="1" t="s">
        <v>441</v>
      </c>
      <c r="NN146" s="1">
        <v>5</v>
      </c>
      <c r="NS146" s="1">
        <v>5</v>
      </c>
      <c r="NT146" s="1">
        <v>5</v>
      </c>
      <c r="OA146" s="1">
        <v>5</v>
      </c>
      <c r="OB146" s="1">
        <v>5</v>
      </c>
      <c r="OC146" s="1">
        <v>5</v>
      </c>
      <c r="OD146" s="1">
        <v>5</v>
      </c>
      <c r="SC146" s="1" t="s">
        <v>2040</v>
      </c>
      <c r="SG146" s="1" t="s">
        <v>2041</v>
      </c>
      <c r="SH146" s="1" t="s">
        <v>438</v>
      </c>
      <c r="SI146" s="1" t="s">
        <v>438</v>
      </c>
      <c r="SK146" s="1" t="s">
        <v>1126</v>
      </c>
    </row>
    <row r="147" spans="1:509" ht="48" x14ac:dyDescent="0.2">
      <c r="A147" s="1" t="s">
        <v>2042</v>
      </c>
      <c r="B147" s="1">
        <v>10</v>
      </c>
      <c r="C147" s="1">
        <v>5</v>
      </c>
      <c r="D147" s="3">
        <v>46064.585092592592</v>
      </c>
      <c r="E147" s="1">
        <v>5209466</v>
      </c>
      <c r="F147" s="1" t="s">
        <v>428</v>
      </c>
      <c r="H147" s="1" t="s">
        <v>2043</v>
      </c>
      <c r="J147" s="1" t="s">
        <v>2044</v>
      </c>
      <c r="L147" s="1" t="s">
        <v>2045</v>
      </c>
      <c r="M147" s="1" t="s">
        <v>2045</v>
      </c>
      <c r="N147" s="1" t="s">
        <v>1994</v>
      </c>
      <c r="O147" s="1" t="s">
        <v>432</v>
      </c>
      <c r="R147" s="1" t="s">
        <v>2044</v>
      </c>
      <c r="S147" s="1" t="s">
        <v>1995</v>
      </c>
      <c r="AB147" s="3">
        <v>46065.345462962963</v>
      </c>
      <c r="AC147" s="3">
        <v>46064.685057870367</v>
      </c>
      <c r="AE147" s="1" t="s">
        <v>2046</v>
      </c>
      <c r="BB147" s="1" t="s">
        <v>2047</v>
      </c>
      <c r="CO147" s="1" t="s">
        <v>435</v>
      </c>
      <c r="CQ147" s="1" t="s">
        <v>432</v>
      </c>
      <c r="CR147" s="1" t="s">
        <v>511</v>
      </c>
      <c r="CS147" s="1" t="s">
        <v>511</v>
      </c>
      <c r="CT147" s="3">
        <v>46064.585625</v>
      </c>
      <c r="CU147" s="1" t="s">
        <v>436</v>
      </c>
      <c r="CV147" s="1" t="s">
        <v>512</v>
      </c>
      <c r="CY147" s="1" t="s">
        <v>438</v>
      </c>
      <c r="DP147" s="1" t="s">
        <v>2048</v>
      </c>
      <c r="DU147" s="1" t="s">
        <v>2049</v>
      </c>
      <c r="GZ147" s="1" t="s">
        <v>2048</v>
      </c>
      <c r="HA147" s="1" t="s">
        <v>2049</v>
      </c>
      <c r="NM147" s="1" t="s">
        <v>441</v>
      </c>
      <c r="NN147" s="1">
        <v>5</v>
      </c>
      <c r="NS147" s="1">
        <v>5</v>
      </c>
      <c r="NT147" s="1">
        <v>5</v>
      </c>
      <c r="OA147" s="1">
        <v>5</v>
      </c>
      <c r="OB147" s="1">
        <v>5</v>
      </c>
      <c r="OC147" s="1">
        <v>5</v>
      </c>
      <c r="OD147" s="1">
        <v>5</v>
      </c>
      <c r="SB147" s="1" t="s">
        <v>1672</v>
      </c>
      <c r="SC147" s="1" t="s">
        <v>646</v>
      </c>
      <c r="SF147" s="1" t="s">
        <v>1674</v>
      </c>
      <c r="SG147" s="1" t="s">
        <v>1254</v>
      </c>
      <c r="SH147" s="1" t="s">
        <v>438</v>
      </c>
      <c r="SI147" s="1" t="s">
        <v>432</v>
      </c>
      <c r="SK147" s="1" t="s">
        <v>445</v>
      </c>
    </row>
    <row r="148" spans="1:509" ht="64" x14ac:dyDescent="0.2">
      <c r="A148" s="1" t="s">
        <v>2050</v>
      </c>
      <c r="B148" s="1">
        <v>9</v>
      </c>
      <c r="C148" s="1">
        <v>5</v>
      </c>
      <c r="D148" s="3">
        <v>46064.462835648148</v>
      </c>
      <c r="E148" s="1">
        <v>5208946</v>
      </c>
      <c r="F148" s="1" t="s">
        <v>428</v>
      </c>
      <c r="H148" s="1" t="s">
        <v>2051</v>
      </c>
      <c r="J148" s="1" t="s">
        <v>2052</v>
      </c>
      <c r="L148" s="1" t="s">
        <v>2053</v>
      </c>
      <c r="O148" s="1" t="s">
        <v>432</v>
      </c>
      <c r="R148" s="1" t="s">
        <v>2052</v>
      </c>
      <c r="AB148" s="3">
        <v>46065.371851851851</v>
      </c>
      <c r="AC148" s="3">
        <v>46063.851840277777</v>
      </c>
      <c r="AE148" s="1" t="s">
        <v>2054</v>
      </c>
      <c r="BB148" s="1" t="s">
        <v>2055</v>
      </c>
      <c r="CO148" s="1" t="s">
        <v>435</v>
      </c>
      <c r="CQ148" s="1" t="s">
        <v>432</v>
      </c>
      <c r="CR148" s="1" t="s">
        <v>549</v>
      </c>
      <c r="CS148" s="1" t="s">
        <v>549</v>
      </c>
      <c r="CT148" s="3">
        <v>46064.476180555554</v>
      </c>
      <c r="CU148" s="1" t="s">
        <v>436</v>
      </c>
      <c r="CV148" s="1" t="s">
        <v>512</v>
      </c>
      <c r="CY148" s="1" t="s">
        <v>438</v>
      </c>
      <c r="DP148" s="1" t="s">
        <v>2056</v>
      </c>
      <c r="DU148" s="1" t="s">
        <v>2057</v>
      </c>
      <c r="GZ148" s="1" t="s">
        <v>2056</v>
      </c>
      <c r="HA148" s="1" t="s">
        <v>2057</v>
      </c>
      <c r="NM148" s="1" t="s">
        <v>441</v>
      </c>
      <c r="NN148" s="1">
        <v>5</v>
      </c>
      <c r="NS148" s="1">
        <v>5</v>
      </c>
      <c r="NT148" s="1">
        <v>5</v>
      </c>
      <c r="OA148" s="1">
        <v>5</v>
      </c>
      <c r="OB148" s="1">
        <v>5</v>
      </c>
      <c r="OC148" s="1">
        <v>5</v>
      </c>
      <c r="OD148" s="1">
        <v>5</v>
      </c>
      <c r="SB148" s="1" t="s">
        <v>1804</v>
      </c>
      <c r="SC148" s="1" t="s">
        <v>443</v>
      </c>
      <c r="SF148" s="1" t="s">
        <v>2058</v>
      </c>
      <c r="SG148" s="1" t="s">
        <v>444</v>
      </c>
      <c r="SH148" s="1" t="s">
        <v>438</v>
      </c>
      <c r="SI148" s="1" t="s">
        <v>432</v>
      </c>
      <c r="SK148" s="1" t="s">
        <v>1126</v>
      </c>
      <c r="SL148" s="1" t="s">
        <v>1546</v>
      </c>
    </row>
    <row r="149" spans="1:509" ht="48" x14ac:dyDescent="0.2">
      <c r="A149" s="1" t="s">
        <v>2059</v>
      </c>
      <c r="B149" s="1">
        <v>10</v>
      </c>
      <c r="C149" s="1">
        <v>5</v>
      </c>
      <c r="D149" s="3">
        <v>46064.450196759259</v>
      </c>
      <c r="E149" s="1">
        <v>5208872</v>
      </c>
      <c r="F149" s="1" t="s">
        <v>428</v>
      </c>
      <c r="H149" s="1" t="s">
        <v>2060</v>
      </c>
      <c r="J149" s="1" t="s">
        <v>2061</v>
      </c>
      <c r="L149" s="1" t="s">
        <v>1608</v>
      </c>
      <c r="M149" s="1" t="s">
        <v>1608</v>
      </c>
      <c r="N149" s="1" t="s">
        <v>2062</v>
      </c>
      <c r="O149" s="1" t="s">
        <v>432</v>
      </c>
      <c r="R149" s="1" t="s">
        <v>2061</v>
      </c>
      <c r="S149" s="1" t="s">
        <v>2063</v>
      </c>
      <c r="AB149" s="3">
        <v>46068.535046296296</v>
      </c>
      <c r="AC149" s="3">
        <v>46064.540682870371</v>
      </c>
      <c r="AE149" s="1" t="s">
        <v>2064</v>
      </c>
      <c r="BB149" s="1" t="s">
        <v>2065</v>
      </c>
      <c r="CO149" s="1" t="s">
        <v>435</v>
      </c>
      <c r="CQ149" s="1" t="s">
        <v>432</v>
      </c>
      <c r="CR149" s="1" t="s">
        <v>2066</v>
      </c>
      <c r="CS149" s="1" t="s">
        <v>729</v>
      </c>
      <c r="CT149" s="3">
        <v>46064.463819444441</v>
      </c>
      <c r="CU149" s="1" t="s">
        <v>436</v>
      </c>
      <c r="CV149" s="1" t="s">
        <v>512</v>
      </c>
      <c r="CW149" s="3">
        <v>46068.534803240742</v>
      </c>
      <c r="CX149" s="1" t="s">
        <v>1057</v>
      </c>
      <c r="CY149" s="1" t="s">
        <v>438</v>
      </c>
      <c r="DU149" s="1" t="s">
        <v>2067</v>
      </c>
      <c r="HA149" s="1" t="s">
        <v>2067</v>
      </c>
      <c r="NM149" s="1" t="s">
        <v>441</v>
      </c>
      <c r="NN149" s="1">
        <v>4</v>
      </c>
      <c r="NS149" s="1">
        <v>5</v>
      </c>
      <c r="NT149" s="1">
        <v>5</v>
      </c>
      <c r="OA149" s="1">
        <v>5</v>
      </c>
      <c r="OB149" s="1">
        <v>4</v>
      </c>
      <c r="OC149" s="1">
        <v>5</v>
      </c>
      <c r="OD149" s="1">
        <v>4</v>
      </c>
      <c r="SC149" s="1" t="s">
        <v>1696</v>
      </c>
      <c r="SG149" s="1" t="s">
        <v>2068</v>
      </c>
      <c r="SH149" s="1" t="s">
        <v>438</v>
      </c>
      <c r="SI149" s="1" t="s">
        <v>432</v>
      </c>
      <c r="SK149" s="1" t="s">
        <v>620</v>
      </c>
    </row>
    <row r="150" spans="1:509" ht="80" x14ac:dyDescent="0.2">
      <c r="A150" s="1" t="s">
        <v>2069</v>
      </c>
      <c r="B150" s="1">
        <v>8</v>
      </c>
      <c r="C150" s="1">
        <v>4</v>
      </c>
      <c r="D150" s="3">
        <v>46064.438773148147</v>
      </c>
      <c r="E150" s="1">
        <v>5208787</v>
      </c>
      <c r="F150" s="1" t="s">
        <v>428</v>
      </c>
      <c r="H150" s="1" t="s">
        <v>2070</v>
      </c>
      <c r="J150" s="1" t="s">
        <v>2071</v>
      </c>
      <c r="L150" s="1" t="s">
        <v>1222</v>
      </c>
      <c r="N150" s="1" t="s">
        <v>2072</v>
      </c>
      <c r="O150" s="1" t="s">
        <v>432</v>
      </c>
      <c r="R150" s="1" t="s">
        <v>2071</v>
      </c>
      <c r="S150" s="1" t="s">
        <v>2073</v>
      </c>
      <c r="AB150" s="3">
        <v>46064.590324074074</v>
      </c>
      <c r="AC150" s="3">
        <v>46064.54047453704</v>
      </c>
      <c r="AE150" s="1" t="s">
        <v>2074</v>
      </c>
      <c r="BB150" s="1" t="s">
        <v>2075</v>
      </c>
      <c r="CO150" s="1" t="s">
        <v>435</v>
      </c>
      <c r="CQ150" s="1" t="s">
        <v>432</v>
      </c>
      <c r="CR150" s="1" t="s">
        <v>1227</v>
      </c>
      <c r="CS150" s="1" t="s">
        <v>1227</v>
      </c>
      <c r="CT150" s="3">
        <v>46064.449131944442</v>
      </c>
      <c r="CU150" s="1" t="s">
        <v>524</v>
      </c>
      <c r="CV150" s="1" t="s">
        <v>512</v>
      </c>
      <c r="CY150" s="1" t="s">
        <v>438</v>
      </c>
      <c r="DP150" s="1" t="s">
        <v>2076</v>
      </c>
      <c r="GZ150" s="1" t="s">
        <v>2076</v>
      </c>
      <c r="NM150" s="1" t="s">
        <v>441</v>
      </c>
      <c r="NN150" s="1">
        <v>4</v>
      </c>
      <c r="NS150" s="1">
        <v>5</v>
      </c>
      <c r="NT150" s="1">
        <v>5</v>
      </c>
      <c r="OA150" s="1">
        <v>5</v>
      </c>
      <c r="OB150" s="1" t="s">
        <v>442</v>
      </c>
      <c r="OC150" s="1">
        <v>5</v>
      </c>
      <c r="OD150" s="1">
        <v>4</v>
      </c>
      <c r="SB150" s="1" t="s">
        <v>1583</v>
      </c>
      <c r="SC150" s="1" t="s">
        <v>2077</v>
      </c>
      <c r="SF150" s="1" t="s">
        <v>1584</v>
      </c>
      <c r="SG150" s="1" t="s">
        <v>2078</v>
      </c>
      <c r="SH150" s="1" t="s">
        <v>438</v>
      </c>
      <c r="SI150" s="1" t="s">
        <v>432</v>
      </c>
      <c r="SK150" s="1" t="s">
        <v>1265</v>
      </c>
      <c r="SL150" s="1" t="s">
        <v>486</v>
      </c>
    </row>
    <row r="151" spans="1:509" ht="96" x14ac:dyDescent="0.2">
      <c r="A151" s="1" t="s">
        <v>2079</v>
      </c>
      <c r="B151" s="1">
        <v>10</v>
      </c>
      <c r="C151" s="1">
        <v>5</v>
      </c>
      <c r="D151" s="3">
        <v>46064.429606481484</v>
      </c>
      <c r="E151" s="1">
        <v>5208739</v>
      </c>
      <c r="F151" s="1" t="s">
        <v>428</v>
      </c>
      <c r="H151" s="1" t="s">
        <v>2080</v>
      </c>
      <c r="J151" s="1" t="s">
        <v>2081</v>
      </c>
      <c r="L151" s="1" t="s">
        <v>2082</v>
      </c>
      <c r="M151" s="1" t="s">
        <v>2082</v>
      </c>
      <c r="N151" s="1" t="s">
        <v>890</v>
      </c>
      <c r="O151" s="1" t="s">
        <v>432</v>
      </c>
      <c r="R151" s="1" t="s">
        <v>2081</v>
      </c>
      <c r="S151" s="1" t="s">
        <v>891</v>
      </c>
      <c r="AB151" s="3">
        <v>46064.588148148148</v>
      </c>
      <c r="AC151" s="3">
        <v>46064.541585648149</v>
      </c>
      <c r="AE151" s="1" t="s">
        <v>2083</v>
      </c>
      <c r="BB151" s="1" t="s">
        <v>2084</v>
      </c>
      <c r="CO151" s="1" t="s">
        <v>435</v>
      </c>
      <c r="CQ151" s="1" t="s">
        <v>432</v>
      </c>
      <c r="CR151" s="1" t="s">
        <v>1227</v>
      </c>
      <c r="CS151" s="1" t="s">
        <v>1227</v>
      </c>
      <c r="CT151" s="3">
        <v>46064.439456018517</v>
      </c>
      <c r="CU151" s="1" t="s">
        <v>436</v>
      </c>
      <c r="CV151" s="1" t="s">
        <v>512</v>
      </c>
      <c r="CY151" s="1" t="s">
        <v>438</v>
      </c>
      <c r="DU151" s="1" t="s">
        <v>2085</v>
      </c>
      <c r="HA151" s="1" t="s">
        <v>2085</v>
      </c>
      <c r="NM151" s="1" t="s">
        <v>441</v>
      </c>
      <c r="NN151" s="1">
        <v>4</v>
      </c>
      <c r="NS151" s="1">
        <v>5</v>
      </c>
      <c r="NT151" s="1">
        <v>5</v>
      </c>
      <c r="OA151" s="1">
        <v>5</v>
      </c>
      <c r="OB151" s="1">
        <v>5</v>
      </c>
      <c r="OC151" s="1">
        <v>5</v>
      </c>
      <c r="OD151" s="1">
        <v>5</v>
      </c>
      <c r="SC151" s="1" t="s">
        <v>917</v>
      </c>
      <c r="SG151" s="1" t="s">
        <v>918</v>
      </c>
      <c r="SH151" s="1" t="s">
        <v>438</v>
      </c>
      <c r="SI151" s="1" t="s">
        <v>432</v>
      </c>
      <c r="SK151" s="1" t="s">
        <v>486</v>
      </c>
    </row>
    <row r="152" spans="1:509" ht="32" x14ac:dyDescent="0.2">
      <c r="A152" s="1" t="s">
        <v>2086</v>
      </c>
      <c r="B152" s="1">
        <v>10</v>
      </c>
      <c r="C152" s="1">
        <v>5</v>
      </c>
      <c r="D152" s="3">
        <v>46064.416180555556</v>
      </c>
      <c r="E152" s="1">
        <v>5208667</v>
      </c>
      <c r="F152" s="1" t="s">
        <v>428</v>
      </c>
      <c r="H152" s="1" t="s">
        <v>2087</v>
      </c>
      <c r="J152" s="1" t="s">
        <v>2088</v>
      </c>
      <c r="L152" s="1" t="s">
        <v>2089</v>
      </c>
      <c r="N152" s="1" t="s">
        <v>2090</v>
      </c>
      <c r="O152" s="1" t="s">
        <v>438</v>
      </c>
      <c r="R152" s="1" t="s">
        <v>2088</v>
      </c>
      <c r="S152" s="1" t="s">
        <v>2091</v>
      </c>
      <c r="AB152" s="3">
        <v>46065.370937500003</v>
      </c>
      <c r="AC152" s="3">
        <v>46064.540277777778</v>
      </c>
      <c r="AE152" s="1" t="s">
        <v>2092</v>
      </c>
      <c r="BB152" s="1" t="s">
        <v>2093</v>
      </c>
      <c r="CO152" s="1" t="s">
        <v>435</v>
      </c>
      <c r="CQ152" s="1" t="s">
        <v>432</v>
      </c>
      <c r="CR152" s="1" t="s">
        <v>549</v>
      </c>
      <c r="CS152" s="1" t="s">
        <v>549</v>
      </c>
      <c r="CT152" s="3">
        <v>46064.426145833335</v>
      </c>
      <c r="CU152" s="1" t="s">
        <v>436</v>
      </c>
      <c r="CV152" s="1" t="s">
        <v>512</v>
      </c>
      <c r="CY152" s="1" t="s">
        <v>438</v>
      </c>
      <c r="DP152" s="1" t="s">
        <v>2094</v>
      </c>
      <c r="DU152" s="1" t="s">
        <v>2095</v>
      </c>
      <c r="GZ152" s="1" t="s">
        <v>2094</v>
      </c>
      <c r="HA152" s="1" t="s">
        <v>2095</v>
      </c>
      <c r="NM152" s="1" t="s">
        <v>441</v>
      </c>
      <c r="NN152" s="1">
        <v>5</v>
      </c>
      <c r="NS152" s="1">
        <v>5</v>
      </c>
      <c r="NT152" s="1">
        <v>5</v>
      </c>
      <c r="OA152" s="1">
        <v>5</v>
      </c>
      <c r="OB152" s="1">
        <v>5</v>
      </c>
      <c r="OC152" s="1">
        <v>5</v>
      </c>
      <c r="OD152" s="1">
        <v>5</v>
      </c>
      <c r="SC152" s="1" t="s">
        <v>443</v>
      </c>
      <c r="SG152" s="1" t="s">
        <v>865</v>
      </c>
      <c r="SH152" s="1" t="s">
        <v>438</v>
      </c>
      <c r="SI152" s="1" t="s">
        <v>432</v>
      </c>
      <c r="SK152" s="1" t="s">
        <v>445</v>
      </c>
      <c r="SL152" s="1" t="s">
        <v>1278</v>
      </c>
    </row>
    <row r="153" spans="1:509" ht="96" x14ac:dyDescent="0.2">
      <c r="A153" s="1" t="s">
        <v>2096</v>
      </c>
      <c r="B153" s="1">
        <v>10</v>
      </c>
      <c r="C153" s="1">
        <v>5</v>
      </c>
      <c r="D153" s="3">
        <v>46064.338240740741</v>
      </c>
      <c r="E153" s="1">
        <v>5208301</v>
      </c>
      <c r="F153" s="1" t="s">
        <v>428</v>
      </c>
      <c r="H153" s="1" t="s">
        <v>2097</v>
      </c>
      <c r="J153" s="1" t="s">
        <v>2098</v>
      </c>
      <c r="L153" s="1" t="s">
        <v>2099</v>
      </c>
      <c r="M153" s="1" t="s">
        <v>2099</v>
      </c>
      <c r="N153" s="1" t="s">
        <v>1303</v>
      </c>
      <c r="O153" s="1" t="s">
        <v>438</v>
      </c>
      <c r="R153" s="1" t="s">
        <v>2098</v>
      </c>
      <c r="S153" s="1" t="s">
        <v>1304</v>
      </c>
      <c r="AB153" s="3">
        <v>46068.558472222219</v>
      </c>
      <c r="AC153" s="3">
        <v>46063.892870370371</v>
      </c>
      <c r="AE153" s="1" t="s">
        <v>2100</v>
      </c>
      <c r="BB153" s="1" t="s">
        <v>2101</v>
      </c>
      <c r="CO153" s="1" t="s">
        <v>435</v>
      </c>
      <c r="CQ153" s="1" t="s">
        <v>432</v>
      </c>
      <c r="CR153" s="1" t="s">
        <v>769</v>
      </c>
      <c r="CS153" s="1" t="s">
        <v>729</v>
      </c>
      <c r="CT153" s="3">
        <v>46064.337939814817</v>
      </c>
      <c r="CU153" s="1" t="s">
        <v>436</v>
      </c>
      <c r="CV153" s="1" t="s">
        <v>512</v>
      </c>
      <c r="CW153" s="3">
        <v>46068.55841435185</v>
      </c>
      <c r="CX153" s="1" t="s">
        <v>1057</v>
      </c>
      <c r="CY153" s="1" t="s">
        <v>438</v>
      </c>
      <c r="DP153" s="1" t="s">
        <v>2102</v>
      </c>
      <c r="DU153" s="1" t="s">
        <v>2103</v>
      </c>
      <c r="GZ153" s="1" t="s">
        <v>2102</v>
      </c>
      <c r="HA153" s="1" t="s">
        <v>2103</v>
      </c>
      <c r="NM153" s="1" t="s">
        <v>441</v>
      </c>
      <c r="NN153" s="1">
        <v>3</v>
      </c>
      <c r="NS153" s="1">
        <v>4</v>
      </c>
      <c r="NT153" s="1">
        <v>5</v>
      </c>
      <c r="OA153" s="1">
        <v>5</v>
      </c>
      <c r="OB153" s="1">
        <v>5</v>
      </c>
      <c r="OC153" s="1">
        <v>5</v>
      </c>
      <c r="OD153" s="1">
        <v>4</v>
      </c>
      <c r="SB153" s="1" t="s">
        <v>2104</v>
      </c>
      <c r="SC153" s="1" t="s">
        <v>2105</v>
      </c>
      <c r="SF153" s="1" t="s">
        <v>2106</v>
      </c>
      <c r="SG153" s="1" t="s">
        <v>2107</v>
      </c>
      <c r="SH153" s="1" t="s">
        <v>438</v>
      </c>
      <c r="SI153" s="1" t="s">
        <v>438</v>
      </c>
      <c r="SK153" s="1" t="s">
        <v>760</v>
      </c>
      <c r="SL153" s="1" t="s">
        <v>1166</v>
      </c>
      <c r="SM153" s="1" t="s">
        <v>568</v>
      </c>
      <c r="SN153" s="1" t="s">
        <v>2108</v>
      </c>
      <c r="SO153" s="1" t="s">
        <v>620</v>
      </c>
    </row>
    <row r="154" spans="1:509" ht="64" x14ac:dyDescent="0.2">
      <c r="A154" s="1" t="s">
        <v>2109</v>
      </c>
      <c r="B154" s="1">
        <v>10</v>
      </c>
      <c r="C154" s="1">
        <v>5</v>
      </c>
      <c r="D154" s="3">
        <v>46063.903229166666</v>
      </c>
      <c r="E154" s="1">
        <v>5207870</v>
      </c>
      <c r="F154" s="1" t="s">
        <v>428</v>
      </c>
      <c r="H154" s="1" t="s">
        <v>2110</v>
      </c>
      <c r="J154" s="1" t="s">
        <v>2111</v>
      </c>
      <c r="L154" s="1" t="s">
        <v>2112</v>
      </c>
      <c r="N154" s="1" t="s">
        <v>1478</v>
      </c>
      <c r="O154" s="1" t="s">
        <v>432</v>
      </c>
      <c r="R154" s="1" t="s">
        <v>2111</v>
      </c>
      <c r="S154" s="1" t="s">
        <v>1479</v>
      </c>
      <c r="AB154" s="3">
        <v>46064.402465277781</v>
      </c>
      <c r="AC154" s="3">
        <v>46063.536597222221</v>
      </c>
      <c r="AE154" s="1" t="s">
        <v>2113</v>
      </c>
      <c r="BB154" s="1" t="s">
        <v>2114</v>
      </c>
      <c r="CO154" s="1" t="s">
        <v>435</v>
      </c>
      <c r="CQ154" s="1" t="s">
        <v>432</v>
      </c>
      <c r="CR154" s="1" t="s">
        <v>523</v>
      </c>
      <c r="CS154" s="1" t="s">
        <v>523</v>
      </c>
      <c r="CT154" s="3">
        <v>46063.908402777779</v>
      </c>
      <c r="CU154" s="1" t="s">
        <v>436</v>
      </c>
      <c r="CV154" s="1" t="s">
        <v>512</v>
      </c>
      <c r="CY154" s="1" t="s">
        <v>438</v>
      </c>
      <c r="DP154" s="1" t="s">
        <v>2115</v>
      </c>
      <c r="DU154" s="1" t="s">
        <v>2116</v>
      </c>
      <c r="GZ154" s="1" t="s">
        <v>2115</v>
      </c>
      <c r="HA154" s="1" t="s">
        <v>2116</v>
      </c>
      <c r="NM154" s="1" t="s">
        <v>441</v>
      </c>
      <c r="NN154" s="1">
        <v>5</v>
      </c>
      <c r="NS154" s="1">
        <v>5</v>
      </c>
      <c r="NT154" s="1">
        <v>5</v>
      </c>
      <c r="OA154" s="1">
        <v>5</v>
      </c>
      <c r="OB154" s="1">
        <v>5</v>
      </c>
      <c r="OC154" s="1">
        <v>5</v>
      </c>
      <c r="OD154" s="1">
        <v>5</v>
      </c>
      <c r="SB154" s="1" t="s">
        <v>1601</v>
      </c>
      <c r="SC154" s="1" t="s">
        <v>2117</v>
      </c>
      <c r="SE154" s="1" t="s">
        <v>633</v>
      </c>
      <c r="SF154" s="1" t="s">
        <v>1603</v>
      </c>
      <c r="SG154" s="1" t="s">
        <v>2118</v>
      </c>
      <c r="SH154" s="1" t="s">
        <v>438</v>
      </c>
      <c r="SI154" s="1" t="s">
        <v>432</v>
      </c>
      <c r="SK154" s="1" t="s">
        <v>955</v>
      </c>
      <c r="SL154" s="1" t="s">
        <v>486</v>
      </c>
    </row>
    <row r="155" spans="1:509" ht="32" x14ac:dyDescent="0.2">
      <c r="A155" s="1" t="s">
        <v>2119</v>
      </c>
      <c r="B155" s="1">
        <v>10</v>
      </c>
      <c r="C155" s="1">
        <v>5</v>
      </c>
      <c r="D155" s="3">
        <v>46063.883391203701</v>
      </c>
      <c r="E155" s="1">
        <v>5207830</v>
      </c>
      <c r="F155" s="1" t="s">
        <v>428</v>
      </c>
      <c r="H155" s="1" t="s">
        <v>2120</v>
      </c>
      <c r="J155" s="1" t="s">
        <v>2121</v>
      </c>
      <c r="L155" s="1" t="s">
        <v>2122</v>
      </c>
      <c r="M155" s="1" t="s">
        <v>2122</v>
      </c>
      <c r="N155" s="1" t="s">
        <v>2123</v>
      </c>
      <c r="O155" s="1" t="s">
        <v>438</v>
      </c>
      <c r="R155" s="1" t="s">
        <v>2121</v>
      </c>
      <c r="S155" s="1" t="s">
        <v>2124</v>
      </c>
      <c r="AB155" s="3">
        <v>46064.399143518516</v>
      </c>
      <c r="AC155" s="3">
        <v>46063.535717592589</v>
      </c>
      <c r="AE155" s="1" t="s">
        <v>2125</v>
      </c>
      <c r="BB155" s="1" t="s">
        <v>2126</v>
      </c>
      <c r="CO155" s="1" t="s">
        <v>435</v>
      </c>
      <c r="CQ155" s="1" t="s">
        <v>432</v>
      </c>
      <c r="CR155" s="1" t="s">
        <v>523</v>
      </c>
      <c r="CS155" s="1" t="s">
        <v>523</v>
      </c>
      <c r="CT155" s="3">
        <v>46063.890034722222</v>
      </c>
      <c r="CU155" s="1" t="s">
        <v>436</v>
      </c>
      <c r="CV155" s="1" t="s">
        <v>512</v>
      </c>
      <c r="CY155" s="1" t="s">
        <v>438</v>
      </c>
      <c r="DP155" s="1" t="s">
        <v>2127</v>
      </c>
      <c r="GZ155" s="1" t="s">
        <v>2127</v>
      </c>
      <c r="NM155" s="1" t="s">
        <v>441</v>
      </c>
      <c r="NN155" s="1">
        <v>5</v>
      </c>
      <c r="NS155" s="1">
        <v>5</v>
      </c>
      <c r="NT155" s="1">
        <v>5</v>
      </c>
      <c r="OA155" s="1">
        <v>5</v>
      </c>
      <c r="OB155" s="1">
        <v>5</v>
      </c>
      <c r="OC155" s="1">
        <v>5</v>
      </c>
      <c r="OD155" s="1">
        <v>5</v>
      </c>
      <c r="SB155" s="1" t="s">
        <v>443</v>
      </c>
      <c r="SC155" s="1" t="s">
        <v>999</v>
      </c>
      <c r="SF155" s="1" t="s">
        <v>444</v>
      </c>
      <c r="SG155" s="1" t="s">
        <v>2128</v>
      </c>
      <c r="SH155" s="1" t="s">
        <v>438</v>
      </c>
      <c r="SI155" s="1" t="s">
        <v>432</v>
      </c>
      <c r="SK155" s="1" t="s">
        <v>1265</v>
      </c>
    </row>
    <row r="156" spans="1:509" ht="80" x14ac:dyDescent="0.2">
      <c r="A156" s="1" t="s">
        <v>2129</v>
      </c>
      <c r="B156" s="1">
        <v>10</v>
      </c>
      <c r="C156" s="1">
        <v>5</v>
      </c>
      <c r="D156" s="3">
        <v>46063.876446759263</v>
      </c>
      <c r="E156" s="1">
        <v>5207809</v>
      </c>
      <c r="F156" s="1" t="s">
        <v>428</v>
      </c>
      <c r="H156" s="1" t="s">
        <v>2130</v>
      </c>
      <c r="J156" s="1" t="s">
        <v>2131</v>
      </c>
      <c r="L156" s="1" t="s">
        <v>2132</v>
      </c>
      <c r="M156" s="1" t="s">
        <v>2132</v>
      </c>
      <c r="N156" s="1" t="s">
        <v>2133</v>
      </c>
      <c r="O156" s="1" t="s">
        <v>432</v>
      </c>
      <c r="R156" s="1" t="s">
        <v>2131</v>
      </c>
      <c r="S156" s="1" t="s">
        <v>2134</v>
      </c>
      <c r="AB156" s="3">
        <v>46064.395069444443</v>
      </c>
      <c r="AC156" s="3">
        <v>46063.536585648151</v>
      </c>
      <c r="AE156" s="1" t="s">
        <v>2135</v>
      </c>
      <c r="BB156" s="1" t="s">
        <v>2136</v>
      </c>
      <c r="CO156" s="1" t="s">
        <v>435</v>
      </c>
      <c r="CQ156" s="1" t="s">
        <v>432</v>
      </c>
      <c r="CR156" s="1" t="s">
        <v>523</v>
      </c>
      <c r="CS156" s="1" t="s">
        <v>523</v>
      </c>
      <c r="CT156" s="3">
        <v>46063.882071759261</v>
      </c>
      <c r="CU156" s="1" t="s">
        <v>436</v>
      </c>
      <c r="CV156" s="1" t="s">
        <v>512</v>
      </c>
      <c r="CY156" s="1" t="s">
        <v>438</v>
      </c>
      <c r="DP156" s="1" t="s">
        <v>2137</v>
      </c>
      <c r="DU156" s="1" t="s">
        <v>2138</v>
      </c>
      <c r="GZ156" s="1" t="s">
        <v>2137</v>
      </c>
      <c r="HA156" s="1" t="s">
        <v>2138</v>
      </c>
      <c r="NM156" s="1" t="s">
        <v>441</v>
      </c>
      <c r="NN156" s="1">
        <v>5</v>
      </c>
      <c r="NS156" s="1">
        <v>5</v>
      </c>
      <c r="NT156" s="1">
        <v>5</v>
      </c>
      <c r="OA156" s="1">
        <v>5</v>
      </c>
      <c r="OB156" s="1">
        <v>5</v>
      </c>
      <c r="OC156" s="1">
        <v>5</v>
      </c>
      <c r="OD156" s="1">
        <v>5</v>
      </c>
      <c r="SB156" s="1" t="s">
        <v>443</v>
      </c>
      <c r="SC156" s="1" t="s">
        <v>2139</v>
      </c>
      <c r="SF156" s="1" t="s">
        <v>444</v>
      </c>
      <c r="SG156" s="1" t="s">
        <v>2140</v>
      </c>
      <c r="SH156" s="1" t="s">
        <v>438</v>
      </c>
      <c r="SI156" s="1" t="s">
        <v>432</v>
      </c>
      <c r="SK156" s="1" t="s">
        <v>760</v>
      </c>
      <c r="SL156" s="1" t="s">
        <v>500</v>
      </c>
      <c r="SM156" s="1" t="s">
        <v>1126</v>
      </c>
      <c r="SN156" s="1" t="s">
        <v>2141</v>
      </c>
    </row>
    <row r="157" spans="1:509" ht="32" x14ac:dyDescent="0.2">
      <c r="A157" s="1" t="s">
        <v>2142</v>
      </c>
      <c r="B157" s="1">
        <v>8</v>
      </c>
      <c r="C157" s="1">
        <v>4</v>
      </c>
      <c r="D157" s="3">
        <v>46063.796018518522</v>
      </c>
      <c r="E157" s="1">
        <v>5207381</v>
      </c>
      <c r="F157" s="1" t="s">
        <v>428</v>
      </c>
      <c r="H157" s="1" t="s">
        <v>2143</v>
      </c>
      <c r="J157" s="1" t="s">
        <v>2144</v>
      </c>
      <c r="L157" s="1" t="s">
        <v>2145</v>
      </c>
      <c r="M157" s="1" t="s">
        <v>2145</v>
      </c>
      <c r="N157" s="1" t="s">
        <v>2146</v>
      </c>
      <c r="O157" s="1" t="s">
        <v>432</v>
      </c>
      <c r="R157" s="1" t="s">
        <v>2144</v>
      </c>
      <c r="S157" s="1" t="s">
        <v>2147</v>
      </c>
      <c r="AB157" s="3">
        <v>46066.358252314814</v>
      </c>
      <c r="AC157" s="3">
        <v>46063.892893518518</v>
      </c>
      <c r="AE157" s="1" t="s">
        <v>2148</v>
      </c>
      <c r="BB157" s="1" t="s">
        <v>2149</v>
      </c>
      <c r="CO157" s="1" t="s">
        <v>435</v>
      </c>
      <c r="CQ157" s="1" t="s">
        <v>432</v>
      </c>
      <c r="CR157" s="1" t="s">
        <v>511</v>
      </c>
      <c r="CS157" s="1" t="s">
        <v>511</v>
      </c>
      <c r="CT157" s="3">
        <v>46063.802476851852</v>
      </c>
      <c r="CU157" s="1" t="s">
        <v>524</v>
      </c>
      <c r="CV157" s="1" t="s">
        <v>512</v>
      </c>
      <c r="CY157" s="1" t="s">
        <v>438</v>
      </c>
      <c r="DU157" s="1" t="s">
        <v>2150</v>
      </c>
      <c r="HA157" s="1" t="s">
        <v>2150</v>
      </c>
      <c r="NM157" s="1" t="s">
        <v>441</v>
      </c>
      <c r="NN157" s="1">
        <v>3</v>
      </c>
      <c r="NS157" s="1">
        <v>5</v>
      </c>
      <c r="NT157" s="1">
        <v>5</v>
      </c>
      <c r="OA157" s="1">
        <v>2</v>
      </c>
      <c r="OB157" s="1">
        <v>5</v>
      </c>
      <c r="OC157" s="1">
        <v>2</v>
      </c>
      <c r="OD157" s="1" t="s">
        <v>442</v>
      </c>
      <c r="SC157" s="1" t="s">
        <v>443</v>
      </c>
      <c r="SG157" s="1" t="s">
        <v>1000</v>
      </c>
      <c r="SH157" s="1" t="s">
        <v>438</v>
      </c>
      <c r="SI157" s="1" t="s">
        <v>432</v>
      </c>
      <c r="SK157" s="1" t="s">
        <v>1807</v>
      </c>
    </row>
    <row r="158" spans="1:509" ht="48" x14ac:dyDescent="0.2">
      <c r="A158" s="1" t="s">
        <v>2151</v>
      </c>
      <c r="B158" s="1">
        <v>10</v>
      </c>
      <c r="C158" s="1">
        <v>5</v>
      </c>
      <c r="D158" s="3">
        <v>46063.788483796299</v>
      </c>
      <c r="E158" s="1">
        <v>5207350</v>
      </c>
      <c r="F158" s="1" t="s">
        <v>428</v>
      </c>
      <c r="H158" s="1" t="s">
        <v>2152</v>
      </c>
      <c r="J158" s="1" t="s">
        <v>2153</v>
      </c>
      <c r="L158" s="1" t="s">
        <v>2154</v>
      </c>
      <c r="O158" s="1" t="s">
        <v>432</v>
      </c>
      <c r="R158" s="1" t="s">
        <v>2153</v>
      </c>
      <c r="AB158" s="3">
        <v>46064.380694444444</v>
      </c>
      <c r="AC158" s="3">
        <v>46063.535671296297</v>
      </c>
      <c r="AE158" s="1" t="s">
        <v>2155</v>
      </c>
      <c r="BB158" s="1" t="s">
        <v>2156</v>
      </c>
      <c r="CO158" s="1" t="s">
        <v>435</v>
      </c>
      <c r="CQ158" s="1" t="s">
        <v>432</v>
      </c>
      <c r="CR158" s="1" t="s">
        <v>495</v>
      </c>
      <c r="CS158" s="1" t="s">
        <v>495</v>
      </c>
      <c r="CT158" s="3">
        <v>46063.794756944444</v>
      </c>
      <c r="CU158" s="1" t="s">
        <v>436</v>
      </c>
      <c r="CV158" s="1" t="s">
        <v>512</v>
      </c>
      <c r="CY158" s="1" t="s">
        <v>438</v>
      </c>
      <c r="DP158" s="1" t="s">
        <v>2157</v>
      </c>
      <c r="DU158" s="1" t="s">
        <v>2158</v>
      </c>
      <c r="GZ158" s="1" t="s">
        <v>2157</v>
      </c>
      <c r="HA158" s="1" t="s">
        <v>2158</v>
      </c>
      <c r="NM158" s="1" t="s">
        <v>441</v>
      </c>
      <c r="NN158" s="1">
        <v>4</v>
      </c>
      <c r="NS158" s="1">
        <v>5</v>
      </c>
      <c r="NT158" s="1">
        <v>5</v>
      </c>
      <c r="OA158" s="1">
        <v>5</v>
      </c>
      <c r="OB158" s="1">
        <v>5</v>
      </c>
      <c r="OC158" s="1">
        <v>5</v>
      </c>
      <c r="OD158" s="1">
        <v>5</v>
      </c>
      <c r="SC158" s="1" t="s">
        <v>1035</v>
      </c>
      <c r="SG158" s="1" t="s">
        <v>1036</v>
      </c>
      <c r="SH158" s="1" t="s">
        <v>438</v>
      </c>
      <c r="SI158" s="1" t="s">
        <v>438</v>
      </c>
      <c r="SK158" s="1" t="s">
        <v>568</v>
      </c>
    </row>
    <row r="159" spans="1:509" ht="112" x14ac:dyDescent="0.2">
      <c r="A159" s="1" t="s">
        <v>1299</v>
      </c>
      <c r="B159" s="1">
        <v>10</v>
      </c>
      <c r="C159" s="1">
        <v>4</v>
      </c>
      <c r="D159" s="3">
        <v>46063.57744212963</v>
      </c>
      <c r="E159" s="1">
        <v>5206429</v>
      </c>
      <c r="F159" s="1" t="s">
        <v>428</v>
      </c>
      <c r="H159" s="1" t="s">
        <v>1300</v>
      </c>
      <c r="J159" s="1" t="s">
        <v>1301</v>
      </c>
      <c r="L159" s="1" t="s">
        <v>1302</v>
      </c>
      <c r="M159" s="1" t="s">
        <v>1302</v>
      </c>
      <c r="N159" s="1" t="s">
        <v>1901</v>
      </c>
      <c r="O159" s="1" t="s">
        <v>432</v>
      </c>
      <c r="R159" s="1" t="s">
        <v>1301</v>
      </c>
      <c r="S159" s="1" t="s">
        <v>1902</v>
      </c>
      <c r="AB159" s="3">
        <v>46065.360902777778</v>
      </c>
      <c r="AC159" s="3">
        <v>46063.535046296296</v>
      </c>
      <c r="AE159" s="1" t="s">
        <v>2159</v>
      </c>
      <c r="BB159" s="1" t="s">
        <v>1306</v>
      </c>
      <c r="CO159" s="1" t="s">
        <v>435</v>
      </c>
      <c r="CQ159" s="1" t="s">
        <v>432</v>
      </c>
      <c r="CR159" s="1" t="s">
        <v>561</v>
      </c>
      <c r="CS159" s="1" t="s">
        <v>561</v>
      </c>
      <c r="CT159" s="3">
        <v>46063.582997685182</v>
      </c>
      <c r="CU159" s="1" t="s">
        <v>436</v>
      </c>
      <c r="CV159" s="1" t="s">
        <v>512</v>
      </c>
      <c r="CY159" s="1" t="s">
        <v>438</v>
      </c>
      <c r="DP159" s="1" t="s">
        <v>2160</v>
      </c>
      <c r="DU159" s="1" t="s">
        <v>2161</v>
      </c>
      <c r="GZ159" s="1" t="s">
        <v>2160</v>
      </c>
      <c r="HA159" s="1" t="s">
        <v>2161</v>
      </c>
      <c r="NM159" s="1" t="s">
        <v>441</v>
      </c>
      <c r="NN159" s="1">
        <v>4</v>
      </c>
      <c r="NS159" s="1">
        <v>5</v>
      </c>
      <c r="NT159" s="1">
        <v>5</v>
      </c>
      <c r="OA159" s="1">
        <v>5</v>
      </c>
      <c r="OB159" s="1">
        <v>5</v>
      </c>
      <c r="OC159" s="1">
        <v>5</v>
      </c>
      <c r="OD159" s="1">
        <v>4</v>
      </c>
      <c r="SB159" s="1" t="s">
        <v>646</v>
      </c>
      <c r="SC159" s="1" t="s">
        <v>646</v>
      </c>
      <c r="SF159" s="1" t="s">
        <v>1254</v>
      </c>
      <c r="SG159" s="1" t="s">
        <v>1501</v>
      </c>
      <c r="SH159" s="1" t="s">
        <v>438</v>
      </c>
      <c r="SI159" s="1" t="s">
        <v>432</v>
      </c>
      <c r="SK159" s="1" t="s">
        <v>672</v>
      </c>
      <c r="SL159" s="1" t="s">
        <v>620</v>
      </c>
      <c r="SM159" s="1" t="s">
        <v>2162</v>
      </c>
    </row>
    <row r="160" spans="1:509" ht="32" x14ac:dyDescent="0.2">
      <c r="A160" s="1" t="s">
        <v>2163</v>
      </c>
      <c r="B160" s="1">
        <v>10</v>
      </c>
      <c r="C160" s="1">
        <v>5</v>
      </c>
      <c r="D160" s="3">
        <v>46063.55027777778</v>
      </c>
      <c r="E160" s="1">
        <v>5206349</v>
      </c>
      <c r="F160" s="1" t="s">
        <v>428</v>
      </c>
      <c r="H160" s="1" t="s">
        <v>2164</v>
      </c>
      <c r="J160" s="1" t="s">
        <v>2165</v>
      </c>
      <c r="L160" s="1" t="s">
        <v>2166</v>
      </c>
      <c r="M160" s="1" t="s">
        <v>2166</v>
      </c>
      <c r="N160" s="1" t="s">
        <v>1140</v>
      </c>
      <c r="O160" s="1" t="s">
        <v>432</v>
      </c>
      <c r="R160" s="1" t="s">
        <v>2165</v>
      </c>
      <c r="S160" s="1" t="s">
        <v>1141</v>
      </c>
      <c r="AB160" s="3">
        <v>46063.677025462966</v>
      </c>
      <c r="AC160" s="3">
        <v>46063.536111111112</v>
      </c>
      <c r="AE160" s="1" t="s">
        <v>2167</v>
      </c>
      <c r="BB160" s="1" t="s">
        <v>2168</v>
      </c>
      <c r="CO160" s="1" t="s">
        <v>435</v>
      </c>
      <c r="CQ160" s="1" t="s">
        <v>432</v>
      </c>
      <c r="CR160" s="1" t="s">
        <v>1227</v>
      </c>
      <c r="CS160" s="1" t="s">
        <v>1227</v>
      </c>
      <c r="CT160" s="3">
        <v>46063.561979166669</v>
      </c>
      <c r="CU160" s="1" t="s">
        <v>436</v>
      </c>
      <c r="CV160" s="1" t="s">
        <v>512</v>
      </c>
      <c r="CY160" s="1" t="s">
        <v>438</v>
      </c>
      <c r="DP160" s="1" t="s">
        <v>2169</v>
      </c>
      <c r="GZ160" s="1" t="s">
        <v>2169</v>
      </c>
      <c r="NM160" s="1" t="s">
        <v>441</v>
      </c>
      <c r="NN160" s="1">
        <v>5</v>
      </c>
      <c r="NS160" s="1">
        <v>5</v>
      </c>
      <c r="NT160" s="1">
        <v>5</v>
      </c>
      <c r="OA160" s="1">
        <v>5</v>
      </c>
      <c r="OB160" s="1">
        <v>5</v>
      </c>
      <c r="OC160" s="1">
        <v>5</v>
      </c>
      <c r="OD160" s="1">
        <v>5</v>
      </c>
      <c r="SC160" s="1" t="s">
        <v>443</v>
      </c>
      <c r="SG160" s="1" t="s">
        <v>444</v>
      </c>
      <c r="SH160" s="1" t="s">
        <v>438</v>
      </c>
      <c r="SI160" s="1" t="s">
        <v>432</v>
      </c>
      <c r="SK160" s="1" t="s">
        <v>445</v>
      </c>
    </row>
    <row r="161" spans="1:508" ht="64" x14ac:dyDescent="0.2">
      <c r="A161" s="1" t="s">
        <v>2170</v>
      </c>
      <c r="B161" s="1">
        <v>10</v>
      </c>
      <c r="C161" s="1">
        <v>5</v>
      </c>
      <c r="D161" s="3">
        <v>46063.508414351854</v>
      </c>
      <c r="E161" s="1">
        <v>5206048</v>
      </c>
      <c r="F161" s="1" t="s">
        <v>428</v>
      </c>
      <c r="H161" s="1" t="s">
        <v>2171</v>
      </c>
      <c r="J161" s="1" t="s">
        <v>2172</v>
      </c>
      <c r="L161" s="1" t="s">
        <v>2173</v>
      </c>
      <c r="M161" s="1" t="s">
        <v>2173</v>
      </c>
      <c r="N161" s="1" t="s">
        <v>2174</v>
      </c>
      <c r="O161" s="1" t="s">
        <v>432</v>
      </c>
      <c r="R161" s="1" t="s">
        <v>2172</v>
      </c>
      <c r="S161" s="1" t="s">
        <v>2175</v>
      </c>
      <c r="AB161" s="3">
        <v>46063.624398148146</v>
      </c>
      <c r="AC161" s="3">
        <v>46063.535520833335</v>
      </c>
      <c r="AE161" s="1" t="s">
        <v>2176</v>
      </c>
      <c r="BB161" s="1" t="s">
        <v>2177</v>
      </c>
      <c r="CO161" s="1" t="s">
        <v>435</v>
      </c>
      <c r="CQ161" s="1" t="s">
        <v>432</v>
      </c>
      <c r="CR161" s="1" t="s">
        <v>1227</v>
      </c>
      <c r="CS161" s="1" t="s">
        <v>1227</v>
      </c>
      <c r="CT161" s="3">
        <v>46063.48878472222</v>
      </c>
      <c r="CU161" s="1" t="s">
        <v>436</v>
      </c>
      <c r="CV161" s="1" t="s">
        <v>512</v>
      </c>
      <c r="CY161" s="1" t="s">
        <v>438</v>
      </c>
      <c r="DP161" s="1" t="s">
        <v>2178</v>
      </c>
      <c r="DU161" s="1" t="s">
        <v>2179</v>
      </c>
      <c r="GZ161" s="1" t="s">
        <v>2178</v>
      </c>
      <c r="HA161" s="1" t="s">
        <v>2179</v>
      </c>
      <c r="NM161" s="1" t="s">
        <v>441</v>
      </c>
      <c r="NN161" s="1">
        <v>5</v>
      </c>
      <c r="NS161" s="1">
        <v>4</v>
      </c>
      <c r="NT161" s="1">
        <v>5</v>
      </c>
      <c r="OA161" s="1">
        <v>5</v>
      </c>
      <c r="OB161" s="1">
        <v>5</v>
      </c>
      <c r="OC161" s="1">
        <v>5</v>
      </c>
      <c r="OD161" s="1">
        <v>5</v>
      </c>
      <c r="SC161" s="1" t="s">
        <v>2180</v>
      </c>
      <c r="SG161" s="1" t="s">
        <v>2181</v>
      </c>
      <c r="SH161" s="1" t="s">
        <v>438</v>
      </c>
      <c r="SI161" s="1" t="s">
        <v>438</v>
      </c>
      <c r="SK161" s="1" t="s">
        <v>445</v>
      </c>
    </row>
    <row r="162" spans="1:508" ht="32" x14ac:dyDescent="0.2">
      <c r="A162" s="1" t="s">
        <v>2182</v>
      </c>
      <c r="B162" s="1">
        <v>10</v>
      </c>
      <c r="C162" s="1">
        <v>5</v>
      </c>
      <c r="D162" s="3">
        <v>46063.48233796296</v>
      </c>
      <c r="E162" s="1">
        <v>5206059</v>
      </c>
      <c r="F162" s="1" t="s">
        <v>428</v>
      </c>
      <c r="H162" s="1" t="s">
        <v>2183</v>
      </c>
      <c r="J162" s="1" t="s">
        <v>2184</v>
      </c>
      <c r="L162" s="1" t="s">
        <v>2185</v>
      </c>
      <c r="O162" s="1" t="s">
        <v>432</v>
      </c>
      <c r="R162" s="1" t="s">
        <v>2184</v>
      </c>
      <c r="AB162" s="3">
        <v>46063.663668981484</v>
      </c>
      <c r="AC162" s="3">
        <v>46063.535034722219</v>
      </c>
      <c r="AE162" s="1" t="s">
        <v>2186</v>
      </c>
      <c r="BB162" s="1" t="s">
        <v>2187</v>
      </c>
      <c r="CO162" s="1" t="s">
        <v>435</v>
      </c>
      <c r="CQ162" s="1" t="s">
        <v>432</v>
      </c>
      <c r="CR162" s="1" t="s">
        <v>549</v>
      </c>
      <c r="CS162" s="1" t="s">
        <v>549</v>
      </c>
      <c r="CT162" s="3">
        <v>46063.49119212963</v>
      </c>
      <c r="CU162" s="1" t="s">
        <v>436</v>
      </c>
      <c r="CV162" s="1" t="s">
        <v>512</v>
      </c>
      <c r="CY162" s="1" t="s">
        <v>438</v>
      </c>
      <c r="DP162" s="1" t="s">
        <v>2188</v>
      </c>
      <c r="DU162" s="1" t="s">
        <v>2189</v>
      </c>
      <c r="GZ162" s="1" t="s">
        <v>2188</v>
      </c>
      <c r="HA162" s="1" t="s">
        <v>2189</v>
      </c>
      <c r="NM162" s="1" t="s">
        <v>441</v>
      </c>
      <c r="NN162" s="1">
        <v>5</v>
      </c>
      <c r="NS162" s="1">
        <v>5</v>
      </c>
      <c r="NT162" s="1">
        <v>5</v>
      </c>
      <c r="OA162" s="1">
        <v>5</v>
      </c>
      <c r="OB162" s="1">
        <v>5</v>
      </c>
      <c r="OC162" s="1">
        <v>5</v>
      </c>
      <c r="OD162" s="1">
        <v>5</v>
      </c>
      <c r="SB162" s="1" t="s">
        <v>443</v>
      </c>
      <c r="SC162" s="1" t="s">
        <v>443</v>
      </c>
      <c r="SF162" s="1" t="s">
        <v>1264</v>
      </c>
      <c r="SG162" s="1" t="s">
        <v>444</v>
      </c>
      <c r="SH162" s="1" t="s">
        <v>438</v>
      </c>
      <c r="SI162" s="1" t="s">
        <v>438</v>
      </c>
      <c r="SK162" s="1" t="s">
        <v>445</v>
      </c>
      <c r="SL162" s="1" t="s">
        <v>1126</v>
      </c>
    </row>
    <row r="163" spans="1:508" ht="48" x14ac:dyDescent="0.2">
      <c r="A163" s="1" t="s">
        <v>2190</v>
      </c>
      <c r="B163" s="1">
        <v>10</v>
      </c>
      <c r="C163" s="1">
        <v>5</v>
      </c>
      <c r="D163" s="3">
        <v>46063.469039351854</v>
      </c>
      <c r="E163" s="1">
        <v>5205999</v>
      </c>
      <c r="F163" s="1" t="s">
        <v>428</v>
      </c>
      <c r="H163" s="1" t="s">
        <v>2191</v>
      </c>
      <c r="J163" s="1" t="s">
        <v>2192</v>
      </c>
      <c r="L163" s="1" t="s">
        <v>2193</v>
      </c>
      <c r="N163" s="1" t="s">
        <v>2194</v>
      </c>
      <c r="O163" s="1" t="s">
        <v>432</v>
      </c>
      <c r="R163" s="1" t="s">
        <v>2192</v>
      </c>
      <c r="S163" s="1" t="s">
        <v>2195</v>
      </c>
      <c r="AB163" s="3">
        <v>46063.654143518521</v>
      </c>
      <c r="AC163" s="3">
        <v>46059.534884259258</v>
      </c>
      <c r="AE163" s="1" t="s">
        <v>2196</v>
      </c>
      <c r="BB163" s="1" t="s">
        <v>2197</v>
      </c>
      <c r="CO163" s="1" t="s">
        <v>435</v>
      </c>
      <c r="CQ163" s="1" t="s">
        <v>432</v>
      </c>
      <c r="CR163" s="1" t="s">
        <v>549</v>
      </c>
      <c r="CS163" s="1" t="s">
        <v>549</v>
      </c>
      <c r="CT163" s="3">
        <v>46063.480266203704</v>
      </c>
      <c r="CU163" s="1" t="s">
        <v>436</v>
      </c>
      <c r="CV163" s="1" t="s">
        <v>512</v>
      </c>
      <c r="CY163" s="1" t="s">
        <v>438</v>
      </c>
      <c r="DP163" s="1" t="s">
        <v>2198</v>
      </c>
      <c r="DU163" s="1" t="s">
        <v>2189</v>
      </c>
      <c r="GZ163" s="1" t="s">
        <v>2198</v>
      </c>
      <c r="HA163" s="1" t="s">
        <v>2189</v>
      </c>
      <c r="NM163" s="1" t="s">
        <v>441</v>
      </c>
      <c r="NN163" s="1">
        <v>5</v>
      </c>
      <c r="NS163" s="1">
        <v>5</v>
      </c>
      <c r="NT163" s="1">
        <v>5</v>
      </c>
      <c r="OA163" s="1">
        <v>5</v>
      </c>
      <c r="OB163" s="1">
        <v>5</v>
      </c>
      <c r="OC163" s="1">
        <v>5</v>
      </c>
      <c r="OD163" s="1">
        <v>5</v>
      </c>
      <c r="SC163" s="1" t="s">
        <v>443</v>
      </c>
      <c r="SG163" s="1" t="s">
        <v>444</v>
      </c>
      <c r="SH163" s="1" t="s">
        <v>438</v>
      </c>
      <c r="SI163" s="1" t="s">
        <v>432</v>
      </c>
      <c r="SK163" s="1" t="s">
        <v>568</v>
      </c>
    </row>
    <row r="164" spans="1:508" ht="32" x14ac:dyDescent="0.2">
      <c r="A164" s="1" t="s">
        <v>2199</v>
      </c>
      <c r="B164" s="1">
        <v>9</v>
      </c>
      <c r="C164" s="1">
        <v>4</v>
      </c>
      <c r="D164" s="3">
        <v>46063.436539351853</v>
      </c>
      <c r="E164" s="1">
        <v>5205835</v>
      </c>
      <c r="F164" s="1" t="s">
        <v>428</v>
      </c>
      <c r="H164" s="1" t="s">
        <v>2200</v>
      </c>
      <c r="J164" s="1" t="s">
        <v>2201</v>
      </c>
      <c r="L164" s="1" t="s">
        <v>2202</v>
      </c>
      <c r="M164" s="1" t="s">
        <v>2202</v>
      </c>
      <c r="N164" s="1" t="s">
        <v>2203</v>
      </c>
      <c r="O164" s="1" t="s">
        <v>432</v>
      </c>
      <c r="R164" s="1" t="s">
        <v>2201</v>
      </c>
      <c r="S164" s="1" t="s">
        <v>2204</v>
      </c>
      <c r="AB164" s="3">
        <v>46063.642395833333</v>
      </c>
      <c r="AC164" s="3">
        <v>46063.537037037036</v>
      </c>
      <c r="AE164" s="1" t="s">
        <v>2205</v>
      </c>
      <c r="BB164" s="1" t="s">
        <v>2206</v>
      </c>
      <c r="CO164" s="1" t="s">
        <v>435</v>
      </c>
      <c r="CQ164" s="1" t="s">
        <v>432</v>
      </c>
      <c r="CR164" s="1" t="s">
        <v>549</v>
      </c>
      <c r="CS164" s="1" t="s">
        <v>549</v>
      </c>
      <c r="CT164" s="3">
        <v>46063.445659722223</v>
      </c>
      <c r="CU164" s="1" t="s">
        <v>436</v>
      </c>
      <c r="CV164" s="1" t="s">
        <v>512</v>
      </c>
      <c r="CY164" s="1" t="s">
        <v>438</v>
      </c>
      <c r="DP164" s="1" t="s">
        <v>2207</v>
      </c>
      <c r="DU164" s="1" t="s">
        <v>2208</v>
      </c>
      <c r="GZ164" s="1" t="s">
        <v>2207</v>
      </c>
      <c r="HA164" s="1" t="s">
        <v>2208</v>
      </c>
      <c r="NM164" s="1" t="s">
        <v>441</v>
      </c>
      <c r="NN164" s="1">
        <v>4</v>
      </c>
      <c r="NS164" s="1">
        <v>4</v>
      </c>
      <c r="NT164" s="1">
        <v>5</v>
      </c>
      <c r="OA164" s="1">
        <v>4</v>
      </c>
      <c r="OB164" s="1">
        <v>4</v>
      </c>
      <c r="OC164" s="1">
        <v>4</v>
      </c>
      <c r="OD164" s="1">
        <v>4</v>
      </c>
      <c r="SB164" s="1" t="s">
        <v>843</v>
      </c>
      <c r="SC164" s="1" t="s">
        <v>2209</v>
      </c>
      <c r="SF164" s="1" t="s">
        <v>845</v>
      </c>
      <c r="SG164" s="1" t="s">
        <v>2210</v>
      </c>
      <c r="SH164" s="1" t="s">
        <v>438</v>
      </c>
      <c r="SI164" s="1" t="s">
        <v>432</v>
      </c>
      <c r="SK164" s="1" t="s">
        <v>619</v>
      </c>
      <c r="SL164" s="1" t="s">
        <v>540</v>
      </c>
    </row>
    <row r="165" spans="1:508" ht="32" x14ac:dyDescent="0.2">
      <c r="A165" s="1" t="s">
        <v>2211</v>
      </c>
      <c r="B165" s="1">
        <v>5</v>
      </c>
      <c r="C165" s="1">
        <v>3</v>
      </c>
      <c r="D165" s="3">
        <v>46063.431574074071</v>
      </c>
      <c r="E165" s="1">
        <v>5205823</v>
      </c>
      <c r="F165" s="1" t="s">
        <v>428</v>
      </c>
      <c r="H165" s="1" t="s">
        <v>2212</v>
      </c>
      <c r="J165" s="1" t="s">
        <v>2213</v>
      </c>
      <c r="L165" s="1" t="s">
        <v>2214</v>
      </c>
      <c r="M165" s="1" t="s">
        <v>2215</v>
      </c>
      <c r="N165" s="1" t="s">
        <v>724</v>
      </c>
      <c r="O165" s="1" t="s">
        <v>432</v>
      </c>
      <c r="R165" s="1" t="s">
        <v>2213</v>
      </c>
      <c r="S165" s="1" t="s">
        <v>725</v>
      </c>
      <c r="AB165" s="3">
        <v>46064.505694444444</v>
      </c>
      <c r="AC165" s="3">
        <v>46063.553703703707</v>
      </c>
      <c r="AE165" s="1" t="s">
        <v>2216</v>
      </c>
      <c r="BB165" s="1" t="s">
        <v>2217</v>
      </c>
      <c r="CO165" s="1" t="s">
        <v>435</v>
      </c>
      <c r="CQ165" s="1" t="s">
        <v>432</v>
      </c>
      <c r="CR165" s="1" t="s">
        <v>1770</v>
      </c>
      <c r="CS165" s="1" t="s">
        <v>729</v>
      </c>
      <c r="CT165" s="3">
        <v>46063.443761574075</v>
      </c>
      <c r="CU165" s="1" t="s">
        <v>1206</v>
      </c>
      <c r="CV165" s="1" t="s">
        <v>512</v>
      </c>
      <c r="CW165" s="3">
        <v>46064.505636574075</v>
      </c>
      <c r="CX165" s="1" t="s">
        <v>1057</v>
      </c>
      <c r="CY165" s="1" t="s">
        <v>438</v>
      </c>
      <c r="DP165" s="1" t="s">
        <v>2218</v>
      </c>
      <c r="DU165" s="1" t="s">
        <v>2219</v>
      </c>
      <c r="GZ165" s="1" t="s">
        <v>2218</v>
      </c>
      <c r="HA165" s="1" t="s">
        <v>2219</v>
      </c>
      <c r="NM165" s="1" t="s">
        <v>441</v>
      </c>
      <c r="NN165" s="1">
        <v>3</v>
      </c>
      <c r="NS165" s="1">
        <v>3</v>
      </c>
      <c r="NT165" s="1">
        <v>3</v>
      </c>
      <c r="OA165" s="1">
        <v>3</v>
      </c>
      <c r="OB165" s="1">
        <v>3</v>
      </c>
      <c r="OC165" s="1">
        <v>3</v>
      </c>
      <c r="OD165" s="1">
        <v>3</v>
      </c>
      <c r="SB165" s="1" t="s">
        <v>843</v>
      </c>
      <c r="SC165" s="1" t="s">
        <v>1696</v>
      </c>
      <c r="SF165" s="1" t="s">
        <v>2220</v>
      </c>
      <c r="SG165" s="1" t="s">
        <v>2068</v>
      </c>
      <c r="SH165" s="1" t="s">
        <v>438</v>
      </c>
      <c r="SI165" s="1" t="s">
        <v>438</v>
      </c>
      <c r="SK165" s="1" t="s">
        <v>620</v>
      </c>
    </row>
    <row r="166" spans="1:508" ht="32" x14ac:dyDescent="0.2">
      <c r="A166" s="1" t="s">
        <v>2221</v>
      </c>
      <c r="B166" s="1">
        <v>10</v>
      </c>
      <c r="C166" s="1">
        <v>5</v>
      </c>
      <c r="D166" s="3">
        <v>46063.253252314818</v>
      </c>
      <c r="E166" s="1">
        <v>5205350</v>
      </c>
      <c r="F166" s="1" t="s">
        <v>428</v>
      </c>
      <c r="H166" s="1" t="s">
        <v>2222</v>
      </c>
      <c r="J166" s="1" t="s">
        <v>2223</v>
      </c>
      <c r="L166" s="1" t="s">
        <v>2224</v>
      </c>
      <c r="M166" s="1" t="s">
        <v>2224</v>
      </c>
      <c r="N166" s="1" t="s">
        <v>2225</v>
      </c>
      <c r="O166" s="1" t="s">
        <v>438</v>
      </c>
      <c r="R166" s="1" t="s">
        <v>2223</v>
      </c>
      <c r="S166" s="1" t="s">
        <v>2226</v>
      </c>
      <c r="AB166" s="3">
        <v>46063.404560185183</v>
      </c>
      <c r="AC166" s="3">
        <v>46062.80673611111</v>
      </c>
      <c r="AE166" s="1" t="s">
        <v>2227</v>
      </c>
      <c r="BB166" s="1" t="s">
        <v>2228</v>
      </c>
      <c r="CO166" s="1" t="s">
        <v>435</v>
      </c>
      <c r="CQ166" s="1" t="s">
        <v>432</v>
      </c>
      <c r="CR166" s="1" t="s">
        <v>495</v>
      </c>
      <c r="CS166" s="1" t="s">
        <v>495</v>
      </c>
      <c r="CT166" s="3">
        <v>46063.253564814811</v>
      </c>
      <c r="CU166" s="1" t="s">
        <v>436</v>
      </c>
      <c r="CV166" s="1" t="s">
        <v>512</v>
      </c>
      <c r="CY166" s="1" t="s">
        <v>438</v>
      </c>
      <c r="DP166" s="1" t="s">
        <v>2229</v>
      </c>
      <c r="GZ166" s="1" t="s">
        <v>2229</v>
      </c>
      <c r="NM166" s="1" t="s">
        <v>441</v>
      </c>
      <c r="NN166" s="1">
        <v>4</v>
      </c>
      <c r="NS166" s="1">
        <v>5</v>
      </c>
      <c r="NT166" s="1">
        <v>5</v>
      </c>
      <c r="OA166" s="1">
        <v>5</v>
      </c>
      <c r="OB166" s="1">
        <v>5</v>
      </c>
      <c r="OC166" s="1">
        <v>5</v>
      </c>
      <c r="OD166" s="1">
        <v>5</v>
      </c>
      <c r="SC166" s="1" t="s">
        <v>443</v>
      </c>
      <c r="SG166" s="1" t="s">
        <v>444</v>
      </c>
      <c r="SH166" s="1" t="s">
        <v>438</v>
      </c>
      <c r="SI166" s="1" t="s">
        <v>432</v>
      </c>
      <c r="SK166" s="1" t="s">
        <v>445</v>
      </c>
    </row>
    <row r="167" spans="1:508" ht="48" x14ac:dyDescent="0.2">
      <c r="A167" s="1" t="s">
        <v>2230</v>
      </c>
      <c r="B167" s="1">
        <v>10</v>
      </c>
      <c r="C167" s="1">
        <v>5</v>
      </c>
      <c r="D167" s="3">
        <v>46062.794247685182</v>
      </c>
      <c r="E167" s="1">
        <v>5204668</v>
      </c>
      <c r="F167" s="1" t="s">
        <v>428</v>
      </c>
      <c r="H167" s="1" t="s">
        <v>2231</v>
      </c>
      <c r="J167" s="1" t="s">
        <v>2232</v>
      </c>
      <c r="L167" s="1" t="s">
        <v>2233</v>
      </c>
      <c r="M167" s="1" t="s">
        <v>2233</v>
      </c>
      <c r="N167" s="1" t="s">
        <v>933</v>
      </c>
      <c r="O167" s="1" t="s">
        <v>432</v>
      </c>
      <c r="R167" s="1" t="s">
        <v>2232</v>
      </c>
      <c r="S167" s="1" t="s">
        <v>934</v>
      </c>
      <c r="AB167" s="3">
        <v>46063.377002314817</v>
      </c>
      <c r="AC167" s="3">
        <v>46062.534826388888</v>
      </c>
      <c r="AE167" s="1" t="s">
        <v>2234</v>
      </c>
      <c r="BB167" s="1" t="s">
        <v>2235</v>
      </c>
      <c r="CO167" s="1" t="s">
        <v>435</v>
      </c>
      <c r="CQ167" s="1" t="s">
        <v>432</v>
      </c>
      <c r="CR167" s="1" t="s">
        <v>523</v>
      </c>
      <c r="CS167" s="1" t="s">
        <v>523</v>
      </c>
      <c r="CT167" s="3">
        <v>46062.794479166667</v>
      </c>
      <c r="CU167" s="1" t="s">
        <v>436</v>
      </c>
      <c r="CV167" s="1" t="s">
        <v>512</v>
      </c>
      <c r="CY167" s="1" t="s">
        <v>438</v>
      </c>
      <c r="DP167" s="1" t="s">
        <v>2236</v>
      </c>
      <c r="DU167" s="1" t="s">
        <v>482</v>
      </c>
      <c r="GZ167" s="1" t="s">
        <v>2236</v>
      </c>
      <c r="HA167" s="1" t="s">
        <v>482</v>
      </c>
      <c r="NM167" s="1" t="s">
        <v>441</v>
      </c>
      <c r="NN167" s="1">
        <v>5</v>
      </c>
      <c r="NS167" s="1">
        <v>5</v>
      </c>
      <c r="NT167" s="1">
        <v>5</v>
      </c>
      <c r="OA167" s="1">
        <v>5</v>
      </c>
      <c r="OB167" s="1">
        <v>5</v>
      </c>
      <c r="OC167" s="1">
        <v>5</v>
      </c>
      <c r="OD167" s="1">
        <v>5</v>
      </c>
      <c r="SC167" s="1" t="s">
        <v>2237</v>
      </c>
      <c r="SG167" s="1" t="s">
        <v>2238</v>
      </c>
      <c r="SH167" s="1" t="s">
        <v>438</v>
      </c>
      <c r="SI167" s="1" t="s">
        <v>432</v>
      </c>
      <c r="SK167" s="1" t="s">
        <v>568</v>
      </c>
      <c r="SL167" s="1" t="s">
        <v>1126</v>
      </c>
    </row>
    <row r="168" spans="1:508" ht="32" x14ac:dyDescent="0.2">
      <c r="A168" s="1" t="s">
        <v>2239</v>
      </c>
      <c r="B168" s="1">
        <v>10</v>
      </c>
      <c r="C168" s="1">
        <v>5</v>
      </c>
      <c r="D168" s="3">
        <v>46062.717037037037</v>
      </c>
      <c r="E168" s="1">
        <v>5204393</v>
      </c>
      <c r="F168" s="1" t="s">
        <v>428</v>
      </c>
      <c r="H168" s="1" t="s">
        <v>2240</v>
      </c>
      <c r="J168" s="1" t="s">
        <v>2241</v>
      </c>
      <c r="L168" s="1" t="s">
        <v>2242</v>
      </c>
      <c r="M168" s="1" t="s">
        <v>2242</v>
      </c>
      <c r="N168" s="1" t="s">
        <v>2243</v>
      </c>
      <c r="O168" s="1" t="s">
        <v>432</v>
      </c>
      <c r="R168" s="1" t="s">
        <v>2241</v>
      </c>
      <c r="S168" s="1" t="s">
        <v>2244</v>
      </c>
      <c r="AB168" s="3">
        <v>46063.395752314813</v>
      </c>
      <c r="AC168" s="3">
        <v>46062.806851851848</v>
      </c>
      <c r="AE168" s="1" t="s">
        <v>2245</v>
      </c>
      <c r="BB168" s="1" t="s">
        <v>2246</v>
      </c>
      <c r="CO168" s="1" t="s">
        <v>435</v>
      </c>
      <c r="CQ168" s="1" t="s">
        <v>432</v>
      </c>
      <c r="CR168" s="1" t="s">
        <v>511</v>
      </c>
      <c r="CS168" s="1" t="s">
        <v>511</v>
      </c>
      <c r="CT168" s="3">
        <v>46062.717303240737</v>
      </c>
      <c r="CU168" s="1" t="s">
        <v>436</v>
      </c>
      <c r="CV168" s="1" t="s">
        <v>512</v>
      </c>
      <c r="CY168" s="1" t="s">
        <v>438</v>
      </c>
      <c r="DP168" s="1" t="s">
        <v>2247</v>
      </c>
      <c r="DU168" s="1" t="s">
        <v>2248</v>
      </c>
      <c r="GZ168" s="1" t="s">
        <v>2247</v>
      </c>
      <c r="HA168" s="1" t="s">
        <v>2248</v>
      </c>
      <c r="NM168" s="1" t="s">
        <v>441</v>
      </c>
      <c r="NN168" s="1">
        <v>4</v>
      </c>
      <c r="NS168" s="1">
        <v>4</v>
      </c>
      <c r="NT168" s="1">
        <v>4</v>
      </c>
      <c r="OA168" s="1">
        <v>5</v>
      </c>
      <c r="OB168" s="1">
        <v>5</v>
      </c>
      <c r="OC168" s="1">
        <v>5</v>
      </c>
      <c r="OD168" s="1">
        <v>5</v>
      </c>
      <c r="SB168" s="1" t="s">
        <v>2249</v>
      </c>
      <c r="SC168" s="1" t="s">
        <v>2250</v>
      </c>
      <c r="SF168" s="1" t="s">
        <v>2251</v>
      </c>
      <c r="SG168" s="1" t="s">
        <v>2252</v>
      </c>
      <c r="SH168" s="1" t="s">
        <v>438</v>
      </c>
      <c r="SI168" s="1" t="s">
        <v>432</v>
      </c>
      <c r="SK168" s="1" t="s">
        <v>620</v>
      </c>
    </row>
    <row r="169" spans="1:508" ht="80" x14ac:dyDescent="0.2">
      <c r="A169" s="1" t="s">
        <v>2253</v>
      </c>
      <c r="B169" s="1">
        <v>10</v>
      </c>
      <c r="C169" s="1">
        <v>4</v>
      </c>
      <c r="D169" s="3">
        <v>46062.53162037037</v>
      </c>
      <c r="E169" s="1">
        <v>5198813</v>
      </c>
      <c r="F169" s="1" t="s">
        <v>428</v>
      </c>
      <c r="H169" s="1" t="s">
        <v>2254</v>
      </c>
      <c r="J169" s="1" t="s">
        <v>2255</v>
      </c>
      <c r="L169" s="1" t="s">
        <v>2256</v>
      </c>
      <c r="M169" s="1" t="s">
        <v>2256</v>
      </c>
      <c r="N169" s="1" t="s">
        <v>2257</v>
      </c>
      <c r="O169" s="1" t="s">
        <v>432</v>
      </c>
      <c r="R169" s="1" t="s">
        <v>2255</v>
      </c>
      <c r="S169" s="1" t="s">
        <v>2258</v>
      </c>
      <c r="AB169" s="3">
        <v>46062.591041666667</v>
      </c>
      <c r="AC169" s="3">
        <v>46030.529560185183</v>
      </c>
      <c r="AE169" s="1" t="s">
        <v>2259</v>
      </c>
      <c r="BB169" s="1" t="s">
        <v>2260</v>
      </c>
      <c r="CO169" s="1" t="s">
        <v>435</v>
      </c>
      <c r="CQ169" s="1" t="s">
        <v>432</v>
      </c>
      <c r="CR169" s="1" t="s">
        <v>523</v>
      </c>
      <c r="CS169" s="1" t="s">
        <v>523</v>
      </c>
      <c r="CT169" s="3">
        <v>46062.527118055557</v>
      </c>
      <c r="CU169" s="1" t="s">
        <v>436</v>
      </c>
      <c r="CV169" s="1" t="s">
        <v>512</v>
      </c>
      <c r="CY169" s="1" t="s">
        <v>438</v>
      </c>
      <c r="DP169" s="1" t="s">
        <v>2261</v>
      </c>
      <c r="DU169" s="1" t="s">
        <v>2262</v>
      </c>
      <c r="GZ169" s="1" t="s">
        <v>2261</v>
      </c>
      <c r="HA169" s="1" t="s">
        <v>2262</v>
      </c>
      <c r="NM169" s="1" t="s">
        <v>441</v>
      </c>
      <c r="NN169" s="1">
        <v>3</v>
      </c>
      <c r="NS169" s="1" t="s">
        <v>442</v>
      </c>
      <c r="NT169" s="1">
        <v>5</v>
      </c>
      <c r="OA169" s="1">
        <v>5</v>
      </c>
      <c r="OB169" s="1">
        <v>5</v>
      </c>
      <c r="OC169" s="1">
        <v>5</v>
      </c>
      <c r="OD169" s="1">
        <v>5</v>
      </c>
      <c r="SB169" s="1" t="s">
        <v>2263</v>
      </c>
      <c r="SC169" s="1" t="s">
        <v>2264</v>
      </c>
      <c r="SE169" s="1" t="s">
        <v>633</v>
      </c>
      <c r="SF169" s="1" t="s">
        <v>2265</v>
      </c>
      <c r="SG169" s="1" t="s">
        <v>2266</v>
      </c>
      <c r="SH169" s="1" t="s">
        <v>438</v>
      </c>
      <c r="SI169" s="1" t="s">
        <v>432</v>
      </c>
      <c r="SK169" s="1" t="s">
        <v>445</v>
      </c>
      <c r="SL169" s="1" t="s">
        <v>1126</v>
      </c>
      <c r="SM169" s="1" t="s">
        <v>1166</v>
      </c>
      <c r="SN169" s="1" t="s">
        <v>620</v>
      </c>
    </row>
    <row r="170" spans="1:508" ht="32" x14ac:dyDescent="0.2">
      <c r="A170" s="1" t="s">
        <v>2267</v>
      </c>
      <c r="B170" s="1">
        <v>10</v>
      </c>
      <c r="C170" s="1">
        <v>5</v>
      </c>
      <c r="D170" s="3">
        <v>46062.48265046296</v>
      </c>
      <c r="E170" s="1">
        <v>5198630</v>
      </c>
      <c r="F170" s="1" t="s">
        <v>428</v>
      </c>
      <c r="H170" s="1" t="s">
        <v>2268</v>
      </c>
      <c r="J170" s="1" t="s">
        <v>2269</v>
      </c>
      <c r="L170" s="1" t="s">
        <v>2270</v>
      </c>
      <c r="M170" s="1" t="s">
        <v>2270</v>
      </c>
      <c r="N170" s="1" t="s">
        <v>2271</v>
      </c>
      <c r="O170" s="1" t="s">
        <v>432</v>
      </c>
      <c r="R170" s="1" t="s">
        <v>2269</v>
      </c>
      <c r="S170" s="1" t="s">
        <v>2272</v>
      </c>
      <c r="AB170" s="3">
        <v>46062.578321759262</v>
      </c>
      <c r="AC170" s="3">
        <v>46062.594618055555</v>
      </c>
      <c r="AE170" s="1" t="s">
        <v>2273</v>
      </c>
      <c r="BB170" s="1" t="s">
        <v>2274</v>
      </c>
      <c r="CO170" s="1" t="s">
        <v>435</v>
      </c>
      <c r="CQ170" s="1" t="s">
        <v>432</v>
      </c>
      <c r="CR170" s="1" t="s">
        <v>523</v>
      </c>
      <c r="CS170" s="1" t="s">
        <v>523</v>
      </c>
      <c r="CT170" s="3">
        <v>46062.483263888891</v>
      </c>
      <c r="CU170" s="1" t="s">
        <v>436</v>
      </c>
      <c r="CV170" s="1" t="s">
        <v>512</v>
      </c>
      <c r="CY170" s="1" t="s">
        <v>438</v>
      </c>
      <c r="DU170" s="1" t="s">
        <v>2275</v>
      </c>
      <c r="HA170" s="1" t="s">
        <v>2275</v>
      </c>
      <c r="NM170" s="1" t="s">
        <v>441</v>
      </c>
      <c r="NN170" s="1">
        <v>5</v>
      </c>
      <c r="NS170" s="1">
        <v>5</v>
      </c>
      <c r="NT170" s="1">
        <v>5</v>
      </c>
      <c r="OA170" s="1">
        <v>5</v>
      </c>
      <c r="OB170" s="1">
        <v>5</v>
      </c>
      <c r="OC170" s="1">
        <v>5</v>
      </c>
      <c r="OD170" s="1">
        <v>5</v>
      </c>
      <c r="SB170" s="1" t="s">
        <v>443</v>
      </c>
      <c r="SC170" s="1" t="s">
        <v>2276</v>
      </c>
      <c r="SF170" s="1" t="s">
        <v>1000</v>
      </c>
      <c r="SG170" s="1" t="s">
        <v>2277</v>
      </c>
      <c r="SH170" s="1" t="s">
        <v>438</v>
      </c>
      <c r="SI170" s="1" t="s">
        <v>432</v>
      </c>
      <c r="SK170" s="1" t="s">
        <v>2278</v>
      </c>
    </row>
    <row r="171" spans="1:508" ht="32" x14ac:dyDescent="0.2">
      <c r="A171" s="1" t="s">
        <v>2279</v>
      </c>
      <c r="B171" s="1">
        <v>10</v>
      </c>
      <c r="C171" s="1">
        <v>5</v>
      </c>
      <c r="D171" s="3">
        <v>46062.422615740739</v>
      </c>
      <c r="E171" s="1">
        <v>5198345</v>
      </c>
      <c r="F171" s="1" t="s">
        <v>428</v>
      </c>
      <c r="H171" s="1" t="s">
        <v>2280</v>
      </c>
      <c r="J171" s="1" t="s">
        <v>2281</v>
      </c>
      <c r="L171" s="1" t="s">
        <v>2282</v>
      </c>
      <c r="O171" s="1" t="s">
        <v>432</v>
      </c>
      <c r="R171" s="1" t="s">
        <v>2281</v>
      </c>
      <c r="AB171" s="3">
        <v>46062.565405092595</v>
      </c>
      <c r="AC171" s="3">
        <v>46062.533865740741</v>
      </c>
      <c r="AE171" s="1" t="s">
        <v>2283</v>
      </c>
      <c r="BB171" s="1" t="s">
        <v>2284</v>
      </c>
      <c r="CO171" s="1" t="s">
        <v>435</v>
      </c>
      <c r="CQ171" s="1" t="s">
        <v>432</v>
      </c>
      <c r="CR171" s="1" t="s">
        <v>523</v>
      </c>
      <c r="CS171" s="1" t="s">
        <v>523</v>
      </c>
      <c r="CT171" s="3">
        <v>46062.422962962963</v>
      </c>
      <c r="CU171" s="1" t="s">
        <v>436</v>
      </c>
      <c r="CV171" s="1" t="s">
        <v>512</v>
      </c>
      <c r="CY171" s="1" t="s">
        <v>438</v>
      </c>
      <c r="DP171" s="1" t="s">
        <v>2285</v>
      </c>
      <c r="GZ171" s="1" t="s">
        <v>2285</v>
      </c>
      <c r="NM171" s="1" t="s">
        <v>441</v>
      </c>
      <c r="NN171" s="1">
        <v>5</v>
      </c>
      <c r="NS171" s="1" t="s">
        <v>442</v>
      </c>
      <c r="NT171" s="1">
        <v>5</v>
      </c>
      <c r="OA171" s="1">
        <v>5</v>
      </c>
      <c r="OB171" s="1">
        <v>3</v>
      </c>
      <c r="OC171" s="1">
        <v>5</v>
      </c>
      <c r="OD171" s="1">
        <v>5</v>
      </c>
      <c r="SC171" s="1" t="s">
        <v>443</v>
      </c>
      <c r="SG171" s="1" t="s">
        <v>444</v>
      </c>
      <c r="SH171" s="1" t="s">
        <v>438</v>
      </c>
      <c r="SI171" s="1" t="s">
        <v>432</v>
      </c>
      <c r="SK171" s="1" t="s">
        <v>445</v>
      </c>
    </row>
    <row r="172" spans="1:508" ht="48" x14ac:dyDescent="0.2">
      <c r="A172" s="1" t="s">
        <v>2286</v>
      </c>
      <c r="B172" s="1">
        <v>9</v>
      </c>
      <c r="C172" s="1">
        <v>5</v>
      </c>
      <c r="D172" s="3">
        <v>46061.474618055552</v>
      </c>
      <c r="E172" s="1">
        <v>5196561</v>
      </c>
      <c r="F172" s="1" t="s">
        <v>428</v>
      </c>
      <c r="H172" s="1" t="s">
        <v>2287</v>
      </c>
      <c r="J172" s="1" t="s">
        <v>2288</v>
      </c>
      <c r="L172" s="1" t="s">
        <v>2289</v>
      </c>
      <c r="M172" s="1" t="s">
        <v>2289</v>
      </c>
      <c r="N172" s="1" t="s">
        <v>664</v>
      </c>
      <c r="O172" s="1" t="s">
        <v>432</v>
      </c>
      <c r="R172" s="1" t="s">
        <v>2288</v>
      </c>
      <c r="S172" s="1" t="s">
        <v>665</v>
      </c>
      <c r="AB172" s="3">
        <v>46062.451458333337</v>
      </c>
      <c r="AC172" s="3">
        <v>46048.801041666666</v>
      </c>
      <c r="AE172" s="1" t="s">
        <v>2290</v>
      </c>
      <c r="BB172" s="1" t="s">
        <v>2291</v>
      </c>
      <c r="CO172" s="1" t="s">
        <v>435</v>
      </c>
      <c r="CQ172" s="1" t="s">
        <v>432</v>
      </c>
      <c r="CR172" s="1" t="s">
        <v>534</v>
      </c>
      <c r="CS172" s="1" t="s">
        <v>534</v>
      </c>
      <c r="CT172" s="3">
        <v>46061.473692129628</v>
      </c>
      <c r="CU172" s="1" t="s">
        <v>436</v>
      </c>
      <c r="CV172" s="1" t="s">
        <v>512</v>
      </c>
      <c r="CY172" s="1" t="s">
        <v>438</v>
      </c>
      <c r="DP172" s="1" t="s">
        <v>2292</v>
      </c>
      <c r="DU172" s="1" t="s">
        <v>682</v>
      </c>
      <c r="GZ172" s="1" t="s">
        <v>2292</v>
      </c>
      <c r="HA172" s="1" t="s">
        <v>682</v>
      </c>
      <c r="NM172" s="1" t="s">
        <v>441</v>
      </c>
      <c r="NN172" s="1">
        <v>5</v>
      </c>
      <c r="NS172" s="1">
        <v>5</v>
      </c>
      <c r="NT172" s="1">
        <v>5</v>
      </c>
      <c r="OA172" s="1">
        <v>5</v>
      </c>
      <c r="OB172" s="1" t="s">
        <v>442</v>
      </c>
      <c r="OC172" s="1">
        <v>5</v>
      </c>
      <c r="OD172" s="1">
        <v>5</v>
      </c>
      <c r="SB172" s="1" t="s">
        <v>443</v>
      </c>
      <c r="SC172" s="1" t="s">
        <v>1345</v>
      </c>
      <c r="SF172" s="1" t="s">
        <v>579</v>
      </c>
      <c r="SG172" s="1" t="s">
        <v>1347</v>
      </c>
      <c r="SH172" s="1" t="s">
        <v>438</v>
      </c>
      <c r="SI172" s="1" t="s">
        <v>438</v>
      </c>
      <c r="SK172" s="1" t="s">
        <v>854</v>
      </c>
      <c r="SL172" s="1" t="s">
        <v>2293</v>
      </c>
    </row>
    <row r="173" spans="1:508" ht="80" x14ac:dyDescent="0.2">
      <c r="A173" s="1" t="s">
        <v>2294</v>
      </c>
      <c r="B173" s="1">
        <v>10</v>
      </c>
      <c r="C173" s="1">
        <v>5</v>
      </c>
      <c r="D173" s="3">
        <v>46060.78052083333</v>
      </c>
      <c r="E173" s="1">
        <v>5195770</v>
      </c>
      <c r="F173" s="1" t="s">
        <v>428</v>
      </c>
      <c r="H173" s="1" t="s">
        <v>2295</v>
      </c>
      <c r="J173" s="1" t="s">
        <v>2296</v>
      </c>
      <c r="L173" s="1" t="s">
        <v>2297</v>
      </c>
      <c r="M173" s="1" t="s">
        <v>2297</v>
      </c>
      <c r="N173" s="1" t="s">
        <v>2298</v>
      </c>
      <c r="O173" s="1" t="s">
        <v>432</v>
      </c>
      <c r="R173" s="1" t="s">
        <v>2296</v>
      </c>
      <c r="S173" s="1" t="s">
        <v>2299</v>
      </c>
      <c r="AB173" s="3">
        <v>46062.378344907411</v>
      </c>
      <c r="AC173" s="3">
        <v>46059.535995370374</v>
      </c>
      <c r="AE173" s="1" t="s">
        <v>2300</v>
      </c>
      <c r="BB173" s="1" t="s">
        <v>2301</v>
      </c>
      <c r="CO173" s="1" t="s">
        <v>435</v>
      </c>
      <c r="CQ173" s="1" t="s">
        <v>432</v>
      </c>
      <c r="CR173" s="1" t="s">
        <v>511</v>
      </c>
      <c r="CS173" s="1" t="s">
        <v>511</v>
      </c>
      <c r="CT173" s="3">
        <v>46060.777569444443</v>
      </c>
      <c r="CU173" s="1" t="s">
        <v>436</v>
      </c>
      <c r="CV173" s="1" t="s">
        <v>512</v>
      </c>
      <c r="CY173" s="1" t="s">
        <v>438</v>
      </c>
      <c r="DP173" s="1" t="s">
        <v>2302</v>
      </c>
      <c r="DU173" s="1" t="s">
        <v>2303</v>
      </c>
      <c r="GZ173" s="1" t="s">
        <v>2302</v>
      </c>
      <c r="HA173" s="1" t="s">
        <v>2303</v>
      </c>
      <c r="NM173" s="1" t="s">
        <v>441</v>
      </c>
      <c r="NN173" s="1">
        <v>4</v>
      </c>
      <c r="NS173" s="1">
        <v>5</v>
      </c>
      <c r="NT173" s="1">
        <v>5</v>
      </c>
      <c r="OA173" s="1">
        <v>5</v>
      </c>
      <c r="OB173" s="1">
        <v>5</v>
      </c>
      <c r="OC173" s="1">
        <v>5</v>
      </c>
      <c r="OD173" s="1">
        <v>5</v>
      </c>
      <c r="SB173" s="1" t="s">
        <v>1672</v>
      </c>
      <c r="SC173" s="1" t="s">
        <v>704</v>
      </c>
      <c r="SF173" s="1" t="s">
        <v>2304</v>
      </c>
      <c r="SG173" s="1" t="s">
        <v>2305</v>
      </c>
      <c r="SH173" s="1" t="s">
        <v>438</v>
      </c>
      <c r="SI173" s="1" t="s">
        <v>432</v>
      </c>
      <c r="SK173" s="1" t="s">
        <v>1546</v>
      </c>
      <c r="SL173" s="1" t="s">
        <v>672</v>
      </c>
      <c r="SM173" s="1" t="s">
        <v>540</v>
      </c>
      <c r="SN173" s="1" t="s">
        <v>569</v>
      </c>
    </row>
    <row r="174" spans="1:508" ht="32" x14ac:dyDescent="0.2">
      <c r="A174" s="1" t="s">
        <v>2306</v>
      </c>
      <c r="B174" s="1">
        <v>10</v>
      </c>
      <c r="C174" s="1">
        <v>5</v>
      </c>
      <c r="D174" s="3">
        <v>46060.704988425925</v>
      </c>
      <c r="E174" s="1">
        <v>5195731</v>
      </c>
      <c r="F174" s="1" t="s">
        <v>428</v>
      </c>
      <c r="H174" s="1" t="s">
        <v>2307</v>
      </c>
      <c r="J174" s="1" t="s">
        <v>2308</v>
      </c>
      <c r="L174" s="1" t="s">
        <v>2309</v>
      </c>
      <c r="M174" s="1" t="s">
        <v>2309</v>
      </c>
      <c r="N174" s="1" t="s">
        <v>859</v>
      </c>
      <c r="O174" s="1" t="s">
        <v>432</v>
      </c>
      <c r="R174" s="1" t="s">
        <v>2308</v>
      </c>
      <c r="S174" s="1" t="s">
        <v>860</v>
      </c>
      <c r="AB174" s="3">
        <v>46062.376712962963</v>
      </c>
      <c r="AC174" s="3">
        <v>46059.534895833334</v>
      </c>
      <c r="AE174" s="1" t="s">
        <v>2310</v>
      </c>
      <c r="BB174" s="1" t="s">
        <v>2311</v>
      </c>
      <c r="CO174" s="1" t="s">
        <v>435</v>
      </c>
      <c r="CQ174" s="1" t="s">
        <v>432</v>
      </c>
      <c r="CR174" s="1" t="s">
        <v>511</v>
      </c>
      <c r="CS174" s="1" t="s">
        <v>511</v>
      </c>
      <c r="CT174" s="3">
        <v>46060.704930555556</v>
      </c>
      <c r="CU174" s="1" t="s">
        <v>436</v>
      </c>
      <c r="CV174" s="1" t="s">
        <v>512</v>
      </c>
      <c r="CY174" s="1" t="s">
        <v>438</v>
      </c>
      <c r="DP174" s="1" t="s">
        <v>2312</v>
      </c>
      <c r="DU174" s="1" t="s">
        <v>2313</v>
      </c>
      <c r="GZ174" s="1" t="s">
        <v>2312</v>
      </c>
      <c r="HA174" s="1" t="s">
        <v>2313</v>
      </c>
      <c r="NM174" s="1" t="s">
        <v>441</v>
      </c>
      <c r="NN174" s="1">
        <v>4</v>
      </c>
      <c r="NS174" s="1">
        <v>5</v>
      </c>
      <c r="NT174" s="1">
        <v>5</v>
      </c>
      <c r="OA174" s="1">
        <v>5</v>
      </c>
      <c r="OB174" s="1">
        <v>5</v>
      </c>
      <c r="OC174" s="1">
        <v>5</v>
      </c>
      <c r="OD174" s="1">
        <v>4</v>
      </c>
      <c r="SB174" s="1" t="s">
        <v>1816</v>
      </c>
      <c r="SC174" s="1" t="s">
        <v>1114</v>
      </c>
      <c r="SF174" s="1" t="s">
        <v>2314</v>
      </c>
      <c r="SG174" s="1" t="s">
        <v>2315</v>
      </c>
      <c r="SH174" s="1" t="s">
        <v>438</v>
      </c>
      <c r="SI174" s="1" t="s">
        <v>432</v>
      </c>
      <c r="SK174" s="1" t="s">
        <v>445</v>
      </c>
      <c r="SL174" s="1" t="s">
        <v>1166</v>
      </c>
      <c r="SM174" s="1" t="s">
        <v>540</v>
      </c>
    </row>
    <row r="175" spans="1:508" ht="32" x14ac:dyDescent="0.2">
      <c r="A175" s="1" t="s">
        <v>2316</v>
      </c>
      <c r="B175" s="1">
        <v>10</v>
      </c>
      <c r="C175" s="1">
        <v>5</v>
      </c>
      <c r="D175" s="3">
        <v>46060.362523148149</v>
      </c>
      <c r="E175" s="1">
        <v>5195516</v>
      </c>
      <c r="F175" s="1" t="s">
        <v>428</v>
      </c>
      <c r="H175" s="1" t="s">
        <v>2317</v>
      </c>
      <c r="J175" s="1" t="s">
        <v>2318</v>
      </c>
      <c r="L175" s="1" t="s">
        <v>2319</v>
      </c>
      <c r="M175" s="1" t="s">
        <v>2319</v>
      </c>
      <c r="N175" s="1" t="s">
        <v>2320</v>
      </c>
      <c r="O175" s="1" t="s">
        <v>438</v>
      </c>
      <c r="R175" s="1" t="s">
        <v>2318</v>
      </c>
      <c r="S175" s="1" t="s">
        <v>2321</v>
      </c>
      <c r="AB175" s="3">
        <v>46062.3671875</v>
      </c>
      <c r="AC175" s="3">
        <v>46059.536678240744</v>
      </c>
      <c r="AE175" s="1" t="s">
        <v>2322</v>
      </c>
      <c r="BB175" s="1" t="s">
        <v>2323</v>
      </c>
      <c r="CO175" s="1" t="s">
        <v>435</v>
      </c>
      <c r="CQ175" s="1" t="s">
        <v>432</v>
      </c>
      <c r="CR175" s="1" t="s">
        <v>511</v>
      </c>
      <c r="CS175" s="1" t="s">
        <v>511</v>
      </c>
      <c r="CT175" s="3">
        <v>46060.36178240741</v>
      </c>
      <c r="CU175" s="1" t="s">
        <v>436</v>
      </c>
      <c r="CV175" s="1" t="s">
        <v>512</v>
      </c>
      <c r="CY175" s="1" t="s">
        <v>438</v>
      </c>
      <c r="DP175" s="1" t="s">
        <v>2324</v>
      </c>
      <c r="DU175" s="1" t="s">
        <v>440</v>
      </c>
      <c r="GZ175" s="1" t="s">
        <v>2324</v>
      </c>
      <c r="HA175" s="1" t="s">
        <v>440</v>
      </c>
      <c r="NM175" s="1" t="s">
        <v>441</v>
      </c>
      <c r="NN175" s="1">
        <v>5</v>
      </c>
      <c r="NS175" s="1">
        <v>5</v>
      </c>
      <c r="NT175" s="1">
        <v>5</v>
      </c>
      <c r="OA175" s="1">
        <v>5</v>
      </c>
      <c r="OB175" s="1">
        <v>5</v>
      </c>
      <c r="OC175" s="1">
        <v>5</v>
      </c>
      <c r="OD175" s="1">
        <v>5</v>
      </c>
      <c r="SC175" s="1" t="s">
        <v>1035</v>
      </c>
      <c r="SG175" s="1" t="s">
        <v>1036</v>
      </c>
      <c r="SH175" s="1" t="s">
        <v>438</v>
      </c>
      <c r="SI175" s="1" t="s">
        <v>432</v>
      </c>
      <c r="SK175" s="1" t="s">
        <v>2325</v>
      </c>
    </row>
    <row r="176" spans="1:508" ht="48" x14ac:dyDescent="0.2">
      <c r="A176" s="1" t="s">
        <v>2326</v>
      </c>
      <c r="B176" s="1">
        <v>10</v>
      </c>
      <c r="C176" s="1">
        <v>5</v>
      </c>
      <c r="D176" s="3">
        <v>46060.012800925928</v>
      </c>
      <c r="E176" s="1">
        <v>5195351</v>
      </c>
      <c r="F176" s="1" t="s">
        <v>428</v>
      </c>
      <c r="H176" s="1" t="s">
        <v>2327</v>
      </c>
      <c r="J176" s="1" t="s">
        <v>2328</v>
      </c>
      <c r="L176" s="1" t="s">
        <v>2329</v>
      </c>
      <c r="M176" s="1" t="s">
        <v>2330</v>
      </c>
      <c r="N176" s="1" t="s">
        <v>2331</v>
      </c>
      <c r="O176" s="1" t="s">
        <v>432</v>
      </c>
      <c r="R176" s="1" t="s">
        <v>2328</v>
      </c>
      <c r="S176" s="1" t="s">
        <v>2332</v>
      </c>
      <c r="AB176" s="3">
        <v>46062.361458333333</v>
      </c>
      <c r="AC176" s="3">
        <v>46059.536157407405</v>
      </c>
      <c r="AE176" s="1" t="s">
        <v>2333</v>
      </c>
      <c r="BB176" s="1" t="s">
        <v>2334</v>
      </c>
      <c r="CO176" s="1" t="s">
        <v>435</v>
      </c>
      <c r="CQ176" s="1" t="s">
        <v>432</v>
      </c>
      <c r="CR176" s="1" t="s">
        <v>511</v>
      </c>
      <c r="CS176" s="1" t="s">
        <v>511</v>
      </c>
      <c r="CT176" s="3">
        <v>46060.011041666665</v>
      </c>
      <c r="CU176" s="1" t="s">
        <v>436</v>
      </c>
      <c r="CV176" s="1" t="s">
        <v>512</v>
      </c>
      <c r="CY176" s="1" t="s">
        <v>438</v>
      </c>
      <c r="DP176" s="1" t="s">
        <v>2335</v>
      </c>
      <c r="DU176" s="1" t="s">
        <v>2336</v>
      </c>
      <c r="GZ176" s="1" t="s">
        <v>2335</v>
      </c>
      <c r="HA176" s="1" t="s">
        <v>2336</v>
      </c>
      <c r="NM176" s="1" t="s">
        <v>441</v>
      </c>
      <c r="NN176" s="1">
        <v>3</v>
      </c>
      <c r="NS176" s="1" t="s">
        <v>442</v>
      </c>
      <c r="NT176" s="1">
        <v>5</v>
      </c>
      <c r="OA176" s="1">
        <v>5</v>
      </c>
      <c r="OB176" s="1">
        <v>5</v>
      </c>
      <c r="OC176" s="1">
        <v>5</v>
      </c>
      <c r="OD176" s="1">
        <v>4</v>
      </c>
      <c r="SC176" s="1" t="s">
        <v>646</v>
      </c>
      <c r="SG176" s="1" t="s">
        <v>647</v>
      </c>
      <c r="SH176" s="1" t="s">
        <v>438</v>
      </c>
      <c r="SI176" s="1" t="s">
        <v>438</v>
      </c>
      <c r="SK176" s="1" t="s">
        <v>568</v>
      </c>
      <c r="SL176" s="1" t="s">
        <v>620</v>
      </c>
    </row>
    <row r="177" spans="1:507" ht="48" x14ac:dyDescent="0.2">
      <c r="A177" s="1" t="s">
        <v>2337</v>
      </c>
      <c r="B177" s="1">
        <v>10</v>
      </c>
      <c r="C177" s="1">
        <v>5</v>
      </c>
      <c r="D177" s="3">
        <v>46059.613877314812</v>
      </c>
      <c r="E177" s="1">
        <v>5194707</v>
      </c>
      <c r="F177" s="1" t="s">
        <v>428</v>
      </c>
      <c r="H177" s="1" t="s">
        <v>2338</v>
      </c>
      <c r="J177" s="1" t="s">
        <v>2339</v>
      </c>
      <c r="L177" s="1" t="s">
        <v>2340</v>
      </c>
      <c r="O177" s="1" t="s">
        <v>432</v>
      </c>
      <c r="R177" s="1" t="s">
        <v>2339</v>
      </c>
      <c r="AB177" s="3">
        <v>46062.343726851854</v>
      </c>
      <c r="AC177" s="3">
        <v>46058.537743055553</v>
      </c>
      <c r="AE177" s="1" t="s">
        <v>2341</v>
      </c>
      <c r="BB177" s="1" t="s">
        <v>2342</v>
      </c>
      <c r="CO177" s="1" t="s">
        <v>435</v>
      </c>
      <c r="CQ177" s="1" t="s">
        <v>432</v>
      </c>
      <c r="CR177" s="1" t="s">
        <v>511</v>
      </c>
      <c r="CS177" s="1" t="s">
        <v>511</v>
      </c>
      <c r="CT177" s="3">
        <v>46059.614918981482</v>
      </c>
      <c r="CU177" s="1" t="s">
        <v>436</v>
      </c>
      <c r="CV177" s="1" t="s">
        <v>512</v>
      </c>
      <c r="CY177" s="1" t="s">
        <v>438</v>
      </c>
      <c r="DP177" s="1" t="s">
        <v>2343</v>
      </c>
      <c r="DU177" s="1" t="s">
        <v>2219</v>
      </c>
      <c r="GZ177" s="1" t="s">
        <v>2343</v>
      </c>
      <c r="HA177" s="1" t="s">
        <v>2219</v>
      </c>
      <c r="NM177" s="1" t="s">
        <v>441</v>
      </c>
      <c r="NN177" s="1">
        <v>3</v>
      </c>
      <c r="NS177" s="1">
        <v>5</v>
      </c>
      <c r="NT177" s="1">
        <v>5</v>
      </c>
      <c r="OA177" s="1">
        <v>5</v>
      </c>
      <c r="OB177" s="1">
        <v>5</v>
      </c>
      <c r="OC177" s="1">
        <v>5</v>
      </c>
      <c r="OD177" s="1">
        <v>5</v>
      </c>
      <c r="SB177" s="1" t="s">
        <v>843</v>
      </c>
      <c r="SC177" s="1" t="s">
        <v>646</v>
      </c>
      <c r="SF177" s="1" t="s">
        <v>2220</v>
      </c>
      <c r="SG177" s="1" t="s">
        <v>647</v>
      </c>
      <c r="SH177" s="1" t="s">
        <v>438</v>
      </c>
      <c r="SI177" s="1" t="s">
        <v>438</v>
      </c>
      <c r="SK177" s="1" t="s">
        <v>568</v>
      </c>
      <c r="SL177" s="1" t="s">
        <v>620</v>
      </c>
    </row>
    <row r="178" spans="1:507" ht="64" x14ac:dyDescent="0.2">
      <c r="A178" s="1" t="s">
        <v>2344</v>
      </c>
      <c r="B178" s="1">
        <v>10</v>
      </c>
      <c r="C178" s="1">
        <v>4</v>
      </c>
      <c r="D178" s="3">
        <v>46059.598483796297</v>
      </c>
      <c r="E178" s="1">
        <v>5194558</v>
      </c>
      <c r="F178" s="1" t="s">
        <v>428</v>
      </c>
      <c r="H178" s="1" t="s">
        <v>2345</v>
      </c>
      <c r="J178" s="1" t="s">
        <v>2346</v>
      </c>
      <c r="L178" s="1" t="s">
        <v>2347</v>
      </c>
      <c r="N178" s="1" t="s">
        <v>2348</v>
      </c>
      <c r="O178" s="1" t="s">
        <v>432</v>
      </c>
      <c r="R178" s="1" t="s">
        <v>2346</v>
      </c>
      <c r="S178" s="1" t="s">
        <v>2349</v>
      </c>
      <c r="AB178" s="3">
        <v>46062.336875000001</v>
      </c>
      <c r="AC178" s="3">
        <v>46059.535173611112</v>
      </c>
      <c r="AE178" s="1" t="s">
        <v>2350</v>
      </c>
      <c r="BB178" s="1" t="s">
        <v>2351</v>
      </c>
      <c r="CO178" s="1" t="s">
        <v>435</v>
      </c>
      <c r="CQ178" s="1" t="s">
        <v>432</v>
      </c>
      <c r="CR178" s="1" t="s">
        <v>511</v>
      </c>
      <c r="CS178" s="1" t="s">
        <v>511</v>
      </c>
      <c r="CT178" s="3">
        <v>46059.581400462965</v>
      </c>
      <c r="CU178" s="1" t="s">
        <v>436</v>
      </c>
      <c r="CV178" s="1" t="s">
        <v>512</v>
      </c>
      <c r="CY178" s="1" t="s">
        <v>438</v>
      </c>
      <c r="DP178" s="1" t="s">
        <v>2352</v>
      </c>
      <c r="DU178" s="1" t="s">
        <v>2353</v>
      </c>
      <c r="GZ178" s="1" t="s">
        <v>2352</v>
      </c>
      <c r="HA178" s="1" t="s">
        <v>2353</v>
      </c>
      <c r="NM178" s="1" t="s">
        <v>441</v>
      </c>
      <c r="NN178" s="1">
        <v>5</v>
      </c>
      <c r="NS178" s="1">
        <v>4</v>
      </c>
      <c r="NT178" s="1">
        <v>4</v>
      </c>
      <c r="OA178" s="1">
        <v>4</v>
      </c>
      <c r="OB178" s="1">
        <v>4</v>
      </c>
      <c r="OC178" s="1">
        <v>5</v>
      </c>
      <c r="OD178" s="1">
        <v>3</v>
      </c>
      <c r="SB178" s="1" t="s">
        <v>615</v>
      </c>
      <c r="SC178" s="1" t="s">
        <v>1332</v>
      </c>
      <c r="SF178" s="1" t="s">
        <v>844</v>
      </c>
      <c r="SG178" s="1" t="s">
        <v>2354</v>
      </c>
      <c r="SH178" s="1" t="s">
        <v>438</v>
      </c>
      <c r="SI178" s="1" t="s">
        <v>438</v>
      </c>
      <c r="SK178" s="1" t="s">
        <v>500</v>
      </c>
      <c r="SL178" s="1" t="s">
        <v>540</v>
      </c>
      <c r="SM178" s="1" t="s">
        <v>787</v>
      </c>
    </row>
    <row r="179" spans="1:507" ht="48" x14ac:dyDescent="0.2">
      <c r="A179" s="1" t="s">
        <v>2355</v>
      </c>
      <c r="B179" s="1">
        <v>10</v>
      </c>
      <c r="C179" s="1">
        <v>5</v>
      </c>
      <c r="D179" s="3">
        <v>46059.531273148146</v>
      </c>
      <c r="E179" s="1">
        <v>5194414</v>
      </c>
      <c r="F179" s="1" t="s">
        <v>428</v>
      </c>
      <c r="H179" s="1" t="s">
        <v>2356</v>
      </c>
      <c r="J179" s="1" t="s">
        <v>2357</v>
      </c>
      <c r="L179" s="1" t="s">
        <v>2358</v>
      </c>
      <c r="M179" s="1" t="s">
        <v>2358</v>
      </c>
      <c r="N179" s="1" t="s">
        <v>491</v>
      </c>
      <c r="O179" s="1" t="s">
        <v>432</v>
      </c>
      <c r="R179" s="1" t="s">
        <v>2357</v>
      </c>
      <c r="S179" s="1" t="s">
        <v>492</v>
      </c>
      <c r="AB179" s="3">
        <v>46062.436377314814</v>
      </c>
      <c r="AC179" s="3">
        <v>46059.639421296299</v>
      </c>
      <c r="AE179" s="1" t="s">
        <v>2359</v>
      </c>
      <c r="BB179" s="1" t="s">
        <v>2360</v>
      </c>
      <c r="CO179" s="1" t="s">
        <v>435</v>
      </c>
      <c r="CQ179" s="1" t="s">
        <v>432</v>
      </c>
      <c r="CR179" s="1" t="s">
        <v>534</v>
      </c>
      <c r="CS179" s="1" t="s">
        <v>534</v>
      </c>
      <c r="CT179" s="3">
        <v>46059.531400462962</v>
      </c>
      <c r="CU179" s="1" t="s">
        <v>436</v>
      </c>
      <c r="CV179" s="1" t="s">
        <v>512</v>
      </c>
      <c r="CY179" s="1" t="s">
        <v>438</v>
      </c>
      <c r="DP179" s="1" t="s">
        <v>2361</v>
      </c>
      <c r="DU179" s="1" t="s">
        <v>482</v>
      </c>
      <c r="GZ179" s="1" t="s">
        <v>2361</v>
      </c>
      <c r="HA179" s="1" t="s">
        <v>482</v>
      </c>
      <c r="NM179" s="1" t="s">
        <v>441</v>
      </c>
      <c r="NN179" s="1">
        <v>5</v>
      </c>
      <c r="NS179" s="1">
        <v>5</v>
      </c>
      <c r="NT179" s="1">
        <v>5</v>
      </c>
      <c r="OA179" s="1">
        <v>5</v>
      </c>
      <c r="OB179" s="1">
        <v>5</v>
      </c>
      <c r="OC179" s="1">
        <v>5</v>
      </c>
      <c r="OD179" s="1">
        <v>5</v>
      </c>
      <c r="SB179" s="1" t="s">
        <v>843</v>
      </c>
      <c r="SC179" s="1" t="s">
        <v>646</v>
      </c>
      <c r="SF179" s="1" t="s">
        <v>2362</v>
      </c>
      <c r="SG179" s="1" t="s">
        <v>1254</v>
      </c>
      <c r="SH179" s="1" t="s">
        <v>438</v>
      </c>
      <c r="SI179" s="1" t="s">
        <v>438</v>
      </c>
      <c r="SK179" s="1" t="s">
        <v>760</v>
      </c>
      <c r="SL179" s="1" t="s">
        <v>619</v>
      </c>
      <c r="SM179" s="1" t="s">
        <v>2363</v>
      </c>
    </row>
    <row r="180" spans="1:507" ht="32" x14ac:dyDescent="0.2">
      <c r="A180" s="1" t="s">
        <v>2364</v>
      </c>
      <c r="B180" s="1">
        <v>10</v>
      </c>
      <c r="C180" s="1">
        <v>5</v>
      </c>
      <c r="D180" s="3">
        <v>46059.524699074071</v>
      </c>
      <c r="E180" s="1">
        <v>5194383</v>
      </c>
      <c r="F180" s="1" t="s">
        <v>428</v>
      </c>
      <c r="H180" s="1" t="s">
        <v>2365</v>
      </c>
      <c r="J180" s="1" t="s">
        <v>2366</v>
      </c>
      <c r="L180" s="1" t="s">
        <v>2367</v>
      </c>
      <c r="N180" s="1" t="s">
        <v>2368</v>
      </c>
      <c r="O180" s="1" t="s">
        <v>438</v>
      </c>
      <c r="R180" s="1" t="s">
        <v>2366</v>
      </c>
      <c r="S180" s="1" t="s">
        <v>2369</v>
      </c>
      <c r="AB180" s="3">
        <v>46062.433958333335</v>
      </c>
      <c r="AC180" s="3">
        <v>46059.53628472222</v>
      </c>
      <c r="AE180" s="1" t="s">
        <v>2370</v>
      </c>
      <c r="BB180" s="1" t="s">
        <v>2371</v>
      </c>
      <c r="CO180" s="1" t="s">
        <v>435</v>
      </c>
      <c r="CQ180" s="1" t="s">
        <v>432</v>
      </c>
      <c r="CR180" s="1" t="s">
        <v>534</v>
      </c>
      <c r="CS180" s="1" t="s">
        <v>534</v>
      </c>
      <c r="CT180" s="3">
        <v>46059.523668981485</v>
      </c>
      <c r="CU180" s="1" t="s">
        <v>436</v>
      </c>
      <c r="CV180" s="1" t="s">
        <v>512</v>
      </c>
      <c r="CY180" s="1" t="s">
        <v>438</v>
      </c>
      <c r="DP180" s="1" t="s">
        <v>2372</v>
      </c>
      <c r="DU180" s="1" t="s">
        <v>2373</v>
      </c>
      <c r="GZ180" s="1" t="s">
        <v>2372</v>
      </c>
      <c r="HA180" s="1" t="s">
        <v>2373</v>
      </c>
      <c r="NM180" s="1" t="s">
        <v>441</v>
      </c>
      <c r="NN180" s="1" t="s">
        <v>442</v>
      </c>
      <c r="NS180" s="1" t="s">
        <v>442</v>
      </c>
      <c r="NT180" s="1" t="s">
        <v>442</v>
      </c>
      <c r="OA180" s="1" t="s">
        <v>442</v>
      </c>
      <c r="OB180" s="1" t="s">
        <v>442</v>
      </c>
      <c r="OC180" s="1" t="s">
        <v>442</v>
      </c>
      <c r="OD180" s="1" t="s">
        <v>442</v>
      </c>
      <c r="SB180" s="1" t="s">
        <v>1958</v>
      </c>
      <c r="SC180" s="1" t="s">
        <v>773</v>
      </c>
      <c r="SF180" s="1" t="s">
        <v>2374</v>
      </c>
      <c r="SG180" s="1" t="s">
        <v>786</v>
      </c>
      <c r="SH180" s="1" t="s">
        <v>438</v>
      </c>
      <c r="SI180" s="1" t="s">
        <v>438</v>
      </c>
      <c r="SK180" s="1" t="s">
        <v>787</v>
      </c>
    </row>
    <row r="181" spans="1:507" ht="32" x14ac:dyDescent="0.2">
      <c r="A181" s="1" t="s">
        <v>2375</v>
      </c>
      <c r="B181" s="1">
        <v>10</v>
      </c>
      <c r="C181" s="1">
        <v>5</v>
      </c>
      <c r="D181" s="3">
        <v>46059.512569444443</v>
      </c>
      <c r="E181" s="1">
        <v>5194342</v>
      </c>
      <c r="F181" s="1" t="s">
        <v>428</v>
      </c>
      <c r="H181" s="1" t="s">
        <v>2376</v>
      </c>
      <c r="J181" s="1" t="s">
        <v>2377</v>
      </c>
      <c r="L181" s="1" t="s">
        <v>2378</v>
      </c>
      <c r="O181" s="1" t="s">
        <v>432</v>
      </c>
      <c r="R181" s="1" t="s">
        <v>2377</v>
      </c>
      <c r="AB181" s="3">
        <v>46062.560659722221</v>
      </c>
      <c r="AC181" s="3">
        <v>46059.53696759259</v>
      </c>
      <c r="AE181" s="1" t="s">
        <v>2379</v>
      </c>
      <c r="BB181" s="1" t="s">
        <v>2380</v>
      </c>
      <c r="CO181" s="1" t="s">
        <v>435</v>
      </c>
      <c r="CQ181" s="1" t="s">
        <v>432</v>
      </c>
      <c r="CR181" s="1" t="s">
        <v>523</v>
      </c>
      <c r="CS181" s="1" t="s">
        <v>523</v>
      </c>
      <c r="CT181" s="3">
        <v>46059.513101851851</v>
      </c>
      <c r="CU181" s="1" t="s">
        <v>436</v>
      </c>
      <c r="CV181" s="1" t="s">
        <v>512</v>
      </c>
      <c r="CY181" s="1" t="s">
        <v>438</v>
      </c>
      <c r="DP181" s="1" t="s">
        <v>2381</v>
      </c>
      <c r="DU181" s="1" t="s">
        <v>2382</v>
      </c>
      <c r="GZ181" s="1" t="s">
        <v>2381</v>
      </c>
      <c r="HA181" s="1" t="s">
        <v>2382</v>
      </c>
      <c r="NM181" s="1" t="s">
        <v>441</v>
      </c>
      <c r="NN181" s="1">
        <v>5</v>
      </c>
      <c r="NS181" s="1">
        <v>5</v>
      </c>
      <c r="NT181" s="1">
        <v>5</v>
      </c>
      <c r="OA181" s="1">
        <v>5</v>
      </c>
      <c r="OB181" s="1">
        <v>5</v>
      </c>
      <c r="OC181" s="1">
        <v>5</v>
      </c>
      <c r="OD181" s="1">
        <v>5</v>
      </c>
      <c r="SB181" s="1" t="s">
        <v>443</v>
      </c>
      <c r="SC181" s="1" t="s">
        <v>443</v>
      </c>
      <c r="SF181" s="1" t="s">
        <v>444</v>
      </c>
      <c r="SG181" s="1" t="s">
        <v>444</v>
      </c>
      <c r="SH181" s="1" t="s">
        <v>432</v>
      </c>
      <c r="SI181" s="1" t="s">
        <v>432</v>
      </c>
      <c r="SK181" s="1" t="s">
        <v>445</v>
      </c>
    </row>
    <row r="182" spans="1:507" ht="32" x14ac:dyDescent="0.2">
      <c r="A182" s="1" t="s">
        <v>2383</v>
      </c>
      <c r="B182" s="1">
        <v>10</v>
      </c>
      <c r="C182" s="1">
        <v>5</v>
      </c>
      <c r="D182" s="3">
        <v>46059.50371527778</v>
      </c>
      <c r="E182" s="1">
        <v>5194313</v>
      </c>
      <c r="F182" s="1" t="s">
        <v>428</v>
      </c>
      <c r="H182" s="1" t="s">
        <v>2384</v>
      </c>
      <c r="J182" s="1" t="s">
        <v>2385</v>
      </c>
      <c r="L182" s="1" t="s">
        <v>2386</v>
      </c>
      <c r="M182" s="1" t="s">
        <v>2387</v>
      </c>
      <c r="N182" s="1" t="s">
        <v>2388</v>
      </c>
      <c r="O182" s="1" t="s">
        <v>432</v>
      </c>
      <c r="R182" s="1" t="s">
        <v>2385</v>
      </c>
      <c r="S182" s="1" t="s">
        <v>2389</v>
      </c>
      <c r="AB182" s="3">
        <v>46062.557881944442</v>
      </c>
      <c r="AC182" s="3">
        <v>46059.538194444445</v>
      </c>
      <c r="AE182" s="1" t="s">
        <v>2390</v>
      </c>
      <c r="BB182" s="1" t="s">
        <v>2391</v>
      </c>
      <c r="CO182" s="1" t="s">
        <v>435</v>
      </c>
      <c r="CQ182" s="1" t="s">
        <v>432</v>
      </c>
      <c r="CR182" s="1" t="s">
        <v>523</v>
      </c>
      <c r="CS182" s="1" t="s">
        <v>523</v>
      </c>
      <c r="CT182" s="3">
        <v>46059.503553240742</v>
      </c>
      <c r="CU182" s="1" t="s">
        <v>436</v>
      </c>
      <c r="CV182" s="1" t="s">
        <v>512</v>
      </c>
      <c r="CY182" s="1" t="s">
        <v>438</v>
      </c>
      <c r="DP182" s="1" t="s">
        <v>2392</v>
      </c>
      <c r="GZ182" s="1" t="s">
        <v>2392</v>
      </c>
      <c r="NM182" s="1" t="s">
        <v>441</v>
      </c>
      <c r="NN182" s="1">
        <v>4</v>
      </c>
      <c r="NS182" s="1">
        <v>5</v>
      </c>
      <c r="NT182" s="1">
        <v>5</v>
      </c>
      <c r="OA182" s="1">
        <v>5</v>
      </c>
      <c r="OB182" s="1">
        <v>5</v>
      </c>
      <c r="OC182" s="1">
        <v>5</v>
      </c>
      <c r="OD182" s="1">
        <v>5</v>
      </c>
      <c r="SB182" s="1" t="s">
        <v>2393</v>
      </c>
      <c r="SC182" s="1" t="s">
        <v>2394</v>
      </c>
      <c r="SF182" s="1" t="s">
        <v>2395</v>
      </c>
      <c r="SG182" s="1" t="s">
        <v>2396</v>
      </c>
      <c r="SH182" s="1" t="s">
        <v>438</v>
      </c>
      <c r="SI182" s="1" t="s">
        <v>432</v>
      </c>
      <c r="SK182" s="1" t="s">
        <v>486</v>
      </c>
    </row>
    <row r="183" spans="1:507" ht="80" x14ac:dyDescent="0.2">
      <c r="A183" s="1" t="s">
        <v>2397</v>
      </c>
      <c r="B183" s="1">
        <v>10</v>
      </c>
      <c r="C183" s="1">
        <v>5</v>
      </c>
      <c r="D183" s="3">
        <v>46059.446875000001</v>
      </c>
      <c r="E183" s="1">
        <v>5194070</v>
      </c>
      <c r="F183" s="1" t="s">
        <v>428</v>
      </c>
      <c r="H183" s="1" t="s">
        <v>2398</v>
      </c>
      <c r="J183" s="1" t="s">
        <v>2399</v>
      </c>
      <c r="L183" s="1" t="s">
        <v>2400</v>
      </c>
      <c r="M183" s="1" t="s">
        <v>2400</v>
      </c>
      <c r="N183" s="1" t="s">
        <v>724</v>
      </c>
      <c r="O183" s="1" t="s">
        <v>432</v>
      </c>
      <c r="R183" s="1" t="s">
        <v>2399</v>
      </c>
      <c r="S183" s="1" t="s">
        <v>725</v>
      </c>
      <c r="AB183" s="3">
        <v>46062.621770833335</v>
      </c>
      <c r="AC183" s="3">
        <v>46058.536782407406</v>
      </c>
      <c r="AE183" s="1" t="s">
        <v>2401</v>
      </c>
      <c r="BB183" s="1" t="s">
        <v>2402</v>
      </c>
      <c r="CO183" s="1" t="s">
        <v>435</v>
      </c>
      <c r="CQ183" s="1" t="s">
        <v>432</v>
      </c>
      <c r="CR183" s="1" t="s">
        <v>852</v>
      </c>
      <c r="CS183" s="1" t="s">
        <v>852</v>
      </c>
      <c r="CT183" s="3">
        <v>46059.446412037039</v>
      </c>
      <c r="CU183" s="1" t="s">
        <v>436</v>
      </c>
      <c r="CV183" s="1" t="s">
        <v>512</v>
      </c>
      <c r="CY183" s="1" t="s">
        <v>438</v>
      </c>
      <c r="DP183" s="1" t="s">
        <v>2403</v>
      </c>
      <c r="GZ183" s="1" t="s">
        <v>2403</v>
      </c>
      <c r="NM183" s="1" t="s">
        <v>441</v>
      </c>
      <c r="NN183" s="1">
        <v>3</v>
      </c>
      <c r="NS183" s="1">
        <v>5</v>
      </c>
      <c r="NT183" s="1">
        <v>5</v>
      </c>
      <c r="OA183" s="1">
        <v>5</v>
      </c>
      <c r="OB183" s="1">
        <v>5</v>
      </c>
      <c r="OC183" s="1">
        <v>5</v>
      </c>
      <c r="OD183" s="1">
        <v>5</v>
      </c>
      <c r="SB183" s="1" t="s">
        <v>1114</v>
      </c>
      <c r="SC183" s="1" t="s">
        <v>1114</v>
      </c>
      <c r="SF183" s="1" t="s">
        <v>1452</v>
      </c>
      <c r="SG183" s="1" t="s">
        <v>1452</v>
      </c>
      <c r="SH183" s="1" t="s">
        <v>432</v>
      </c>
      <c r="SI183" s="1" t="s">
        <v>432</v>
      </c>
      <c r="SK183" s="1" t="s">
        <v>760</v>
      </c>
      <c r="SL183" s="1" t="s">
        <v>2404</v>
      </c>
    </row>
    <row r="184" spans="1:507" ht="64" x14ac:dyDescent="0.2">
      <c r="A184" s="1" t="s">
        <v>2405</v>
      </c>
      <c r="B184" s="1">
        <v>10</v>
      </c>
      <c r="C184" s="1">
        <v>5</v>
      </c>
      <c r="D184" s="3">
        <v>46059.443923611114</v>
      </c>
      <c r="E184" s="1">
        <v>5194060</v>
      </c>
      <c r="F184" s="1" t="s">
        <v>428</v>
      </c>
      <c r="H184" s="1" t="s">
        <v>2406</v>
      </c>
      <c r="J184" s="1" t="s">
        <v>2407</v>
      </c>
      <c r="L184" s="1" t="s">
        <v>2408</v>
      </c>
      <c r="O184" s="1" t="s">
        <v>432</v>
      </c>
      <c r="R184" s="1" t="s">
        <v>2407</v>
      </c>
      <c r="AB184" s="3">
        <v>46062.621099537035</v>
      </c>
      <c r="AC184" s="3">
        <v>46059.536134259259</v>
      </c>
      <c r="AE184" s="1" t="s">
        <v>2409</v>
      </c>
      <c r="BB184" s="1" t="s">
        <v>2410</v>
      </c>
      <c r="CO184" s="1" t="s">
        <v>435</v>
      </c>
      <c r="CQ184" s="1" t="s">
        <v>432</v>
      </c>
      <c r="CR184" s="1" t="s">
        <v>852</v>
      </c>
      <c r="CS184" s="1" t="s">
        <v>852</v>
      </c>
      <c r="CT184" s="3">
        <v>46059.443356481483</v>
      </c>
      <c r="CU184" s="1" t="s">
        <v>436</v>
      </c>
      <c r="CV184" s="1" t="s">
        <v>512</v>
      </c>
      <c r="CY184" s="1" t="s">
        <v>438</v>
      </c>
      <c r="DP184" s="1" t="s">
        <v>2411</v>
      </c>
      <c r="DU184" s="1" t="s">
        <v>2412</v>
      </c>
      <c r="GZ184" s="1" t="s">
        <v>2411</v>
      </c>
      <c r="HA184" s="1" t="s">
        <v>2412</v>
      </c>
      <c r="NM184" s="1" t="s">
        <v>441</v>
      </c>
      <c r="NN184" s="1">
        <v>5</v>
      </c>
      <c r="NS184" s="1">
        <v>5</v>
      </c>
      <c r="NT184" s="1">
        <v>5</v>
      </c>
      <c r="OA184" s="1">
        <v>5</v>
      </c>
      <c r="OB184" s="1">
        <v>5</v>
      </c>
      <c r="OC184" s="1">
        <v>5</v>
      </c>
      <c r="OD184" s="1">
        <v>5</v>
      </c>
      <c r="SB184" s="1" t="s">
        <v>843</v>
      </c>
      <c r="SC184" s="1" t="s">
        <v>646</v>
      </c>
      <c r="SF184" s="1" t="s">
        <v>845</v>
      </c>
      <c r="SG184" s="1" t="s">
        <v>1254</v>
      </c>
      <c r="SH184" s="1" t="s">
        <v>438</v>
      </c>
      <c r="SI184" s="1" t="s">
        <v>432</v>
      </c>
      <c r="SK184" s="1" t="s">
        <v>568</v>
      </c>
      <c r="SL184" s="1" t="s">
        <v>672</v>
      </c>
    </row>
    <row r="185" spans="1:507" ht="48" x14ac:dyDescent="0.2">
      <c r="A185" s="1" t="s">
        <v>2413</v>
      </c>
      <c r="B185" s="1">
        <v>10</v>
      </c>
      <c r="C185" s="1">
        <v>5</v>
      </c>
      <c r="D185" s="3">
        <v>46059.438240740739</v>
      </c>
      <c r="E185" s="1">
        <v>5194035</v>
      </c>
      <c r="F185" s="1" t="s">
        <v>428</v>
      </c>
      <c r="H185" s="1" t="s">
        <v>2414</v>
      </c>
      <c r="J185" s="1" t="s">
        <v>2415</v>
      </c>
      <c r="L185" s="1" t="s">
        <v>2416</v>
      </c>
      <c r="N185" s="1" t="s">
        <v>2417</v>
      </c>
      <c r="O185" s="1" t="s">
        <v>438</v>
      </c>
      <c r="R185" s="1" t="s">
        <v>2415</v>
      </c>
      <c r="S185" s="1" t="s">
        <v>2418</v>
      </c>
      <c r="AB185" s="3">
        <v>46062.434537037036</v>
      </c>
      <c r="AC185" s="3">
        <v>46058.536944444444</v>
      </c>
      <c r="AE185" s="1" t="s">
        <v>2419</v>
      </c>
      <c r="BB185" s="1" t="s">
        <v>2420</v>
      </c>
      <c r="CO185" s="1" t="s">
        <v>435</v>
      </c>
      <c r="CQ185" s="1" t="s">
        <v>432</v>
      </c>
      <c r="CR185" s="1" t="s">
        <v>852</v>
      </c>
      <c r="CS185" s="1" t="s">
        <v>852</v>
      </c>
      <c r="CT185" s="3">
        <v>46059.437280092592</v>
      </c>
      <c r="CU185" s="1" t="s">
        <v>436</v>
      </c>
      <c r="CV185" s="1" t="s">
        <v>512</v>
      </c>
      <c r="CY185" s="1" t="s">
        <v>438</v>
      </c>
      <c r="DP185" s="1" t="s">
        <v>2421</v>
      </c>
      <c r="DU185" s="1" t="s">
        <v>2422</v>
      </c>
      <c r="GZ185" s="1" t="s">
        <v>2421</v>
      </c>
      <c r="HA185" s="1" t="s">
        <v>2422</v>
      </c>
      <c r="NM185" s="1" t="s">
        <v>441</v>
      </c>
      <c r="NN185" s="1">
        <v>4</v>
      </c>
      <c r="NS185" s="1">
        <v>5</v>
      </c>
      <c r="NT185" s="1">
        <v>5</v>
      </c>
      <c r="OA185" s="1">
        <v>5</v>
      </c>
      <c r="OB185" s="1">
        <v>5</v>
      </c>
      <c r="OC185" s="1">
        <v>5</v>
      </c>
      <c r="OD185" s="1">
        <v>4</v>
      </c>
      <c r="SC185" s="1" t="s">
        <v>773</v>
      </c>
      <c r="SG185" s="1" t="s">
        <v>775</v>
      </c>
      <c r="SH185" s="1" t="s">
        <v>438</v>
      </c>
      <c r="SI185" s="1" t="s">
        <v>432</v>
      </c>
      <c r="SK185" s="1" t="s">
        <v>445</v>
      </c>
      <c r="SL185" s="1" t="s">
        <v>2423</v>
      </c>
    </row>
    <row r="186" spans="1:507" ht="48" x14ac:dyDescent="0.2">
      <c r="A186" s="1" t="s">
        <v>2424</v>
      </c>
      <c r="B186" s="1">
        <v>10</v>
      </c>
      <c r="C186" s="1">
        <v>5</v>
      </c>
      <c r="D186" s="3">
        <v>46059.436076388891</v>
      </c>
      <c r="E186" s="1">
        <v>5194023</v>
      </c>
      <c r="F186" s="1" t="s">
        <v>428</v>
      </c>
      <c r="H186" s="1" t="s">
        <v>2425</v>
      </c>
      <c r="J186" s="1" t="s">
        <v>2426</v>
      </c>
      <c r="L186" s="1" t="s">
        <v>2427</v>
      </c>
      <c r="M186" s="1" t="s">
        <v>2427</v>
      </c>
      <c r="N186" s="1" t="s">
        <v>1457</v>
      </c>
      <c r="O186" s="1" t="s">
        <v>432</v>
      </c>
      <c r="R186" s="1" t="s">
        <v>2426</v>
      </c>
      <c r="S186" s="1" t="s">
        <v>1458</v>
      </c>
      <c r="AB186" s="3">
        <v>46062.433032407411</v>
      </c>
      <c r="AC186" s="3">
        <v>46059.536597222221</v>
      </c>
      <c r="AE186" s="1" t="s">
        <v>2428</v>
      </c>
      <c r="BB186" s="1" t="s">
        <v>2429</v>
      </c>
      <c r="CO186" s="1" t="s">
        <v>435</v>
      </c>
      <c r="CQ186" s="1" t="s">
        <v>432</v>
      </c>
      <c r="CR186" s="1" t="s">
        <v>852</v>
      </c>
      <c r="CS186" s="1" t="s">
        <v>852</v>
      </c>
      <c r="CT186" s="3">
        <v>46059.43509259259</v>
      </c>
      <c r="CU186" s="1" t="s">
        <v>436</v>
      </c>
      <c r="CV186" s="1" t="s">
        <v>512</v>
      </c>
      <c r="CY186" s="1" t="s">
        <v>438</v>
      </c>
      <c r="DP186" s="1" t="s">
        <v>2430</v>
      </c>
      <c r="DU186" s="1" t="s">
        <v>2431</v>
      </c>
      <c r="GZ186" s="1" t="s">
        <v>2430</v>
      </c>
      <c r="HA186" s="1" t="s">
        <v>2431</v>
      </c>
      <c r="NM186" s="1" t="s">
        <v>441</v>
      </c>
      <c r="NN186" s="1">
        <v>5</v>
      </c>
      <c r="NS186" s="1">
        <v>5</v>
      </c>
      <c r="NT186" s="1">
        <v>5</v>
      </c>
      <c r="OA186" s="1">
        <v>5</v>
      </c>
      <c r="OB186" s="1">
        <v>5</v>
      </c>
      <c r="OC186" s="1">
        <v>5</v>
      </c>
      <c r="OD186" s="1">
        <v>5</v>
      </c>
      <c r="SC186" s="1" t="s">
        <v>443</v>
      </c>
      <c r="SG186" s="1" t="s">
        <v>444</v>
      </c>
      <c r="SH186" s="1" t="s">
        <v>438</v>
      </c>
      <c r="SI186" s="1" t="s">
        <v>432</v>
      </c>
      <c r="SK186" s="1" t="s">
        <v>568</v>
      </c>
      <c r="SL186" s="1" t="s">
        <v>2108</v>
      </c>
    </row>
    <row r="187" spans="1:507" ht="32" x14ac:dyDescent="0.2">
      <c r="A187" s="1" t="s">
        <v>2432</v>
      </c>
      <c r="B187" s="1">
        <v>9</v>
      </c>
      <c r="C187" s="1">
        <v>5</v>
      </c>
      <c r="D187" s="3">
        <v>46059.418692129628</v>
      </c>
      <c r="E187" s="1">
        <v>5193936</v>
      </c>
      <c r="F187" s="1" t="s">
        <v>428</v>
      </c>
      <c r="H187" s="1" t="s">
        <v>2433</v>
      </c>
      <c r="J187" s="1" t="s">
        <v>2434</v>
      </c>
      <c r="L187" s="1" t="s">
        <v>2435</v>
      </c>
      <c r="O187" s="1" t="s">
        <v>432</v>
      </c>
      <c r="R187" s="1" t="s">
        <v>2434</v>
      </c>
      <c r="AB187" s="3">
        <v>46062.425381944442</v>
      </c>
      <c r="AC187" s="3">
        <v>46059.535520833335</v>
      </c>
      <c r="AE187" s="1" t="s">
        <v>2436</v>
      </c>
      <c r="BB187" s="1" t="s">
        <v>2437</v>
      </c>
      <c r="CO187" s="1" t="s">
        <v>435</v>
      </c>
      <c r="CQ187" s="1" t="s">
        <v>432</v>
      </c>
      <c r="CR187" s="1" t="s">
        <v>852</v>
      </c>
      <c r="CS187" s="1" t="s">
        <v>852</v>
      </c>
      <c r="CT187" s="3">
        <v>46059.418530092589</v>
      </c>
      <c r="CU187" s="1" t="s">
        <v>436</v>
      </c>
      <c r="CV187" s="1" t="s">
        <v>512</v>
      </c>
      <c r="CY187" s="1" t="s">
        <v>438</v>
      </c>
      <c r="DU187" s="1" t="s">
        <v>2438</v>
      </c>
      <c r="HA187" s="1" t="s">
        <v>2438</v>
      </c>
      <c r="NM187" s="1" t="s">
        <v>441</v>
      </c>
      <c r="NN187" s="1">
        <v>3</v>
      </c>
      <c r="NS187" s="1">
        <v>5</v>
      </c>
      <c r="NT187" s="1">
        <v>4</v>
      </c>
      <c r="OA187" s="1">
        <v>4</v>
      </c>
      <c r="OB187" s="1">
        <v>4</v>
      </c>
      <c r="OC187" s="1">
        <v>5</v>
      </c>
      <c r="OD187" s="1">
        <v>5</v>
      </c>
      <c r="SB187" s="1" t="s">
        <v>646</v>
      </c>
      <c r="SC187" s="1" t="s">
        <v>1696</v>
      </c>
      <c r="SF187" s="1" t="s">
        <v>1949</v>
      </c>
      <c r="SG187" s="1" t="s">
        <v>2068</v>
      </c>
      <c r="SH187" s="1" t="s">
        <v>438</v>
      </c>
      <c r="SI187" s="1" t="s">
        <v>432</v>
      </c>
      <c r="SK187" s="1" t="s">
        <v>620</v>
      </c>
    </row>
    <row r="188" spans="1:507" ht="80" x14ac:dyDescent="0.2">
      <c r="A188" s="1" t="s">
        <v>2439</v>
      </c>
      <c r="B188" s="1">
        <v>10</v>
      </c>
      <c r="C188" s="1">
        <v>5</v>
      </c>
      <c r="D188" s="3">
        <v>46059.264479166668</v>
      </c>
      <c r="E188" s="1">
        <v>5193460</v>
      </c>
      <c r="F188" s="1" t="s">
        <v>428</v>
      </c>
      <c r="H188" s="1" t="s">
        <v>2440</v>
      </c>
      <c r="J188" s="1" t="s">
        <v>2441</v>
      </c>
      <c r="L188" s="1" t="s">
        <v>2442</v>
      </c>
      <c r="O188" s="1" t="s">
        <v>432</v>
      </c>
      <c r="R188" s="1" t="s">
        <v>2441</v>
      </c>
      <c r="AB188" s="3">
        <v>46059.359710648147</v>
      </c>
      <c r="AC188" s="3">
        <v>46057.682314814818</v>
      </c>
      <c r="AE188" s="1" t="s">
        <v>2443</v>
      </c>
      <c r="BB188" s="1" t="s">
        <v>2444</v>
      </c>
      <c r="CO188" s="1" t="s">
        <v>435</v>
      </c>
      <c r="CQ188" s="1" t="s">
        <v>432</v>
      </c>
      <c r="CR188" s="1" t="s">
        <v>852</v>
      </c>
      <c r="CS188" s="1" t="s">
        <v>852</v>
      </c>
      <c r="CT188" s="3">
        <v>46059.248194444444</v>
      </c>
      <c r="CU188" s="1" t="s">
        <v>436</v>
      </c>
      <c r="CV188" s="1" t="s">
        <v>512</v>
      </c>
      <c r="CY188" s="1" t="s">
        <v>438</v>
      </c>
      <c r="DP188" s="1" t="s">
        <v>2445</v>
      </c>
      <c r="DU188" s="1" t="s">
        <v>2446</v>
      </c>
      <c r="GZ188" s="1" t="s">
        <v>2445</v>
      </c>
      <c r="HA188" s="1" t="s">
        <v>2446</v>
      </c>
      <c r="NM188" s="1" t="s">
        <v>441</v>
      </c>
      <c r="NN188" s="1">
        <v>5</v>
      </c>
      <c r="NS188" s="1">
        <v>5</v>
      </c>
      <c r="NT188" s="1">
        <v>5</v>
      </c>
      <c r="OA188" s="1">
        <v>5</v>
      </c>
      <c r="OB188" s="1">
        <v>5</v>
      </c>
      <c r="OC188" s="1">
        <v>5</v>
      </c>
      <c r="OD188" s="1">
        <v>5</v>
      </c>
      <c r="SB188" s="1" t="s">
        <v>443</v>
      </c>
      <c r="SC188" s="1" t="s">
        <v>443</v>
      </c>
      <c r="SF188" s="1" t="s">
        <v>1000</v>
      </c>
      <c r="SG188" s="1" t="s">
        <v>865</v>
      </c>
      <c r="SH188" s="1" t="s">
        <v>438</v>
      </c>
      <c r="SI188" s="1" t="s">
        <v>438</v>
      </c>
      <c r="SK188" s="1" t="s">
        <v>445</v>
      </c>
      <c r="SL188" s="1" t="s">
        <v>736</v>
      </c>
    </row>
    <row r="189" spans="1:507" ht="80" x14ac:dyDescent="0.2">
      <c r="A189" s="1" t="s">
        <v>2447</v>
      </c>
      <c r="B189" s="1">
        <v>10</v>
      </c>
      <c r="C189" s="1">
        <v>5</v>
      </c>
      <c r="D189" s="3">
        <v>46058.86550925926</v>
      </c>
      <c r="E189" s="1">
        <v>5193022</v>
      </c>
      <c r="F189" s="1" t="s">
        <v>428</v>
      </c>
      <c r="H189" s="1" t="s">
        <v>2448</v>
      </c>
      <c r="J189" s="1" t="s">
        <v>2449</v>
      </c>
      <c r="L189" s="1" t="s">
        <v>2450</v>
      </c>
      <c r="O189" s="1" t="s">
        <v>432</v>
      </c>
      <c r="R189" s="1" t="s">
        <v>2449</v>
      </c>
      <c r="AB189" s="3">
        <v>46059.420173611114</v>
      </c>
      <c r="AC189" s="3">
        <v>46058.852106481485</v>
      </c>
      <c r="AE189" s="1" t="s">
        <v>2451</v>
      </c>
      <c r="BB189" s="1" t="s">
        <v>2452</v>
      </c>
      <c r="CO189" s="1" t="s">
        <v>435</v>
      </c>
      <c r="CQ189" s="1" t="s">
        <v>432</v>
      </c>
      <c r="CR189" s="1" t="s">
        <v>495</v>
      </c>
      <c r="CS189" s="1" t="s">
        <v>495</v>
      </c>
      <c r="CT189" s="3">
        <v>46058.859432870369</v>
      </c>
      <c r="CU189" s="1" t="s">
        <v>436</v>
      </c>
      <c r="CV189" s="1" t="s">
        <v>512</v>
      </c>
      <c r="CY189" s="1" t="s">
        <v>438</v>
      </c>
      <c r="DP189" s="1" t="s">
        <v>2453</v>
      </c>
      <c r="GZ189" s="1" t="s">
        <v>2453</v>
      </c>
      <c r="NM189" s="1" t="s">
        <v>441</v>
      </c>
      <c r="NN189" s="1">
        <v>4</v>
      </c>
      <c r="NS189" s="1">
        <v>5</v>
      </c>
      <c r="NT189" s="1">
        <v>5</v>
      </c>
      <c r="OA189" s="1">
        <v>5</v>
      </c>
      <c r="OB189" s="1">
        <v>5</v>
      </c>
      <c r="OC189" s="1">
        <v>5</v>
      </c>
      <c r="OD189" s="1">
        <v>5</v>
      </c>
      <c r="SC189" s="1" t="s">
        <v>2454</v>
      </c>
      <c r="SE189" s="1" t="s">
        <v>633</v>
      </c>
      <c r="SG189" s="1" t="s">
        <v>2455</v>
      </c>
      <c r="SH189" s="1" t="s">
        <v>438</v>
      </c>
      <c r="SI189" s="1" t="s">
        <v>438</v>
      </c>
      <c r="SK189" s="1" t="s">
        <v>1989</v>
      </c>
      <c r="SL189" s="1" t="s">
        <v>486</v>
      </c>
    </row>
    <row r="190" spans="1:507" ht="48" x14ac:dyDescent="0.2">
      <c r="A190" s="1" t="s">
        <v>2456</v>
      </c>
      <c r="B190" s="1">
        <v>9</v>
      </c>
      <c r="C190" s="1">
        <v>4</v>
      </c>
      <c r="D190" s="3">
        <v>46058.687013888892</v>
      </c>
      <c r="E190" s="1">
        <v>5192415</v>
      </c>
      <c r="F190" s="1" t="s">
        <v>428</v>
      </c>
      <c r="H190" s="1" t="s">
        <v>2457</v>
      </c>
      <c r="J190" s="1" t="s">
        <v>2458</v>
      </c>
      <c r="L190" s="1" t="s">
        <v>2459</v>
      </c>
      <c r="M190" s="1" t="s">
        <v>2459</v>
      </c>
      <c r="N190" s="1" t="s">
        <v>2460</v>
      </c>
      <c r="O190" s="1" t="s">
        <v>432</v>
      </c>
      <c r="R190" s="1" t="s">
        <v>2458</v>
      </c>
      <c r="S190" s="1" t="s">
        <v>2461</v>
      </c>
      <c r="AB190" s="3">
        <v>46059.453194444446</v>
      </c>
      <c r="AC190" s="3">
        <v>46057.534629629627</v>
      </c>
      <c r="AE190" s="1" t="s">
        <v>2462</v>
      </c>
      <c r="BB190" s="1" t="s">
        <v>2463</v>
      </c>
      <c r="CO190" s="1" t="s">
        <v>435</v>
      </c>
      <c r="CQ190" s="1" t="s">
        <v>432</v>
      </c>
      <c r="CR190" s="1" t="s">
        <v>511</v>
      </c>
      <c r="CS190" s="1" t="s">
        <v>511</v>
      </c>
      <c r="CT190" s="3">
        <v>46058.685162037036</v>
      </c>
      <c r="CU190" s="1" t="s">
        <v>436</v>
      </c>
      <c r="CV190" s="1" t="s">
        <v>512</v>
      </c>
      <c r="CY190" s="1" t="s">
        <v>438</v>
      </c>
      <c r="DP190" s="1" t="s">
        <v>2464</v>
      </c>
      <c r="DU190" s="1" t="s">
        <v>2465</v>
      </c>
      <c r="GZ190" s="1" t="s">
        <v>2464</v>
      </c>
      <c r="HA190" s="1" t="s">
        <v>2465</v>
      </c>
      <c r="NM190" s="1" t="s">
        <v>441</v>
      </c>
      <c r="NN190" s="1">
        <v>5</v>
      </c>
      <c r="NS190" s="1">
        <v>4</v>
      </c>
      <c r="NT190" s="1">
        <v>4</v>
      </c>
      <c r="OA190" s="1">
        <v>5</v>
      </c>
      <c r="OB190" s="1">
        <v>4</v>
      </c>
      <c r="OC190" s="1">
        <v>5</v>
      </c>
      <c r="OD190" s="1">
        <v>5</v>
      </c>
      <c r="SB190" s="1" t="s">
        <v>2466</v>
      </c>
      <c r="SC190" s="1" t="s">
        <v>2467</v>
      </c>
      <c r="SF190" s="1" t="s">
        <v>2468</v>
      </c>
      <c r="SG190" s="1" t="s">
        <v>2469</v>
      </c>
      <c r="SH190" s="1" t="s">
        <v>438</v>
      </c>
      <c r="SI190" s="1" t="s">
        <v>432</v>
      </c>
      <c r="SK190" s="1" t="s">
        <v>672</v>
      </c>
      <c r="SL190" s="1" t="s">
        <v>540</v>
      </c>
    </row>
    <row r="191" spans="1:507" ht="32" x14ac:dyDescent="0.2">
      <c r="A191" s="1" t="s">
        <v>2470</v>
      </c>
      <c r="B191" s="1">
        <v>9</v>
      </c>
      <c r="C191" s="1">
        <v>4</v>
      </c>
      <c r="D191" s="3">
        <v>46058.669652777775</v>
      </c>
      <c r="E191" s="1">
        <v>5192373</v>
      </c>
      <c r="F191" s="1" t="s">
        <v>428</v>
      </c>
      <c r="H191" s="1" t="s">
        <v>2471</v>
      </c>
      <c r="J191" s="1" t="s">
        <v>2472</v>
      </c>
      <c r="L191" s="1" t="s">
        <v>2473</v>
      </c>
      <c r="M191" s="1" t="s">
        <v>2473</v>
      </c>
      <c r="N191" s="1" t="s">
        <v>1832</v>
      </c>
      <c r="O191" s="1" t="s">
        <v>432</v>
      </c>
      <c r="R191" s="1" t="s">
        <v>2472</v>
      </c>
      <c r="S191" s="1" t="s">
        <v>1833</v>
      </c>
      <c r="AB191" s="3">
        <v>46059.450752314813</v>
      </c>
      <c r="AC191" s="3">
        <v>46058.537592592591</v>
      </c>
      <c r="AE191" s="1" t="s">
        <v>2474</v>
      </c>
      <c r="BB191" s="1" t="s">
        <v>2475</v>
      </c>
      <c r="CO191" s="1" t="s">
        <v>435</v>
      </c>
      <c r="CQ191" s="1" t="s">
        <v>432</v>
      </c>
      <c r="CR191" s="1" t="s">
        <v>511</v>
      </c>
      <c r="CS191" s="1" t="s">
        <v>511</v>
      </c>
      <c r="CT191" s="3">
        <v>46058.669641203705</v>
      </c>
      <c r="CU191" s="1" t="s">
        <v>436</v>
      </c>
      <c r="CV191" s="1" t="s">
        <v>512</v>
      </c>
      <c r="CY191" s="1" t="s">
        <v>438</v>
      </c>
      <c r="DP191" s="1" t="s">
        <v>2476</v>
      </c>
      <c r="DU191" s="1" t="s">
        <v>874</v>
      </c>
      <c r="GZ191" s="1" t="s">
        <v>2476</v>
      </c>
      <c r="HA191" s="1" t="s">
        <v>874</v>
      </c>
      <c r="NM191" s="1" t="s">
        <v>441</v>
      </c>
      <c r="NN191" s="1">
        <v>5</v>
      </c>
      <c r="NS191" s="1">
        <v>5</v>
      </c>
      <c r="NT191" s="1">
        <v>5</v>
      </c>
      <c r="OA191" s="1">
        <v>5</v>
      </c>
      <c r="OB191" s="1">
        <v>5</v>
      </c>
      <c r="OC191" s="1">
        <v>5</v>
      </c>
      <c r="OD191" s="1">
        <v>5</v>
      </c>
      <c r="SB191" s="1" t="s">
        <v>443</v>
      </c>
      <c r="SC191" s="1" t="s">
        <v>443</v>
      </c>
      <c r="SF191" s="1" t="s">
        <v>444</v>
      </c>
      <c r="SG191" s="1" t="s">
        <v>444</v>
      </c>
      <c r="SH191" s="1" t="s">
        <v>432</v>
      </c>
      <c r="SI191" s="1" t="s">
        <v>432</v>
      </c>
      <c r="SK191" s="1" t="s">
        <v>445</v>
      </c>
    </row>
    <row r="192" spans="1:507" ht="64" x14ac:dyDescent="0.2">
      <c r="A192" s="1" t="s">
        <v>2477</v>
      </c>
      <c r="B192" s="1">
        <v>10</v>
      </c>
      <c r="C192" s="1">
        <v>5</v>
      </c>
      <c r="D192" s="3">
        <v>46058.639062499999</v>
      </c>
      <c r="E192" s="1">
        <v>5192241</v>
      </c>
      <c r="F192" s="1" t="s">
        <v>428</v>
      </c>
      <c r="H192" s="1" t="s">
        <v>2478</v>
      </c>
      <c r="J192" s="1" t="s">
        <v>2479</v>
      </c>
      <c r="L192" s="1" t="s">
        <v>2480</v>
      </c>
      <c r="M192" s="1" t="s">
        <v>2480</v>
      </c>
      <c r="N192" s="1" t="s">
        <v>2481</v>
      </c>
      <c r="O192" s="1" t="s">
        <v>432</v>
      </c>
      <c r="R192" s="1" t="s">
        <v>2479</v>
      </c>
      <c r="S192" s="1" t="s">
        <v>2482</v>
      </c>
      <c r="AB192" s="3">
        <v>46059.442708333336</v>
      </c>
      <c r="AC192" s="3">
        <v>46058.53634259259</v>
      </c>
      <c r="AE192" s="1" t="s">
        <v>2483</v>
      </c>
      <c r="BB192" s="1" t="s">
        <v>2484</v>
      </c>
      <c r="CO192" s="1" t="s">
        <v>435</v>
      </c>
      <c r="CQ192" s="1" t="s">
        <v>432</v>
      </c>
      <c r="CR192" s="1" t="s">
        <v>511</v>
      </c>
      <c r="CS192" s="1" t="s">
        <v>511</v>
      </c>
      <c r="CT192" s="3">
        <v>46058.63753472222</v>
      </c>
      <c r="CU192" s="1" t="s">
        <v>436</v>
      </c>
      <c r="CV192" s="1" t="s">
        <v>512</v>
      </c>
      <c r="CY192" s="1" t="s">
        <v>438</v>
      </c>
      <c r="DP192" s="1" t="s">
        <v>2485</v>
      </c>
      <c r="DU192" s="1" t="s">
        <v>2486</v>
      </c>
      <c r="GZ192" s="1" t="s">
        <v>2485</v>
      </c>
      <c r="HA192" s="1" t="s">
        <v>2486</v>
      </c>
      <c r="NM192" s="1" t="s">
        <v>441</v>
      </c>
      <c r="NN192" s="1">
        <v>4</v>
      </c>
      <c r="NS192" s="1">
        <v>5</v>
      </c>
      <c r="NT192" s="1">
        <v>5</v>
      </c>
      <c r="OA192" s="1">
        <v>5</v>
      </c>
      <c r="OB192" s="1" t="s">
        <v>442</v>
      </c>
      <c r="OC192" s="1">
        <v>5</v>
      </c>
      <c r="OD192" s="1">
        <v>5</v>
      </c>
      <c r="SB192" s="1" t="s">
        <v>2487</v>
      </c>
      <c r="SC192" s="1" t="s">
        <v>2488</v>
      </c>
      <c r="SF192" s="1" t="s">
        <v>2489</v>
      </c>
      <c r="SG192" s="1" t="s">
        <v>2490</v>
      </c>
      <c r="SH192" s="1" t="s">
        <v>438</v>
      </c>
      <c r="SI192" s="1" t="s">
        <v>438</v>
      </c>
      <c r="SK192" s="1" t="s">
        <v>568</v>
      </c>
      <c r="SL192" s="1" t="s">
        <v>928</v>
      </c>
    </row>
    <row r="193" spans="1:508" ht="48" x14ac:dyDescent="0.2">
      <c r="A193" s="1" t="s">
        <v>2491</v>
      </c>
      <c r="B193" s="1">
        <v>10</v>
      </c>
      <c r="C193" s="1">
        <v>5</v>
      </c>
      <c r="D193" s="3">
        <v>46058.600636574076</v>
      </c>
      <c r="E193" s="1">
        <v>5192099</v>
      </c>
      <c r="F193" s="1" t="s">
        <v>428</v>
      </c>
      <c r="H193" s="1" t="s">
        <v>2492</v>
      </c>
      <c r="J193" s="1" t="s">
        <v>2493</v>
      </c>
      <c r="L193" s="1" t="s">
        <v>2494</v>
      </c>
      <c r="M193" s="1" t="s">
        <v>2494</v>
      </c>
      <c r="N193" s="1" t="s">
        <v>2460</v>
      </c>
      <c r="O193" s="1" t="s">
        <v>432</v>
      </c>
      <c r="R193" s="1" t="s">
        <v>2493</v>
      </c>
      <c r="S193" s="1" t="s">
        <v>2461</v>
      </c>
      <c r="AB193" s="3">
        <v>46059.380162037036</v>
      </c>
      <c r="AC193" s="3">
        <v>46058.682743055557</v>
      </c>
      <c r="AE193" s="1" t="s">
        <v>2495</v>
      </c>
      <c r="BB193" s="1" t="s">
        <v>2496</v>
      </c>
      <c r="CO193" s="1" t="s">
        <v>435</v>
      </c>
      <c r="CQ193" s="1" t="s">
        <v>432</v>
      </c>
      <c r="CR193" s="1" t="s">
        <v>523</v>
      </c>
      <c r="CS193" s="1" t="s">
        <v>523</v>
      </c>
      <c r="CT193" s="3">
        <v>46058.599166666667</v>
      </c>
      <c r="CU193" s="1" t="s">
        <v>436</v>
      </c>
      <c r="CV193" s="1" t="s">
        <v>512</v>
      </c>
      <c r="CY193" s="1" t="s">
        <v>438</v>
      </c>
      <c r="DP193" s="1" t="s">
        <v>2497</v>
      </c>
      <c r="DU193" s="1" t="s">
        <v>2498</v>
      </c>
      <c r="GZ193" s="1" t="s">
        <v>2497</v>
      </c>
      <c r="HA193" s="1" t="s">
        <v>2498</v>
      </c>
      <c r="NM193" s="1" t="s">
        <v>441</v>
      </c>
      <c r="NN193" s="1">
        <v>5</v>
      </c>
      <c r="NS193" s="1">
        <v>5</v>
      </c>
      <c r="NT193" s="1">
        <v>5</v>
      </c>
      <c r="OA193" s="1">
        <v>4</v>
      </c>
      <c r="OB193" s="1">
        <v>5</v>
      </c>
      <c r="OC193" s="1">
        <v>5</v>
      </c>
      <c r="OD193" s="1">
        <v>3</v>
      </c>
      <c r="SC193" s="1" t="s">
        <v>443</v>
      </c>
      <c r="SG193" s="1" t="s">
        <v>444</v>
      </c>
      <c r="SH193" s="1" t="s">
        <v>438</v>
      </c>
      <c r="SI193" s="1" t="s">
        <v>438</v>
      </c>
      <c r="SK193" s="1" t="s">
        <v>568</v>
      </c>
      <c r="SL193" s="1" t="s">
        <v>1166</v>
      </c>
    </row>
    <row r="194" spans="1:508" ht="96" x14ac:dyDescent="0.2">
      <c r="A194" s="1" t="s">
        <v>2499</v>
      </c>
      <c r="B194" s="1">
        <v>9</v>
      </c>
      <c r="C194" s="1">
        <v>4</v>
      </c>
      <c r="D194" s="3">
        <v>46058.562256944446</v>
      </c>
      <c r="E194" s="1">
        <v>5191912</v>
      </c>
      <c r="F194" s="1" t="s">
        <v>428</v>
      </c>
      <c r="H194" s="1" t="s">
        <v>2500</v>
      </c>
      <c r="J194" s="1" t="s">
        <v>2501</v>
      </c>
      <c r="L194" s="1" t="s">
        <v>2502</v>
      </c>
      <c r="O194" s="1" t="s">
        <v>432</v>
      </c>
      <c r="R194" s="1" t="s">
        <v>2501</v>
      </c>
      <c r="AB194" s="3">
        <v>46063.5312037037</v>
      </c>
      <c r="AC194" s="3">
        <v>46058.538599537038</v>
      </c>
      <c r="AE194" s="1" t="s">
        <v>2503</v>
      </c>
      <c r="BB194" s="1" t="s">
        <v>2504</v>
      </c>
      <c r="CO194" s="1" t="s">
        <v>435</v>
      </c>
      <c r="CQ194" s="1" t="s">
        <v>432</v>
      </c>
      <c r="CR194" s="1" t="s">
        <v>2066</v>
      </c>
      <c r="CS194" s="1" t="s">
        <v>729</v>
      </c>
      <c r="CT194" s="3">
        <v>46058.571238425924</v>
      </c>
      <c r="CU194" s="1" t="s">
        <v>436</v>
      </c>
      <c r="CV194" s="1" t="s">
        <v>512</v>
      </c>
      <c r="CW194" s="3">
        <v>46063.531157407408</v>
      </c>
      <c r="CX194" s="1" t="s">
        <v>1057</v>
      </c>
      <c r="CY194" s="1" t="s">
        <v>438</v>
      </c>
      <c r="DP194" s="1" t="s">
        <v>2505</v>
      </c>
      <c r="DU194" s="1" t="s">
        <v>2506</v>
      </c>
      <c r="GZ194" s="1" t="s">
        <v>2505</v>
      </c>
      <c r="HA194" s="1" t="s">
        <v>2506</v>
      </c>
      <c r="NM194" s="1" t="s">
        <v>441</v>
      </c>
      <c r="NN194" s="1">
        <v>4</v>
      </c>
      <c r="NS194" s="1">
        <v>5</v>
      </c>
      <c r="NT194" s="1">
        <v>5</v>
      </c>
      <c r="OA194" s="1">
        <v>4</v>
      </c>
      <c r="OB194" s="1">
        <v>3</v>
      </c>
      <c r="OC194" s="1">
        <v>4</v>
      </c>
      <c r="OD194" s="1">
        <v>3</v>
      </c>
      <c r="SB194" s="1" t="s">
        <v>2507</v>
      </c>
      <c r="SC194" s="1" t="s">
        <v>2508</v>
      </c>
      <c r="SF194" s="1" t="s">
        <v>2509</v>
      </c>
      <c r="SG194" s="1" t="s">
        <v>2510</v>
      </c>
      <c r="SH194" s="1" t="s">
        <v>438</v>
      </c>
      <c r="SI194" s="1" t="s">
        <v>432</v>
      </c>
      <c r="SK194" s="1" t="s">
        <v>445</v>
      </c>
      <c r="SL194" s="1" t="s">
        <v>540</v>
      </c>
      <c r="SM194" s="1" t="s">
        <v>1060</v>
      </c>
      <c r="SN194" s="1" t="s">
        <v>2141</v>
      </c>
    </row>
    <row r="195" spans="1:508" ht="48" x14ac:dyDescent="0.2">
      <c r="A195" s="1" t="s">
        <v>2511</v>
      </c>
      <c r="B195" s="1">
        <v>10</v>
      </c>
      <c r="C195" s="1">
        <v>5</v>
      </c>
      <c r="D195" s="3">
        <v>46058.551863425928</v>
      </c>
      <c r="E195" s="1">
        <v>5191886</v>
      </c>
      <c r="F195" s="1" t="s">
        <v>428</v>
      </c>
      <c r="H195" s="1" t="s">
        <v>2512</v>
      </c>
      <c r="J195" s="1" t="s">
        <v>2513</v>
      </c>
      <c r="L195" s="1" t="s">
        <v>2514</v>
      </c>
      <c r="N195" s="1" t="s">
        <v>2515</v>
      </c>
      <c r="O195" s="1" t="s">
        <v>432</v>
      </c>
      <c r="R195" s="1" t="s">
        <v>2513</v>
      </c>
      <c r="S195" s="1" t="s">
        <v>2516</v>
      </c>
      <c r="AB195" s="3">
        <v>46059.425416666665</v>
      </c>
      <c r="AC195" s="3">
        <v>46058.536030092589</v>
      </c>
      <c r="AE195" s="1" t="s">
        <v>2517</v>
      </c>
      <c r="BB195" s="1" t="s">
        <v>2518</v>
      </c>
      <c r="CO195" s="1" t="s">
        <v>435</v>
      </c>
      <c r="CQ195" s="1" t="s">
        <v>432</v>
      </c>
      <c r="CR195" s="1" t="s">
        <v>1227</v>
      </c>
      <c r="CS195" s="1" t="s">
        <v>1227</v>
      </c>
      <c r="CT195" s="3">
        <v>46058.567604166667</v>
      </c>
      <c r="CU195" s="1" t="s">
        <v>436</v>
      </c>
      <c r="CV195" s="1" t="s">
        <v>512</v>
      </c>
      <c r="CY195" s="1" t="s">
        <v>438</v>
      </c>
      <c r="DP195" s="1" t="s">
        <v>2519</v>
      </c>
      <c r="DU195" s="1" t="s">
        <v>2520</v>
      </c>
      <c r="GZ195" s="1" t="s">
        <v>2519</v>
      </c>
      <c r="HA195" s="1" t="s">
        <v>2520</v>
      </c>
      <c r="NM195" s="1" t="s">
        <v>441</v>
      </c>
      <c r="NN195" s="1">
        <v>4</v>
      </c>
      <c r="NS195" s="1">
        <v>4</v>
      </c>
      <c r="NT195" s="1">
        <v>4</v>
      </c>
      <c r="OA195" s="1">
        <v>4</v>
      </c>
      <c r="OB195" s="1">
        <v>4</v>
      </c>
      <c r="OC195" s="1">
        <v>4</v>
      </c>
      <c r="OD195" s="1">
        <v>4</v>
      </c>
      <c r="SC195" s="1" t="s">
        <v>2521</v>
      </c>
      <c r="SG195" s="1" t="s">
        <v>2522</v>
      </c>
      <c r="SH195" s="1" t="s">
        <v>438</v>
      </c>
      <c r="SI195" s="1" t="s">
        <v>438</v>
      </c>
      <c r="SK195" s="1" t="s">
        <v>1546</v>
      </c>
      <c r="SL195" s="1" t="s">
        <v>2108</v>
      </c>
    </row>
    <row r="196" spans="1:508" ht="32" x14ac:dyDescent="0.2">
      <c r="A196" s="1" t="s">
        <v>2523</v>
      </c>
      <c r="B196" s="1">
        <v>10</v>
      </c>
      <c r="C196" s="1">
        <v>5</v>
      </c>
      <c r="D196" s="3">
        <v>46058.547291666669</v>
      </c>
      <c r="E196" s="1">
        <v>5191873</v>
      </c>
      <c r="F196" s="1" t="s">
        <v>428</v>
      </c>
      <c r="H196" s="1" t="s">
        <v>2524</v>
      </c>
      <c r="J196" s="1" t="s">
        <v>2525</v>
      </c>
      <c r="L196" s="1" t="s">
        <v>2526</v>
      </c>
      <c r="O196" s="1" t="s">
        <v>432</v>
      </c>
      <c r="R196" s="1" t="s">
        <v>2525</v>
      </c>
      <c r="AB196" s="3">
        <v>46059.412164351852</v>
      </c>
      <c r="AC196" s="3">
        <v>46057.536087962966</v>
      </c>
      <c r="AE196" s="1" t="s">
        <v>2527</v>
      </c>
      <c r="BB196" s="1" t="s">
        <v>2528</v>
      </c>
      <c r="CO196" s="1" t="s">
        <v>435</v>
      </c>
      <c r="CQ196" s="1" t="s">
        <v>432</v>
      </c>
      <c r="CR196" s="1" t="s">
        <v>1227</v>
      </c>
      <c r="CS196" s="1" t="s">
        <v>1227</v>
      </c>
      <c r="CT196" s="3">
        <v>46058.565254629626</v>
      </c>
      <c r="CU196" s="1" t="s">
        <v>436</v>
      </c>
      <c r="CV196" s="1" t="s">
        <v>512</v>
      </c>
      <c r="CY196" s="1" t="s">
        <v>438</v>
      </c>
      <c r="DP196" s="1" t="s">
        <v>2529</v>
      </c>
      <c r="DU196" s="1" t="s">
        <v>2530</v>
      </c>
      <c r="GZ196" s="1" t="s">
        <v>2529</v>
      </c>
      <c r="HA196" s="1" t="s">
        <v>2530</v>
      </c>
      <c r="NM196" s="1" t="s">
        <v>441</v>
      </c>
      <c r="NN196" s="1">
        <v>5</v>
      </c>
      <c r="NS196" s="1">
        <v>5</v>
      </c>
      <c r="NT196" s="1">
        <v>5</v>
      </c>
      <c r="OA196" s="1">
        <v>5</v>
      </c>
      <c r="OB196" s="1">
        <v>5</v>
      </c>
      <c r="OC196" s="1">
        <v>5</v>
      </c>
      <c r="OD196" s="1">
        <v>5</v>
      </c>
      <c r="SB196" s="1" t="s">
        <v>443</v>
      </c>
      <c r="SC196" s="1" t="s">
        <v>443</v>
      </c>
      <c r="SF196" s="1" t="s">
        <v>444</v>
      </c>
      <c r="SG196" s="1" t="s">
        <v>444</v>
      </c>
      <c r="SH196" s="1" t="s">
        <v>432</v>
      </c>
      <c r="SI196" s="1" t="s">
        <v>432</v>
      </c>
      <c r="SK196" s="1" t="s">
        <v>445</v>
      </c>
      <c r="SL196" s="1" t="s">
        <v>1126</v>
      </c>
      <c r="SM196" s="1" t="s">
        <v>2108</v>
      </c>
    </row>
    <row r="197" spans="1:508" ht="48" x14ac:dyDescent="0.2">
      <c r="A197" s="1" t="s">
        <v>2531</v>
      </c>
      <c r="B197" s="1">
        <v>10</v>
      </c>
      <c r="C197" s="1">
        <v>5</v>
      </c>
      <c r="D197" s="3">
        <v>46058.523148148146</v>
      </c>
      <c r="E197" s="1">
        <v>5191756</v>
      </c>
      <c r="F197" s="1" t="s">
        <v>428</v>
      </c>
      <c r="H197" s="1" t="s">
        <v>2532</v>
      </c>
      <c r="J197" s="1" t="s">
        <v>2533</v>
      </c>
      <c r="L197" s="1" t="s">
        <v>2534</v>
      </c>
      <c r="O197" s="1" t="s">
        <v>432</v>
      </c>
      <c r="R197" s="1" t="s">
        <v>2533</v>
      </c>
      <c r="AB197" s="3">
        <v>46062.464016203703</v>
      </c>
      <c r="AC197" s="3">
        <v>46058.536261574074</v>
      </c>
      <c r="AE197" s="1" t="s">
        <v>2535</v>
      </c>
      <c r="BB197" s="1" t="s">
        <v>2536</v>
      </c>
      <c r="CO197" s="1" t="s">
        <v>435</v>
      </c>
      <c r="CQ197" s="1" t="s">
        <v>432</v>
      </c>
      <c r="CR197" s="1" t="s">
        <v>561</v>
      </c>
      <c r="CS197" s="1" t="s">
        <v>561</v>
      </c>
      <c r="CT197" s="3">
        <v>46058.536817129629</v>
      </c>
      <c r="CU197" s="1" t="s">
        <v>436</v>
      </c>
      <c r="CV197" s="1" t="s">
        <v>512</v>
      </c>
      <c r="CY197" s="1" t="s">
        <v>438</v>
      </c>
      <c r="DP197" s="1" t="s">
        <v>2537</v>
      </c>
      <c r="DU197" s="1" t="s">
        <v>1218</v>
      </c>
      <c r="GZ197" s="1" t="s">
        <v>2537</v>
      </c>
      <c r="HA197" s="1" t="s">
        <v>1218</v>
      </c>
      <c r="NM197" s="1" t="s">
        <v>441</v>
      </c>
      <c r="NN197" s="1">
        <v>4</v>
      </c>
      <c r="NS197" s="1">
        <v>5</v>
      </c>
      <c r="NT197" s="1">
        <v>5</v>
      </c>
      <c r="OA197" s="1">
        <v>5</v>
      </c>
      <c r="OB197" s="1">
        <v>5</v>
      </c>
      <c r="OC197" s="1">
        <v>5</v>
      </c>
      <c r="OD197" s="1">
        <v>5</v>
      </c>
      <c r="SC197" s="1" t="s">
        <v>443</v>
      </c>
      <c r="SG197" s="1" t="s">
        <v>444</v>
      </c>
      <c r="SH197" s="1" t="s">
        <v>438</v>
      </c>
      <c r="SI197" s="1" t="s">
        <v>438</v>
      </c>
      <c r="SK197" s="1" t="s">
        <v>568</v>
      </c>
      <c r="SL197" s="1" t="s">
        <v>486</v>
      </c>
    </row>
    <row r="198" spans="1:508" ht="112" x14ac:dyDescent="0.2">
      <c r="A198" s="1" t="s">
        <v>2538</v>
      </c>
      <c r="B198" s="1">
        <v>10</v>
      </c>
      <c r="C198" s="1">
        <v>5</v>
      </c>
      <c r="D198" s="3">
        <v>46058.503946759258</v>
      </c>
      <c r="E198" s="1">
        <v>5191704</v>
      </c>
      <c r="F198" s="1" t="s">
        <v>428</v>
      </c>
      <c r="H198" s="1" t="s">
        <v>2539</v>
      </c>
      <c r="J198" s="1" t="s">
        <v>2540</v>
      </c>
      <c r="L198" s="1" t="s">
        <v>2541</v>
      </c>
      <c r="M198" s="1" t="s">
        <v>2541</v>
      </c>
      <c r="N198" s="1" t="s">
        <v>1616</v>
      </c>
      <c r="O198" s="1" t="s">
        <v>432</v>
      </c>
      <c r="R198" s="1" t="s">
        <v>2540</v>
      </c>
      <c r="S198" s="1" t="s">
        <v>1617</v>
      </c>
      <c r="AB198" s="3">
        <v>46063.509467592594</v>
      </c>
      <c r="AC198" s="3">
        <v>46058.535902777781</v>
      </c>
      <c r="AE198" s="1" t="s">
        <v>2542</v>
      </c>
      <c r="BB198" s="1" t="s">
        <v>2543</v>
      </c>
      <c r="CO198" s="1" t="s">
        <v>435</v>
      </c>
      <c r="CQ198" s="1" t="s">
        <v>432</v>
      </c>
      <c r="CR198" s="1" t="s">
        <v>1056</v>
      </c>
      <c r="CS198" s="1" t="s">
        <v>729</v>
      </c>
      <c r="CT198" s="3">
        <v>46058.519768518519</v>
      </c>
      <c r="CU198" s="1" t="s">
        <v>436</v>
      </c>
      <c r="CV198" s="1" t="s">
        <v>512</v>
      </c>
      <c r="CW198" s="3">
        <v>46063.509421296294</v>
      </c>
      <c r="CX198" s="1" t="s">
        <v>1057</v>
      </c>
      <c r="CY198" s="1" t="s">
        <v>438</v>
      </c>
      <c r="DP198" s="1" t="s">
        <v>2544</v>
      </c>
      <c r="DU198" s="1" t="s">
        <v>2545</v>
      </c>
      <c r="GZ198" s="1" t="s">
        <v>2544</v>
      </c>
      <c r="HA198" s="1" t="s">
        <v>2545</v>
      </c>
      <c r="NM198" s="1" t="s">
        <v>441</v>
      </c>
      <c r="NN198" s="1">
        <v>4</v>
      </c>
      <c r="NS198" s="1">
        <v>5</v>
      </c>
      <c r="NT198" s="1">
        <v>5</v>
      </c>
      <c r="OA198" s="1">
        <v>5</v>
      </c>
      <c r="OB198" s="1">
        <v>5</v>
      </c>
      <c r="OC198" s="1">
        <v>5</v>
      </c>
      <c r="OD198" s="1">
        <v>5</v>
      </c>
      <c r="SB198" s="1" t="s">
        <v>1592</v>
      </c>
      <c r="SC198" s="1" t="s">
        <v>646</v>
      </c>
      <c r="SF198" s="1" t="s">
        <v>2546</v>
      </c>
      <c r="SG198" s="1" t="s">
        <v>647</v>
      </c>
      <c r="SH198" s="1" t="s">
        <v>438</v>
      </c>
      <c r="SI198" s="1" t="s">
        <v>438</v>
      </c>
      <c r="SK198" s="1" t="s">
        <v>568</v>
      </c>
      <c r="SL198" s="1" t="s">
        <v>2547</v>
      </c>
    </row>
    <row r="199" spans="1:508" ht="32" x14ac:dyDescent="0.2">
      <c r="A199" s="1" t="s">
        <v>2548</v>
      </c>
      <c r="B199" s="1">
        <v>10</v>
      </c>
      <c r="C199" s="1">
        <v>5</v>
      </c>
      <c r="D199" s="3">
        <v>46058.483055555553</v>
      </c>
      <c r="E199" s="1">
        <v>5191631</v>
      </c>
      <c r="F199" s="1" t="s">
        <v>428</v>
      </c>
      <c r="H199" s="1" t="s">
        <v>2549</v>
      </c>
      <c r="J199" s="1" t="s">
        <v>2550</v>
      </c>
      <c r="L199" s="1" t="s">
        <v>2551</v>
      </c>
      <c r="M199" s="1" t="s">
        <v>2551</v>
      </c>
      <c r="N199" s="1" t="s">
        <v>2174</v>
      </c>
      <c r="O199" s="1" t="s">
        <v>432</v>
      </c>
      <c r="R199" s="1" t="s">
        <v>2550</v>
      </c>
      <c r="S199" s="1" t="s">
        <v>2175</v>
      </c>
      <c r="AB199" s="3">
        <v>46058.543715277781</v>
      </c>
      <c r="AC199" s="3">
        <v>46058.53670138889</v>
      </c>
      <c r="AE199" s="1" t="s">
        <v>2552</v>
      </c>
      <c r="BB199" s="1" t="s">
        <v>2553</v>
      </c>
      <c r="CO199" s="1" t="s">
        <v>435</v>
      </c>
      <c r="CQ199" s="1" t="s">
        <v>432</v>
      </c>
      <c r="CR199" s="1" t="s">
        <v>561</v>
      </c>
      <c r="CS199" s="1" t="s">
        <v>561</v>
      </c>
      <c r="CT199" s="3">
        <v>46058.500034722223</v>
      </c>
      <c r="CU199" s="1" t="s">
        <v>436</v>
      </c>
      <c r="CV199" s="1" t="s">
        <v>512</v>
      </c>
      <c r="CY199" s="1" t="s">
        <v>438</v>
      </c>
      <c r="DP199" s="1" t="s">
        <v>2554</v>
      </c>
      <c r="GZ199" s="1" t="s">
        <v>2554</v>
      </c>
      <c r="NM199" s="1" t="s">
        <v>441</v>
      </c>
      <c r="NN199" s="1">
        <v>5</v>
      </c>
      <c r="NS199" s="1">
        <v>5</v>
      </c>
      <c r="NT199" s="1">
        <v>5</v>
      </c>
      <c r="OA199" s="1">
        <v>5</v>
      </c>
      <c r="OB199" s="1">
        <v>5</v>
      </c>
      <c r="OC199" s="1">
        <v>5</v>
      </c>
      <c r="OD199" s="1">
        <v>5</v>
      </c>
      <c r="SB199" s="1" t="s">
        <v>443</v>
      </c>
      <c r="SC199" s="1" t="s">
        <v>443</v>
      </c>
      <c r="SF199" s="1" t="s">
        <v>444</v>
      </c>
      <c r="SG199" s="1" t="s">
        <v>444</v>
      </c>
      <c r="SH199" s="1" t="s">
        <v>432</v>
      </c>
      <c r="SI199" s="1" t="s">
        <v>432</v>
      </c>
      <c r="SK199" s="1" t="s">
        <v>760</v>
      </c>
    </row>
    <row r="200" spans="1:508" ht="144" x14ac:dyDescent="0.2">
      <c r="A200" s="1" t="s">
        <v>2555</v>
      </c>
      <c r="B200" s="1">
        <v>10</v>
      </c>
      <c r="C200" s="1">
        <v>5</v>
      </c>
      <c r="D200" s="3">
        <v>46058.466956018521</v>
      </c>
      <c r="E200" s="1">
        <v>5191558</v>
      </c>
      <c r="F200" s="1" t="s">
        <v>428</v>
      </c>
      <c r="H200" s="1" t="s">
        <v>2556</v>
      </c>
      <c r="J200" s="1" t="s">
        <v>2557</v>
      </c>
      <c r="L200" s="1" t="s">
        <v>2558</v>
      </c>
      <c r="M200" s="1" t="s">
        <v>2558</v>
      </c>
      <c r="N200" s="1" t="s">
        <v>2559</v>
      </c>
      <c r="O200" s="1" t="s">
        <v>432</v>
      </c>
      <c r="R200" s="1" t="s">
        <v>2557</v>
      </c>
      <c r="S200" s="1" t="s">
        <v>2560</v>
      </c>
      <c r="AB200" s="3">
        <v>46058.640324074076</v>
      </c>
      <c r="AC200" s="3">
        <v>46058.537777777776</v>
      </c>
      <c r="AE200" s="1" t="s">
        <v>2561</v>
      </c>
      <c r="BB200" s="1" t="s">
        <v>2562</v>
      </c>
      <c r="CO200" s="1" t="s">
        <v>435</v>
      </c>
      <c r="CQ200" s="1" t="s">
        <v>432</v>
      </c>
      <c r="CR200" s="1" t="s">
        <v>561</v>
      </c>
      <c r="CS200" s="1" t="s">
        <v>561</v>
      </c>
      <c r="CT200" s="3">
        <v>46058.479247685187</v>
      </c>
      <c r="CU200" s="1" t="s">
        <v>436</v>
      </c>
      <c r="CV200" s="1" t="s">
        <v>512</v>
      </c>
      <c r="CY200" s="1" t="s">
        <v>438</v>
      </c>
      <c r="DP200" s="1" t="s">
        <v>2563</v>
      </c>
      <c r="DU200" s="1" t="s">
        <v>2564</v>
      </c>
      <c r="GZ200" s="1" t="s">
        <v>2563</v>
      </c>
      <c r="HA200" s="1" t="s">
        <v>2564</v>
      </c>
      <c r="NM200" s="1" t="s">
        <v>441</v>
      </c>
      <c r="NN200" s="1">
        <v>5</v>
      </c>
      <c r="NS200" s="1">
        <v>5</v>
      </c>
      <c r="NT200" s="1">
        <v>5</v>
      </c>
      <c r="OA200" s="1">
        <v>5</v>
      </c>
      <c r="OB200" s="1">
        <v>5</v>
      </c>
      <c r="OC200" s="1">
        <v>5</v>
      </c>
      <c r="OD200" s="1">
        <v>5</v>
      </c>
      <c r="SB200" s="1" t="s">
        <v>2565</v>
      </c>
      <c r="SC200" s="1" t="s">
        <v>2566</v>
      </c>
      <c r="SE200" s="1" t="s">
        <v>633</v>
      </c>
      <c r="SF200" s="1" t="s">
        <v>2567</v>
      </c>
      <c r="SG200" s="1" t="s">
        <v>2568</v>
      </c>
      <c r="SH200" s="1" t="s">
        <v>438</v>
      </c>
      <c r="SI200" s="1" t="s">
        <v>438</v>
      </c>
      <c r="SK200" s="1" t="s">
        <v>445</v>
      </c>
      <c r="SL200" s="1" t="s">
        <v>2108</v>
      </c>
      <c r="SM200" s="1" t="s">
        <v>1126</v>
      </c>
      <c r="SN200" s="1" t="s">
        <v>1807</v>
      </c>
    </row>
    <row r="201" spans="1:508" ht="64" x14ac:dyDescent="0.2">
      <c r="A201" s="1" t="s">
        <v>2569</v>
      </c>
      <c r="B201" s="1">
        <v>9</v>
      </c>
      <c r="C201" s="1">
        <v>5</v>
      </c>
      <c r="D201" s="3">
        <v>46058.453067129631</v>
      </c>
      <c r="E201" s="1">
        <v>5191485</v>
      </c>
      <c r="F201" s="1" t="s">
        <v>428</v>
      </c>
      <c r="H201" s="1" t="s">
        <v>2570</v>
      </c>
      <c r="J201" s="1" t="s">
        <v>2571</v>
      </c>
      <c r="L201" s="1" t="s">
        <v>2572</v>
      </c>
      <c r="O201" s="1" t="s">
        <v>432</v>
      </c>
      <c r="R201" s="1" t="s">
        <v>2571</v>
      </c>
      <c r="AB201" s="3">
        <v>46058.550810185188</v>
      </c>
      <c r="AC201" s="3">
        <v>46058.537974537037</v>
      </c>
      <c r="AE201" s="1" t="s">
        <v>2573</v>
      </c>
      <c r="BB201" s="1" t="s">
        <v>2574</v>
      </c>
      <c r="CO201" s="1" t="s">
        <v>435</v>
      </c>
      <c r="CQ201" s="1" t="s">
        <v>432</v>
      </c>
      <c r="CR201" s="1" t="s">
        <v>561</v>
      </c>
      <c r="CS201" s="1" t="s">
        <v>561</v>
      </c>
      <c r="CT201" s="3">
        <v>46058.464745370373</v>
      </c>
      <c r="CU201" s="1" t="s">
        <v>436</v>
      </c>
      <c r="CV201" s="1" t="s">
        <v>512</v>
      </c>
      <c r="CY201" s="1" t="s">
        <v>438</v>
      </c>
      <c r="DP201" s="1" t="s">
        <v>2575</v>
      </c>
      <c r="DU201" s="1" t="s">
        <v>2576</v>
      </c>
      <c r="GZ201" s="1" t="s">
        <v>2575</v>
      </c>
      <c r="HA201" s="1" t="s">
        <v>2576</v>
      </c>
      <c r="NM201" s="1" t="s">
        <v>441</v>
      </c>
      <c r="NN201" s="1">
        <v>5</v>
      </c>
      <c r="NS201" s="1">
        <v>4</v>
      </c>
      <c r="NT201" s="1">
        <v>5</v>
      </c>
      <c r="OA201" s="1">
        <v>5</v>
      </c>
      <c r="OB201" s="1">
        <v>5</v>
      </c>
      <c r="OC201" s="1">
        <v>5</v>
      </c>
      <c r="OD201" s="1">
        <v>5</v>
      </c>
      <c r="SC201" s="1" t="s">
        <v>2577</v>
      </c>
      <c r="SG201" s="1" t="s">
        <v>2578</v>
      </c>
      <c r="SH201" s="1" t="s">
        <v>438</v>
      </c>
      <c r="SI201" s="1" t="s">
        <v>432</v>
      </c>
      <c r="SK201" s="1" t="s">
        <v>2108</v>
      </c>
      <c r="SL201" s="1" t="s">
        <v>866</v>
      </c>
    </row>
    <row r="202" spans="1:508" ht="48" x14ac:dyDescent="0.2">
      <c r="A202" s="1" t="s">
        <v>2579</v>
      </c>
      <c r="B202" s="1">
        <v>10</v>
      </c>
      <c r="C202" s="1">
        <v>5</v>
      </c>
      <c r="D202" s="3">
        <v>46058.438900462963</v>
      </c>
      <c r="E202" s="1">
        <v>5191418</v>
      </c>
      <c r="F202" s="1" t="s">
        <v>428</v>
      </c>
      <c r="H202" s="1" t="s">
        <v>2580</v>
      </c>
      <c r="J202" s="1" t="s">
        <v>2581</v>
      </c>
      <c r="L202" s="1" t="s">
        <v>2582</v>
      </c>
      <c r="M202" s="1" t="s">
        <v>2582</v>
      </c>
      <c r="N202" s="1" t="s">
        <v>2583</v>
      </c>
      <c r="O202" s="1" t="s">
        <v>432</v>
      </c>
      <c r="R202" s="1" t="s">
        <v>2581</v>
      </c>
      <c r="S202" s="1" t="s">
        <v>2584</v>
      </c>
      <c r="AB202" s="3">
        <v>46058.551817129628</v>
      </c>
      <c r="AC202" s="3">
        <v>46058.536898148152</v>
      </c>
      <c r="AE202" s="1" t="s">
        <v>2585</v>
      </c>
      <c r="BB202" s="1" t="s">
        <v>2586</v>
      </c>
      <c r="CO202" s="1" t="s">
        <v>435</v>
      </c>
      <c r="CQ202" s="1" t="s">
        <v>432</v>
      </c>
      <c r="CR202" s="1" t="s">
        <v>561</v>
      </c>
      <c r="CS202" s="1" t="s">
        <v>561</v>
      </c>
      <c r="CT202" s="3">
        <v>46058.454502314817</v>
      </c>
      <c r="CU202" s="1" t="s">
        <v>436</v>
      </c>
      <c r="CV202" s="1" t="s">
        <v>512</v>
      </c>
      <c r="CY202" s="1" t="s">
        <v>438</v>
      </c>
      <c r="DP202" s="1" t="s">
        <v>2587</v>
      </c>
      <c r="DU202" s="1" t="s">
        <v>2588</v>
      </c>
      <c r="GZ202" s="1" t="s">
        <v>2587</v>
      </c>
      <c r="HA202" s="1" t="s">
        <v>2588</v>
      </c>
      <c r="NM202" s="1" t="s">
        <v>441</v>
      </c>
      <c r="NN202" s="1">
        <v>4</v>
      </c>
      <c r="NS202" s="1">
        <v>4</v>
      </c>
      <c r="NT202" s="1">
        <v>5</v>
      </c>
      <c r="OA202" s="1">
        <v>4</v>
      </c>
      <c r="OB202" s="1">
        <v>5</v>
      </c>
      <c r="OC202" s="1">
        <v>5</v>
      </c>
      <c r="OD202" s="1">
        <v>4</v>
      </c>
      <c r="SB202" s="1" t="s">
        <v>745</v>
      </c>
      <c r="SC202" s="1" t="s">
        <v>917</v>
      </c>
      <c r="SF202" s="1" t="s">
        <v>747</v>
      </c>
      <c r="SG202" s="1" t="s">
        <v>1071</v>
      </c>
      <c r="SH202" s="1" t="s">
        <v>438</v>
      </c>
      <c r="SI202" s="1" t="s">
        <v>432</v>
      </c>
      <c r="SK202" s="1" t="s">
        <v>1546</v>
      </c>
      <c r="SL202" s="1" t="s">
        <v>540</v>
      </c>
    </row>
    <row r="203" spans="1:508" ht="80" x14ac:dyDescent="0.2">
      <c r="A203" s="1" t="s">
        <v>2589</v>
      </c>
      <c r="B203" s="1">
        <v>10</v>
      </c>
      <c r="C203" s="1">
        <v>5</v>
      </c>
      <c r="D203" s="3">
        <v>46058.437071759261</v>
      </c>
      <c r="E203" s="1">
        <v>5191397</v>
      </c>
      <c r="F203" s="1" t="s">
        <v>428</v>
      </c>
      <c r="H203" s="1" t="s">
        <v>2590</v>
      </c>
      <c r="J203" s="1" t="s">
        <v>2591</v>
      </c>
      <c r="L203" s="1" t="s">
        <v>2592</v>
      </c>
      <c r="M203" s="1" t="s">
        <v>2592</v>
      </c>
      <c r="N203" s="1" t="s">
        <v>724</v>
      </c>
      <c r="O203" s="1" t="s">
        <v>432</v>
      </c>
      <c r="R203" s="1" t="s">
        <v>2591</v>
      </c>
      <c r="S203" s="1" t="s">
        <v>725</v>
      </c>
      <c r="AB203" s="3">
        <v>46058.552303240744</v>
      </c>
      <c r="AC203" s="3">
        <v>46057.535057870373</v>
      </c>
      <c r="AE203" s="1" t="s">
        <v>2593</v>
      </c>
      <c r="BB203" s="1" t="s">
        <v>2594</v>
      </c>
      <c r="CO203" s="1" t="s">
        <v>435</v>
      </c>
      <c r="CQ203" s="1" t="s">
        <v>432</v>
      </c>
      <c r="CR203" s="1" t="s">
        <v>561</v>
      </c>
      <c r="CS203" s="1" t="s">
        <v>561</v>
      </c>
      <c r="CT203" s="3">
        <v>46058.445937500001</v>
      </c>
      <c r="CU203" s="1" t="s">
        <v>436</v>
      </c>
      <c r="CV203" s="1" t="s">
        <v>512</v>
      </c>
      <c r="CY203" s="1" t="s">
        <v>438</v>
      </c>
      <c r="DP203" s="1" t="s">
        <v>2595</v>
      </c>
      <c r="DU203" s="1" t="s">
        <v>744</v>
      </c>
      <c r="GZ203" s="1" t="s">
        <v>2595</v>
      </c>
      <c r="HA203" s="1" t="s">
        <v>744</v>
      </c>
      <c r="NM203" s="1" t="s">
        <v>441</v>
      </c>
      <c r="NN203" s="1">
        <v>5</v>
      </c>
      <c r="NS203" s="1">
        <v>5</v>
      </c>
      <c r="NT203" s="1">
        <v>5</v>
      </c>
      <c r="OA203" s="1">
        <v>5</v>
      </c>
      <c r="OB203" s="1">
        <v>5</v>
      </c>
      <c r="OC203" s="1">
        <v>5</v>
      </c>
      <c r="OD203" s="1">
        <v>5</v>
      </c>
      <c r="SB203" s="1" t="s">
        <v>443</v>
      </c>
      <c r="SC203" s="1" t="s">
        <v>773</v>
      </c>
      <c r="SF203" s="1" t="s">
        <v>444</v>
      </c>
      <c r="SG203" s="1" t="s">
        <v>1357</v>
      </c>
      <c r="SH203" s="1" t="s">
        <v>438</v>
      </c>
      <c r="SI203" s="1" t="s">
        <v>432</v>
      </c>
      <c r="SK203" s="1" t="s">
        <v>568</v>
      </c>
      <c r="SL203" s="1" t="s">
        <v>1166</v>
      </c>
    </row>
    <row r="204" spans="1:508" ht="32" x14ac:dyDescent="0.2">
      <c r="A204" s="1" t="s">
        <v>2596</v>
      </c>
      <c r="B204" s="1">
        <v>10</v>
      </c>
      <c r="C204" s="1">
        <v>5</v>
      </c>
      <c r="D204" s="3">
        <v>46058.425462962965</v>
      </c>
      <c r="E204" s="1">
        <v>5191360</v>
      </c>
      <c r="F204" s="1" t="s">
        <v>428</v>
      </c>
      <c r="H204" s="1" t="s">
        <v>2597</v>
      </c>
      <c r="J204" s="1" t="s">
        <v>2598</v>
      </c>
      <c r="L204" s="1" t="s">
        <v>2599</v>
      </c>
      <c r="M204" s="1" t="s">
        <v>2599</v>
      </c>
      <c r="N204" s="1" t="s">
        <v>1979</v>
      </c>
      <c r="O204" s="1" t="s">
        <v>438</v>
      </c>
      <c r="R204" s="1" t="s">
        <v>2598</v>
      </c>
      <c r="S204" s="1" t="s">
        <v>1980</v>
      </c>
      <c r="AB204" s="3">
        <v>46058.553425925929</v>
      </c>
      <c r="AC204" s="3">
        <v>46058.537997685184</v>
      </c>
      <c r="AE204" s="1" t="s">
        <v>2600</v>
      </c>
      <c r="BB204" s="1" t="s">
        <v>2601</v>
      </c>
      <c r="CO204" s="1" t="s">
        <v>435</v>
      </c>
      <c r="CQ204" s="1" t="s">
        <v>432</v>
      </c>
      <c r="CR204" s="1" t="s">
        <v>561</v>
      </c>
      <c r="CS204" s="1" t="s">
        <v>561</v>
      </c>
      <c r="CT204" s="3">
        <v>46058.437789351854</v>
      </c>
      <c r="CU204" s="1" t="s">
        <v>436</v>
      </c>
      <c r="CV204" s="1" t="s">
        <v>512</v>
      </c>
      <c r="CY204" s="1" t="s">
        <v>438</v>
      </c>
      <c r="DP204" s="1" t="s">
        <v>2602</v>
      </c>
      <c r="DU204" s="1" t="s">
        <v>2603</v>
      </c>
      <c r="GZ204" s="1" t="s">
        <v>2602</v>
      </c>
      <c r="HA204" s="1" t="s">
        <v>2603</v>
      </c>
      <c r="NM204" s="1" t="s">
        <v>441</v>
      </c>
      <c r="NN204" s="1">
        <v>4</v>
      </c>
      <c r="NS204" s="1">
        <v>5</v>
      </c>
      <c r="NT204" s="1">
        <v>5</v>
      </c>
      <c r="OA204" s="1">
        <v>5</v>
      </c>
      <c r="OB204" s="1">
        <v>5</v>
      </c>
      <c r="OC204" s="1">
        <v>5</v>
      </c>
      <c r="OD204" s="1">
        <v>5</v>
      </c>
      <c r="SB204" s="1" t="s">
        <v>646</v>
      </c>
      <c r="SC204" s="1" t="s">
        <v>646</v>
      </c>
      <c r="SF204" s="1" t="s">
        <v>1949</v>
      </c>
      <c r="SG204" s="1" t="s">
        <v>647</v>
      </c>
      <c r="SH204" s="1" t="s">
        <v>438</v>
      </c>
      <c r="SI204" s="1" t="s">
        <v>438</v>
      </c>
      <c r="SK204" s="1" t="s">
        <v>445</v>
      </c>
      <c r="SL204" s="1" t="s">
        <v>620</v>
      </c>
    </row>
    <row r="205" spans="1:508" ht="176" x14ac:dyDescent="0.2">
      <c r="A205" s="1" t="s">
        <v>2604</v>
      </c>
      <c r="B205" s="1">
        <v>10</v>
      </c>
      <c r="C205" s="1">
        <v>5</v>
      </c>
      <c r="D205" s="3">
        <v>46058.42528935185</v>
      </c>
      <c r="E205" s="1">
        <v>5191340</v>
      </c>
      <c r="F205" s="1" t="s">
        <v>428</v>
      </c>
      <c r="H205" s="1" t="s">
        <v>2605</v>
      </c>
      <c r="J205" s="1" t="s">
        <v>2606</v>
      </c>
      <c r="L205" s="1" t="s">
        <v>2607</v>
      </c>
      <c r="N205" s="1" t="s">
        <v>585</v>
      </c>
      <c r="O205" s="1" t="s">
        <v>432</v>
      </c>
      <c r="R205" s="1" t="s">
        <v>2606</v>
      </c>
      <c r="S205" s="1" t="s">
        <v>586</v>
      </c>
      <c r="AB205" s="3">
        <v>46058.554409722223</v>
      </c>
      <c r="AC205" s="3">
        <v>46057.535509259258</v>
      </c>
      <c r="AE205" s="1" t="s">
        <v>2608</v>
      </c>
      <c r="BB205" s="1" t="s">
        <v>2609</v>
      </c>
      <c r="CO205" s="1" t="s">
        <v>435</v>
      </c>
      <c r="CQ205" s="1" t="s">
        <v>432</v>
      </c>
      <c r="CR205" s="1" t="s">
        <v>561</v>
      </c>
      <c r="CS205" s="1" t="s">
        <v>561</v>
      </c>
      <c r="CT205" s="3">
        <v>46058.434907407405</v>
      </c>
      <c r="CU205" s="1" t="s">
        <v>436</v>
      </c>
      <c r="CV205" s="1" t="s">
        <v>512</v>
      </c>
      <c r="CY205" s="1" t="s">
        <v>438</v>
      </c>
      <c r="DP205" s="1" t="s">
        <v>2610</v>
      </c>
      <c r="DU205" s="1" t="s">
        <v>2611</v>
      </c>
      <c r="GZ205" s="1" t="s">
        <v>2610</v>
      </c>
      <c r="HA205" s="1" t="s">
        <v>2611</v>
      </c>
      <c r="NM205" s="1" t="s">
        <v>441</v>
      </c>
      <c r="NN205" s="1">
        <v>5</v>
      </c>
      <c r="NS205" s="1">
        <v>5</v>
      </c>
      <c r="NT205" s="1">
        <v>5</v>
      </c>
      <c r="OA205" s="1">
        <v>5</v>
      </c>
      <c r="OB205" s="1">
        <v>5</v>
      </c>
      <c r="OC205" s="1">
        <v>5</v>
      </c>
      <c r="OD205" s="1">
        <v>5</v>
      </c>
      <c r="SB205" s="1" t="s">
        <v>2612</v>
      </c>
      <c r="SC205" s="1" t="s">
        <v>2613</v>
      </c>
      <c r="SF205" s="1" t="s">
        <v>2614</v>
      </c>
      <c r="SG205" s="1" t="s">
        <v>2615</v>
      </c>
      <c r="SH205" s="1" t="s">
        <v>438</v>
      </c>
      <c r="SI205" s="1" t="s">
        <v>432</v>
      </c>
      <c r="SK205" s="1" t="s">
        <v>1546</v>
      </c>
      <c r="SL205" s="1" t="s">
        <v>2162</v>
      </c>
      <c r="SM205" s="1" t="s">
        <v>2616</v>
      </c>
    </row>
    <row r="206" spans="1:508" ht="48" x14ac:dyDescent="0.2">
      <c r="A206" s="1" t="s">
        <v>2617</v>
      </c>
      <c r="B206" s="1">
        <v>10</v>
      </c>
      <c r="C206" s="1">
        <v>5</v>
      </c>
      <c r="D206" s="3">
        <v>46058.416203703702</v>
      </c>
      <c r="E206" s="1">
        <v>5191297</v>
      </c>
      <c r="F206" s="1" t="s">
        <v>428</v>
      </c>
      <c r="H206" s="1" t="s">
        <v>2618</v>
      </c>
      <c r="J206" s="1" t="s">
        <v>2619</v>
      </c>
      <c r="L206" s="1" t="s">
        <v>2620</v>
      </c>
      <c r="M206" s="1" t="s">
        <v>2620</v>
      </c>
      <c r="N206" s="1" t="s">
        <v>2621</v>
      </c>
      <c r="O206" s="1" t="s">
        <v>432</v>
      </c>
      <c r="R206" s="1" t="s">
        <v>2619</v>
      </c>
      <c r="S206" s="1" t="s">
        <v>2622</v>
      </c>
      <c r="AB206" s="3">
        <v>46058.445289351854</v>
      </c>
      <c r="AC206" s="3">
        <v>46058.537766203706</v>
      </c>
      <c r="AE206" s="1" t="s">
        <v>2623</v>
      </c>
      <c r="BB206" s="1" t="s">
        <v>2624</v>
      </c>
      <c r="CO206" s="1" t="s">
        <v>435</v>
      </c>
      <c r="CQ206" s="1" t="s">
        <v>432</v>
      </c>
      <c r="CR206" s="1" t="s">
        <v>523</v>
      </c>
      <c r="CS206" s="1" t="s">
        <v>523</v>
      </c>
      <c r="CT206" s="3">
        <v>46058.428784722222</v>
      </c>
      <c r="CU206" s="1" t="s">
        <v>436</v>
      </c>
      <c r="CV206" s="1" t="s">
        <v>512</v>
      </c>
      <c r="CY206" s="1" t="s">
        <v>438</v>
      </c>
      <c r="DP206" s="1" t="s">
        <v>2625</v>
      </c>
      <c r="DU206" s="1" t="s">
        <v>938</v>
      </c>
      <c r="GZ206" s="1" t="s">
        <v>2625</v>
      </c>
      <c r="HA206" s="1" t="s">
        <v>938</v>
      </c>
      <c r="NM206" s="1" t="s">
        <v>441</v>
      </c>
      <c r="NN206" s="1">
        <v>5</v>
      </c>
      <c r="NS206" s="1">
        <v>5</v>
      </c>
      <c r="NT206" s="1">
        <v>5</v>
      </c>
      <c r="OA206" s="1">
        <v>5</v>
      </c>
      <c r="OB206" s="1">
        <v>5</v>
      </c>
      <c r="OC206" s="1">
        <v>5</v>
      </c>
      <c r="OD206" s="1">
        <v>5</v>
      </c>
      <c r="SC206" s="1" t="s">
        <v>443</v>
      </c>
      <c r="SG206" s="1" t="s">
        <v>444</v>
      </c>
      <c r="SH206" s="1" t="s">
        <v>438</v>
      </c>
      <c r="SI206" s="1" t="s">
        <v>432</v>
      </c>
      <c r="SK206" s="1" t="s">
        <v>1546</v>
      </c>
    </row>
    <row r="207" spans="1:508" ht="48" x14ac:dyDescent="0.2">
      <c r="A207" s="1" t="s">
        <v>2626</v>
      </c>
      <c r="B207" s="1">
        <v>10</v>
      </c>
      <c r="C207" s="1">
        <v>5</v>
      </c>
      <c r="D207" s="3">
        <v>46057.868217592593</v>
      </c>
      <c r="E207" s="1">
        <v>5190444</v>
      </c>
      <c r="F207" s="1" t="s">
        <v>428</v>
      </c>
      <c r="H207" s="1" t="s">
        <v>2627</v>
      </c>
      <c r="J207" s="1" t="s">
        <v>2628</v>
      </c>
      <c r="L207" s="1" t="s">
        <v>2629</v>
      </c>
      <c r="M207" s="1" t="s">
        <v>2629</v>
      </c>
      <c r="N207" s="1" t="s">
        <v>724</v>
      </c>
      <c r="O207" s="1" t="s">
        <v>432</v>
      </c>
      <c r="R207" s="1" t="s">
        <v>2628</v>
      </c>
      <c r="S207" s="1" t="s">
        <v>725</v>
      </c>
      <c r="AB207" s="3">
        <v>46058.408796296295</v>
      </c>
      <c r="AC207" s="3">
        <v>46057.534502314818</v>
      </c>
      <c r="AE207" s="1" t="s">
        <v>2630</v>
      </c>
      <c r="BB207" s="1" t="s">
        <v>2631</v>
      </c>
      <c r="CO207" s="1" t="s">
        <v>435</v>
      </c>
      <c r="CQ207" s="1" t="s">
        <v>432</v>
      </c>
      <c r="CR207" s="1" t="s">
        <v>523</v>
      </c>
      <c r="CS207" s="1" t="s">
        <v>523</v>
      </c>
      <c r="CT207" s="3">
        <v>46057.875891203701</v>
      </c>
      <c r="CU207" s="1" t="s">
        <v>436</v>
      </c>
      <c r="CV207" s="1" t="s">
        <v>512</v>
      </c>
      <c r="CY207" s="1" t="s">
        <v>438</v>
      </c>
      <c r="DP207" s="1" t="s">
        <v>2632</v>
      </c>
      <c r="DU207" s="1" t="s">
        <v>1113</v>
      </c>
      <c r="GZ207" s="1" t="s">
        <v>2632</v>
      </c>
      <c r="HA207" s="1" t="s">
        <v>1113</v>
      </c>
      <c r="NM207" s="1" t="s">
        <v>441</v>
      </c>
      <c r="NN207" s="1">
        <v>5</v>
      </c>
      <c r="NS207" s="1">
        <v>5</v>
      </c>
      <c r="NT207" s="1">
        <v>5</v>
      </c>
      <c r="OA207" s="1">
        <v>5</v>
      </c>
      <c r="OB207" s="1">
        <v>5</v>
      </c>
      <c r="OC207" s="1">
        <v>5</v>
      </c>
      <c r="OD207" s="1">
        <v>3</v>
      </c>
      <c r="SC207" s="1" t="s">
        <v>773</v>
      </c>
      <c r="SG207" s="1" t="s">
        <v>786</v>
      </c>
      <c r="SH207" s="1" t="s">
        <v>438</v>
      </c>
      <c r="SI207" s="1" t="s">
        <v>438</v>
      </c>
      <c r="SK207" s="1" t="s">
        <v>1546</v>
      </c>
      <c r="SL207" s="1" t="s">
        <v>540</v>
      </c>
    </row>
    <row r="208" spans="1:508" ht="32" x14ac:dyDescent="0.2">
      <c r="A208" s="1" t="s">
        <v>2633</v>
      </c>
      <c r="B208" s="1">
        <v>10</v>
      </c>
      <c r="C208" s="1">
        <v>5</v>
      </c>
      <c r="D208" s="3">
        <v>46057.817199074074</v>
      </c>
      <c r="E208" s="1">
        <v>5190310</v>
      </c>
      <c r="F208" s="1" t="s">
        <v>428</v>
      </c>
      <c r="H208" s="1" t="s">
        <v>2634</v>
      </c>
      <c r="J208" s="1" t="s">
        <v>2635</v>
      </c>
      <c r="L208" s="1" t="s">
        <v>2636</v>
      </c>
      <c r="M208" s="1" t="s">
        <v>2637</v>
      </c>
      <c r="N208" s="1" t="s">
        <v>2638</v>
      </c>
      <c r="O208" s="1" t="s">
        <v>432</v>
      </c>
      <c r="R208" s="1" t="s">
        <v>2635</v>
      </c>
      <c r="S208" s="1" t="s">
        <v>2639</v>
      </c>
      <c r="AB208" s="3">
        <v>46058.380578703705</v>
      </c>
      <c r="AC208" s="3">
        <v>46057.852094907408</v>
      </c>
      <c r="AE208" s="1" t="s">
        <v>2640</v>
      </c>
      <c r="BB208" s="1" t="s">
        <v>2641</v>
      </c>
      <c r="CO208" s="1" t="s">
        <v>435</v>
      </c>
      <c r="CQ208" s="1" t="s">
        <v>432</v>
      </c>
      <c r="CR208" s="1" t="s">
        <v>495</v>
      </c>
      <c r="CS208" s="1" t="s">
        <v>495</v>
      </c>
      <c r="CT208" s="3">
        <v>46057.830023148148</v>
      </c>
      <c r="CU208" s="1" t="s">
        <v>436</v>
      </c>
      <c r="CV208" s="1" t="s">
        <v>512</v>
      </c>
      <c r="CY208" s="1" t="s">
        <v>438</v>
      </c>
      <c r="DP208" s="1" t="s">
        <v>2642</v>
      </c>
      <c r="DU208" s="1" t="s">
        <v>2643</v>
      </c>
      <c r="GZ208" s="1" t="s">
        <v>2642</v>
      </c>
      <c r="HA208" s="1" t="s">
        <v>2643</v>
      </c>
      <c r="NM208" s="1" t="s">
        <v>441</v>
      </c>
      <c r="NN208" s="1">
        <v>5</v>
      </c>
      <c r="NS208" s="1">
        <v>5</v>
      </c>
      <c r="NT208" s="1">
        <v>5</v>
      </c>
      <c r="OA208" s="1">
        <v>5</v>
      </c>
      <c r="OB208" s="1">
        <v>5</v>
      </c>
      <c r="OC208" s="1">
        <v>5</v>
      </c>
      <c r="OD208" s="1">
        <v>5</v>
      </c>
      <c r="SB208" s="1" t="s">
        <v>443</v>
      </c>
      <c r="SC208" s="1" t="s">
        <v>443</v>
      </c>
      <c r="SF208" s="1" t="s">
        <v>444</v>
      </c>
      <c r="SG208" s="1" t="s">
        <v>444</v>
      </c>
      <c r="SH208" s="1" t="s">
        <v>432</v>
      </c>
      <c r="SI208" s="1" t="s">
        <v>432</v>
      </c>
      <c r="SK208" s="1" t="s">
        <v>445</v>
      </c>
    </row>
    <row r="209" spans="1:507" ht="96" x14ac:dyDescent="0.2">
      <c r="A209" s="1" t="s">
        <v>2644</v>
      </c>
      <c r="B209" s="1">
        <v>10</v>
      </c>
      <c r="C209" s="1">
        <v>5</v>
      </c>
      <c r="D209" s="3">
        <v>46057.722557870373</v>
      </c>
      <c r="E209" s="1">
        <v>5190049</v>
      </c>
      <c r="F209" s="1" t="s">
        <v>428</v>
      </c>
      <c r="H209" s="1" t="s">
        <v>2645</v>
      </c>
      <c r="J209" s="1" t="s">
        <v>2646</v>
      </c>
      <c r="L209" s="1" t="s">
        <v>2647</v>
      </c>
      <c r="M209" s="1" t="s">
        <v>2647</v>
      </c>
      <c r="N209" s="1" t="s">
        <v>1131</v>
      </c>
      <c r="O209" s="1" t="s">
        <v>438</v>
      </c>
      <c r="R209" s="1" t="s">
        <v>2646</v>
      </c>
      <c r="S209" s="1" t="s">
        <v>1132</v>
      </c>
      <c r="AB209" s="3">
        <v>46058.381527777776</v>
      </c>
      <c r="AC209" s="3">
        <v>46057.809687499997</v>
      </c>
      <c r="AE209" s="1" t="s">
        <v>2648</v>
      </c>
      <c r="BB209" s="1" t="s">
        <v>2649</v>
      </c>
      <c r="CO209" s="1" t="s">
        <v>435</v>
      </c>
      <c r="CQ209" s="1" t="s">
        <v>432</v>
      </c>
      <c r="CR209" s="1" t="s">
        <v>511</v>
      </c>
      <c r="CS209" s="1" t="s">
        <v>511</v>
      </c>
      <c r="CT209" s="3">
        <v>46057.731504629628</v>
      </c>
      <c r="CU209" s="1" t="s">
        <v>436</v>
      </c>
      <c r="CV209" s="1" t="s">
        <v>512</v>
      </c>
      <c r="CY209" s="1" t="s">
        <v>438</v>
      </c>
      <c r="DP209" s="1" t="s">
        <v>2650</v>
      </c>
      <c r="DU209" s="1" t="s">
        <v>482</v>
      </c>
      <c r="GZ209" s="1" t="s">
        <v>2650</v>
      </c>
      <c r="HA209" s="1" t="s">
        <v>482</v>
      </c>
      <c r="NM209" s="1" t="s">
        <v>441</v>
      </c>
      <c r="NN209" s="1">
        <v>5</v>
      </c>
      <c r="NS209" s="1">
        <v>5</v>
      </c>
      <c r="NT209" s="1">
        <v>5</v>
      </c>
      <c r="OA209" s="1">
        <v>5</v>
      </c>
      <c r="OB209" s="1">
        <v>5</v>
      </c>
      <c r="OC209" s="1">
        <v>5</v>
      </c>
      <c r="OD209" s="1">
        <v>5</v>
      </c>
      <c r="SB209" s="1" t="s">
        <v>443</v>
      </c>
      <c r="SC209" s="1" t="s">
        <v>2651</v>
      </c>
      <c r="SE209" s="1" t="s">
        <v>484</v>
      </c>
      <c r="SF209" s="1" t="s">
        <v>2652</v>
      </c>
      <c r="SG209" s="1" t="s">
        <v>2653</v>
      </c>
      <c r="SH209" s="1" t="s">
        <v>438</v>
      </c>
      <c r="SI209" s="1" t="s">
        <v>438</v>
      </c>
      <c r="SK209" s="1" t="s">
        <v>2108</v>
      </c>
    </row>
    <row r="210" spans="1:507" ht="32" x14ac:dyDescent="0.2">
      <c r="A210" s="1" t="s">
        <v>2654</v>
      </c>
      <c r="B210" s="1">
        <v>10</v>
      </c>
      <c r="C210" s="1">
        <v>5</v>
      </c>
      <c r="D210" s="3">
        <v>46057.65766203704</v>
      </c>
      <c r="E210" s="1">
        <v>5189803</v>
      </c>
      <c r="F210" s="1" t="s">
        <v>428</v>
      </c>
      <c r="H210" s="1" t="s">
        <v>2655</v>
      </c>
      <c r="J210" s="1" t="s">
        <v>2656</v>
      </c>
      <c r="L210" s="1" t="s">
        <v>2657</v>
      </c>
      <c r="M210" s="1" t="s">
        <v>2657</v>
      </c>
      <c r="N210" s="1" t="s">
        <v>2658</v>
      </c>
      <c r="O210" s="1" t="s">
        <v>432</v>
      </c>
      <c r="R210" s="1" t="s">
        <v>2656</v>
      </c>
      <c r="S210" s="1" t="s">
        <v>2659</v>
      </c>
      <c r="AB210" s="3">
        <v>46058.591087962966</v>
      </c>
      <c r="AC210" s="3">
        <v>46057.640150462961</v>
      </c>
      <c r="AE210" s="1" t="s">
        <v>2660</v>
      </c>
      <c r="BB210" s="1" t="s">
        <v>2661</v>
      </c>
      <c r="CO210" s="1" t="s">
        <v>435</v>
      </c>
      <c r="CQ210" s="1" t="s">
        <v>432</v>
      </c>
      <c r="CR210" s="1" t="s">
        <v>549</v>
      </c>
      <c r="CS210" s="1" t="s">
        <v>549</v>
      </c>
      <c r="CT210" s="3">
        <v>46057.669317129628</v>
      </c>
      <c r="CU210" s="1" t="s">
        <v>436</v>
      </c>
      <c r="CV210" s="1" t="s">
        <v>512</v>
      </c>
      <c r="CY210" s="1" t="s">
        <v>438</v>
      </c>
      <c r="DP210" s="1" t="s">
        <v>2662</v>
      </c>
      <c r="DU210" s="1" t="s">
        <v>442</v>
      </c>
      <c r="GZ210" s="1" t="s">
        <v>2662</v>
      </c>
      <c r="HA210" s="1" t="s">
        <v>442</v>
      </c>
      <c r="NM210" s="1" t="s">
        <v>441</v>
      </c>
      <c r="NN210" s="1">
        <v>5</v>
      </c>
      <c r="NS210" s="1">
        <v>5</v>
      </c>
      <c r="NT210" s="1">
        <v>5</v>
      </c>
      <c r="OA210" s="1">
        <v>5</v>
      </c>
      <c r="OB210" s="1">
        <v>5</v>
      </c>
      <c r="OC210" s="1">
        <v>5</v>
      </c>
      <c r="OD210" s="1">
        <v>5</v>
      </c>
      <c r="SB210" s="1" t="s">
        <v>2663</v>
      </c>
      <c r="SC210" s="1" t="s">
        <v>443</v>
      </c>
      <c r="SF210" s="1" t="s">
        <v>2664</v>
      </c>
      <c r="SG210" s="1" t="s">
        <v>444</v>
      </c>
      <c r="SH210" s="1" t="s">
        <v>438</v>
      </c>
      <c r="SI210" s="1" t="s">
        <v>432</v>
      </c>
      <c r="SK210" s="1" t="s">
        <v>445</v>
      </c>
    </row>
    <row r="211" spans="1:507" ht="48" x14ac:dyDescent="0.2">
      <c r="A211" s="1" t="s">
        <v>2665</v>
      </c>
      <c r="B211" s="1">
        <v>10</v>
      </c>
      <c r="C211" s="1">
        <v>5</v>
      </c>
      <c r="D211" s="3">
        <v>46057.652928240743</v>
      </c>
      <c r="E211" s="1">
        <v>5189785</v>
      </c>
      <c r="F211" s="1" t="s">
        <v>428</v>
      </c>
      <c r="H211" s="1" t="s">
        <v>2666</v>
      </c>
      <c r="J211" s="1" t="s">
        <v>2667</v>
      </c>
      <c r="L211" s="1" t="s">
        <v>2668</v>
      </c>
      <c r="O211" s="1" t="s">
        <v>432</v>
      </c>
      <c r="R211" s="1" t="s">
        <v>2667</v>
      </c>
      <c r="AB211" s="3">
        <v>46058.580185185187</v>
      </c>
      <c r="AC211" s="3">
        <v>46057.534942129627</v>
      </c>
      <c r="AE211" s="1" t="s">
        <v>2669</v>
      </c>
      <c r="BB211" s="1" t="s">
        <v>2670</v>
      </c>
      <c r="CO211" s="1" t="s">
        <v>435</v>
      </c>
      <c r="CQ211" s="1" t="s">
        <v>432</v>
      </c>
      <c r="CR211" s="1" t="s">
        <v>549</v>
      </c>
      <c r="CS211" s="1" t="s">
        <v>549</v>
      </c>
      <c r="CT211" s="3">
        <v>46057.664201388892</v>
      </c>
      <c r="CU211" s="1" t="s">
        <v>436</v>
      </c>
      <c r="CV211" s="1" t="s">
        <v>512</v>
      </c>
      <c r="CY211" s="1" t="s">
        <v>438</v>
      </c>
      <c r="DP211" s="1" t="s">
        <v>2671</v>
      </c>
      <c r="DU211" s="1" t="s">
        <v>442</v>
      </c>
      <c r="GZ211" s="1" t="s">
        <v>2671</v>
      </c>
      <c r="HA211" s="1" t="s">
        <v>442</v>
      </c>
      <c r="NM211" s="1" t="s">
        <v>441</v>
      </c>
      <c r="NN211" s="1">
        <v>4</v>
      </c>
      <c r="NS211" s="1">
        <v>4</v>
      </c>
      <c r="NT211" s="1">
        <v>4</v>
      </c>
      <c r="OA211" s="1">
        <v>5</v>
      </c>
      <c r="OB211" s="1">
        <v>4</v>
      </c>
      <c r="OC211" s="1">
        <v>4</v>
      </c>
      <c r="OD211" s="1">
        <v>5</v>
      </c>
      <c r="SB211" s="1" t="s">
        <v>443</v>
      </c>
      <c r="SC211" s="1" t="s">
        <v>443</v>
      </c>
      <c r="SF211" s="1" t="s">
        <v>444</v>
      </c>
      <c r="SG211" s="1" t="s">
        <v>444</v>
      </c>
      <c r="SH211" s="1" t="s">
        <v>432</v>
      </c>
      <c r="SI211" s="1" t="s">
        <v>432</v>
      </c>
      <c r="SK211" s="1" t="s">
        <v>568</v>
      </c>
    </row>
    <row r="212" spans="1:507" ht="272" x14ac:dyDescent="0.2">
      <c r="A212" s="1" t="s">
        <v>2672</v>
      </c>
      <c r="B212" s="1">
        <v>2</v>
      </c>
      <c r="C212" s="1">
        <v>1</v>
      </c>
      <c r="D212" s="3">
        <v>46057.646192129629</v>
      </c>
      <c r="E212" s="1">
        <v>5189743</v>
      </c>
      <c r="F212" s="1" t="s">
        <v>428</v>
      </c>
      <c r="H212" s="1" t="s">
        <v>2673</v>
      </c>
      <c r="J212" s="1" t="s">
        <v>2674</v>
      </c>
      <c r="L212" s="1" t="s">
        <v>2675</v>
      </c>
      <c r="M212" s="1" t="s">
        <v>2675</v>
      </c>
      <c r="N212" s="1" t="s">
        <v>2257</v>
      </c>
      <c r="O212" s="1" t="s">
        <v>438</v>
      </c>
      <c r="R212" s="1" t="s">
        <v>2674</v>
      </c>
      <c r="S212" s="1" t="s">
        <v>2258</v>
      </c>
      <c r="AB212" s="3">
        <v>46063.474641203706</v>
      </c>
      <c r="AC212" s="3">
        <v>46057.766701388886</v>
      </c>
      <c r="AE212" s="1" t="s">
        <v>2676</v>
      </c>
      <c r="BB212" s="1" t="s">
        <v>2677</v>
      </c>
      <c r="CO212" s="1" t="s">
        <v>435</v>
      </c>
      <c r="CQ212" s="1" t="s">
        <v>432</v>
      </c>
      <c r="CR212" s="1" t="s">
        <v>2066</v>
      </c>
      <c r="CS212" s="1" t="s">
        <v>729</v>
      </c>
      <c r="CT212" s="3">
        <v>46057.654629629629</v>
      </c>
      <c r="CU212" s="1" t="s">
        <v>1206</v>
      </c>
      <c r="CV212" s="1" t="s">
        <v>512</v>
      </c>
      <c r="CW212" s="3">
        <v>46063.474548611113</v>
      </c>
      <c r="CX212" s="1" t="s">
        <v>1057</v>
      </c>
      <c r="CY212" s="1" t="s">
        <v>438</v>
      </c>
      <c r="DP212" s="1" t="s">
        <v>2678</v>
      </c>
      <c r="DU212" s="1" t="s">
        <v>2679</v>
      </c>
      <c r="GZ212" s="1" t="s">
        <v>2678</v>
      </c>
      <c r="HA212" s="1" t="s">
        <v>2679</v>
      </c>
      <c r="NM212" s="1" t="s">
        <v>441</v>
      </c>
      <c r="NN212" s="1">
        <v>1</v>
      </c>
      <c r="NS212" s="1">
        <v>5</v>
      </c>
      <c r="NT212" s="1">
        <v>3</v>
      </c>
      <c r="OA212" s="1">
        <v>1</v>
      </c>
      <c r="OB212" s="1">
        <v>1</v>
      </c>
      <c r="OC212" s="1">
        <v>1</v>
      </c>
      <c r="OD212" s="1">
        <v>1</v>
      </c>
      <c r="SB212" s="1" t="s">
        <v>917</v>
      </c>
      <c r="SC212" s="1" t="s">
        <v>2680</v>
      </c>
      <c r="SF212" s="1" t="s">
        <v>1287</v>
      </c>
      <c r="SG212" s="1" t="s">
        <v>2681</v>
      </c>
      <c r="SH212" s="1" t="s">
        <v>438</v>
      </c>
      <c r="SI212" s="1" t="s">
        <v>438</v>
      </c>
      <c r="SK212" s="1" t="s">
        <v>955</v>
      </c>
      <c r="SL212" s="1" t="s">
        <v>866</v>
      </c>
      <c r="SM212" s="1" t="s">
        <v>1807</v>
      </c>
    </row>
    <row r="213" spans="1:507" ht="48" x14ac:dyDescent="0.2">
      <c r="A213" s="1" t="s">
        <v>2682</v>
      </c>
      <c r="B213" s="1">
        <v>10</v>
      </c>
      <c r="C213" s="1">
        <v>5</v>
      </c>
      <c r="D213" s="3">
        <v>46057.61378472222</v>
      </c>
      <c r="E213" s="1">
        <v>5189634</v>
      </c>
      <c r="F213" s="1" t="s">
        <v>428</v>
      </c>
      <c r="H213" s="1" t="s">
        <v>2683</v>
      </c>
      <c r="J213" s="1" t="s">
        <v>2684</v>
      </c>
      <c r="L213" s="1" t="s">
        <v>2685</v>
      </c>
      <c r="M213" s="1" t="s">
        <v>2685</v>
      </c>
      <c r="N213" s="1" t="s">
        <v>2686</v>
      </c>
      <c r="O213" s="1" t="s">
        <v>432</v>
      </c>
      <c r="R213" s="1" t="s">
        <v>2684</v>
      </c>
      <c r="S213" s="1" t="s">
        <v>2687</v>
      </c>
      <c r="AB213" s="3">
        <v>46058.384386574071</v>
      </c>
      <c r="AC213" s="3">
        <v>46057.640173611115</v>
      </c>
      <c r="AE213" s="1" t="s">
        <v>2688</v>
      </c>
      <c r="BB213" s="1" t="s">
        <v>2689</v>
      </c>
      <c r="CO213" s="1" t="s">
        <v>435</v>
      </c>
      <c r="CQ213" s="1" t="s">
        <v>432</v>
      </c>
      <c r="CR213" s="1" t="s">
        <v>1227</v>
      </c>
      <c r="CS213" s="1" t="s">
        <v>1227</v>
      </c>
      <c r="CT213" s="3">
        <v>46057.624803240738</v>
      </c>
      <c r="CU213" s="1" t="s">
        <v>436</v>
      </c>
      <c r="CV213" s="1" t="s">
        <v>512</v>
      </c>
      <c r="CY213" s="1" t="s">
        <v>438</v>
      </c>
      <c r="DP213" s="1" t="s">
        <v>2690</v>
      </c>
      <c r="DU213" s="1" t="s">
        <v>2691</v>
      </c>
      <c r="GZ213" s="1" t="s">
        <v>2690</v>
      </c>
      <c r="HA213" s="1" t="s">
        <v>2691</v>
      </c>
      <c r="NM213" s="1" t="s">
        <v>441</v>
      </c>
      <c r="NN213" s="1">
        <v>5</v>
      </c>
      <c r="NS213" s="1">
        <v>5</v>
      </c>
      <c r="NT213" s="1">
        <v>5</v>
      </c>
      <c r="OA213" s="1">
        <v>5</v>
      </c>
      <c r="OB213" s="1">
        <v>5</v>
      </c>
      <c r="OC213" s="1">
        <v>5</v>
      </c>
      <c r="OD213" s="1">
        <v>5</v>
      </c>
      <c r="SC213" s="1" t="s">
        <v>745</v>
      </c>
      <c r="SG213" s="1" t="s">
        <v>747</v>
      </c>
      <c r="SH213" s="1" t="s">
        <v>438</v>
      </c>
      <c r="SI213" s="1" t="s">
        <v>438</v>
      </c>
      <c r="SK213" s="1" t="s">
        <v>1546</v>
      </c>
    </row>
    <row r="214" spans="1:507" ht="32" x14ac:dyDescent="0.2">
      <c r="A214" s="1" t="s">
        <v>2692</v>
      </c>
      <c r="B214" s="1">
        <v>8</v>
      </c>
      <c r="C214" s="1">
        <v>5</v>
      </c>
      <c r="D214" s="3">
        <v>46057.524652777778</v>
      </c>
      <c r="E214" s="1">
        <v>5189286</v>
      </c>
      <c r="F214" s="1" t="s">
        <v>428</v>
      </c>
      <c r="H214" s="1" t="s">
        <v>2693</v>
      </c>
      <c r="J214" s="1" t="s">
        <v>2694</v>
      </c>
      <c r="L214" s="1" t="s">
        <v>2695</v>
      </c>
      <c r="N214" s="1" t="s">
        <v>1292</v>
      </c>
      <c r="O214" s="1" t="s">
        <v>432</v>
      </c>
      <c r="R214" s="1" t="s">
        <v>2694</v>
      </c>
      <c r="S214" s="1" t="s">
        <v>1293</v>
      </c>
      <c r="AB214" s="3">
        <v>46057.580949074072</v>
      </c>
      <c r="AC214" s="3">
        <v>46057.535532407404</v>
      </c>
      <c r="AE214" s="1" t="s">
        <v>2696</v>
      </c>
      <c r="BB214" s="1" t="s">
        <v>2697</v>
      </c>
      <c r="CO214" s="1" t="s">
        <v>435</v>
      </c>
      <c r="CQ214" s="1" t="s">
        <v>432</v>
      </c>
      <c r="CR214" s="1" t="s">
        <v>511</v>
      </c>
      <c r="CS214" s="1" t="s">
        <v>511</v>
      </c>
      <c r="CT214" s="3">
        <v>46057.536643518521</v>
      </c>
      <c r="CU214" s="1" t="s">
        <v>524</v>
      </c>
      <c r="CV214" s="1" t="s">
        <v>512</v>
      </c>
      <c r="CY214" s="1" t="s">
        <v>438</v>
      </c>
      <c r="DP214" s="1" t="s">
        <v>2698</v>
      </c>
      <c r="GZ214" s="1" t="s">
        <v>2698</v>
      </c>
      <c r="NM214" s="1" t="s">
        <v>441</v>
      </c>
      <c r="NN214" s="1">
        <v>5</v>
      </c>
      <c r="NS214" s="1">
        <v>5</v>
      </c>
      <c r="NT214" s="1">
        <v>5</v>
      </c>
      <c r="OA214" s="1">
        <v>5</v>
      </c>
      <c r="OB214" s="1">
        <v>5</v>
      </c>
      <c r="OC214" s="1">
        <v>5</v>
      </c>
      <c r="OD214" s="1">
        <v>5</v>
      </c>
      <c r="SB214" s="1" t="s">
        <v>526</v>
      </c>
      <c r="SC214" s="1" t="s">
        <v>1958</v>
      </c>
      <c r="SF214" s="1" t="s">
        <v>527</v>
      </c>
      <c r="SG214" s="1" t="s">
        <v>1960</v>
      </c>
      <c r="SH214" s="1" t="s">
        <v>438</v>
      </c>
      <c r="SI214" s="1" t="s">
        <v>432</v>
      </c>
      <c r="SK214" s="1" t="s">
        <v>799</v>
      </c>
    </row>
    <row r="215" spans="1:507" ht="96" x14ac:dyDescent="0.2">
      <c r="A215" s="1" t="s">
        <v>2699</v>
      </c>
      <c r="B215" s="1">
        <v>9</v>
      </c>
      <c r="C215" s="1">
        <v>4</v>
      </c>
      <c r="D215" s="3">
        <v>46057.442997685182</v>
      </c>
      <c r="E215" s="1">
        <v>5180508</v>
      </c>
      <c r="F215" s="1" t="s">
        <v>428</v>
      </c>
      <c r="H215" s="1" t="s">
        <v>2700</v>
      </c>
      <c r="J215" s="1" t="s">
        <v>2701</v>
      </c>
      <c r="L215" s="1" t="s">
        <v>2702</v>
      </c>
      <c r="M215" s="1" t="s">
        <v>2702</v>
      </c>
      <c r="N215" s="1" t="s">
        <v>2703</v>
      </c>
      <c r="O215" s="1" t="s">
        <v>432</v>
      </c>
      <c r="R215" s="1" t="s">
        <v>2701</v>
      </c>
      <c r="S215" s="1" t="s">
        <v>2704</v>
      </c>
      <c r="AB215" s="3">
        <v>46057.630868055552</v>
      </c>
      <c r="AC215" s="3">
        <v>46057.535613425927</v>
      </c>
      <c r="AE215" s="1" t="s">
        <v>2705</v>
      </c>
      <c r="BB215" s="1" t="s">
        <v>2706</v>
      </c>
      <c r="CO215" s="1" t="s">
        <v>435</v>
      </c>
      <c r="CQ215" s="1" t="s">
        <v>432</v>
      </c>
      <c r="CR215" s="1" t="s">
        <v>549</v>
      </c>
      <c r="CS215" s="1" t="s">
        <v>549</v>
      </c>
      <c r="CT215" s="3">
        <v>46057.45208333333</v>
      </c>
      <c r="CU215" s="1" t="s">
        <v>436</v>
      </c>
      <c r="CV215" s="1" t="s">
        <v>512</v>
      </c>
      <c r="CY215" s="1" t="s">
        <v>438</v>
      </c>
      <c r="DP215" s="1" t="s">
        <v>2707</v>
      </c>
      <c r="DU215" s="1" t="s">
        <v>2708</v>
      </c>
      <c r="GZ215" s="1" t="s">
        <v>2707</v>
      </c>
      <c r="HA215" s="1" t="s">
        <v>2708</v>
      </c>
      <c r="NM215" s="1" t="s">
        <v>441</v>
      </c>
      <c r="NN215" s="1">
        <v>4</v>
      </c>
      <c r="NS215" s="1">
        <v>5</v>
      </c>
      <c r="NT215" s="1">
        <v>5</v>
      </c>
      <c r="OA215" s="1">
        <v>5</v>
      </c>
      <c r="OB215" s="1">
        <v>5</v>
      </c>
      <c r="OC215" s="1">
        <v>5</v>
      </c>
      <c r="OD215" s="1">
        <v>5</v>
      </c>
      <c r="SB215" s="1" t="s">
        <v>1672</v>
      </c>
      <c r="SC215" s="1" t="s">
        <v>2709</v>
      </c>
      <c r="SE215" s="1" t="s">
        <v>484</v>
      </c>
      <c r="SF215" s="1" t="s">
        <v>2710</v>
      </c>
      <c r="SG215" s="1" t="s">
        <v>2711</v>
      </c>
      <c r="SH215" s="1" t="s">
        <v>438</v>
      </c>
      <c r="SI215" s="1" t="s">
        <v>438</v>
      </c>
      <c r="SK215" s="1" t="s">
        <v>445</v>
      </c>
      <c r="SL215" s="1" t="s">
        <v>1746</v>
      </c>
      <c r="SM215" s="1" t="s">
        <v>620</v>
      </c>
    </row>
    <row r="216" spans="1:507" ht="48" x14ac:dyDescent="0.2">
      <c r="A216" s="1" t="s">
        <v>2712</v>
      </c>
      <c r="B216" s="1">
        <v>10</v>
      </c>
      <c r="C216" s="1">
        <v>5</v>
      </c>
      <c r="D216" s="3">
        <v>46057.414733796293</v>
      </c>
      <c r="E216" s="1">
        <v>5180365</v>
      </c>
      <c r="F216" s="1" t="s">
        <v>428</v>
      </c>
      <c r="H216" s="1" t="s">
        <v>2713</v>
      </c>
      <c r="J216" s="1" t="s">
        <v>2714</v>
      </c>
      <c r="L216" s="1" t="s">
        <v>2715</v>
      </c>
      <c r="M216" s="1" t="s">
        <v>2715</v>
      </c>
      <c r="N216" s="1" t="s">
        <v>1160</v>
      </c>
      <c r="O216" s="1" t="s">
        <v>432</v>
      </c>
      <c r="R216" s="1" t="s">
        <v>2714</v>
      </c>
      <c r="S216" s="1" t="s">
        <v>1161</v>
      </c>
      <c r="AB216" s="3">
        <v>46057.47556712963</v>
      </c>
      <c r="AC216" s="3">
        <v>46057.535775462966</v>
      </c>
      <c r="AE216" s="1" t="s">
        <v>2716</v>
      </c>
      <c r="BB216" s="1" t="s">
        <v>2717</v>
      </c>
      <c r="CO216" s="1" t="s">
        <v>435</v>
      </c>
      <c r="CQ216" s="1" t="s">
        <v>432</v>
      </c>
      <c r="CR216" s="1" t="s">
        <v>523</v>
      </c>
      <c r="CS216" s="1" t="s">
        <v>523</v>
      </c>
      <c r="CT216" s="3">
        <v>46057.424004629633</v>
      </c>
      <c r="CU216" s="1" t="s">
        <v>436</v>
      </c>
      <c r="CV216" s="1" t="s">
        <v>512</v>
      </c>
      <c r="CY216" s="1" t="s">
        <v>438</v>
      </c>
      <c r="DP216" s="1" t="s">
        <v>2718</v>
      </c>
      <c r="DU216" s="1" t="s">
        <v>2719</v>
      </c>
      <c r="GZ216" s="1" t="s">
        <v>2718</v>
      </c>
      <c r="HA216" s="1" t="s">
        <v>2719</v>
      </c>
      <c r="NM216" s="1" t="s">
        <v>441</v>
      </c>
      <c r="NN216" s="1">
        <v>5</v>
      </c>
      <c r="NS216" s="1">
        <v>4</v>
      </c>
      <c r="NT216" s="1">
        <v>5</v>
      </c>
      <c r="OA216" s="1">
        <v>5</v>
      </c>
      <c r="OB216" s="1">
        <v>5</v>
      </c>
      <c r="OC216" s="1">
        <v>5</v>
      </c>
      <c r="OD216" s="1">
        <v>4</v>
      </c>
      <c r="SB216" s="1" t="s">
        <v>443</v>
      </c>
      <c r="SC216" s="1" t="s">
        <v>552</v>
      </c>
      <c r="SF216" s="1" t="s">
        <v>444</v>
      </c>
      <c r="SG216" s="1" t="s">
        <v>553</v>
      </c>
      <c r="SH216" s="1" t="s">
        <v>438</v>
      </c>
      <c r="SI216" s="1" t="s">
        <v>432</v>
      </c>
      <c r="SK216" s="1" t="s">
        <v>2108</v>
      </c>
      <c r="SL216" s="1" t="s">
        <v>955</v>
      </c>
      <c r="SM216" s="1" t="s">
        <v>2720</v>
      </c>
    </row>
    <row r="217" spans="1:507" ht="48" x14ac:dyDescent="0.2">
      <c r="A217" s="1" t="s">
        <v>2721</v>
      </c>
      <c r="B217" s="1">
        <v>10</v>
      </c>
      <c r="C217" s="1">
        <v>5</v>
      </c>
      <c r="D217" s="3">
        <v>46056.782060185185</v>
      </c>
      <c r="E217" s="1">
        <v>5179089</v>
      </c>
      <c r="F217" s="1" t="s">
        <v>428</v>
      </c>
      <c r="H217" s="1" t="s">
        <v>2722</v>
      </c>
      <c r="J217" s="1" t="s">
        <v>2723</v>
      </c>
      <c r="L217" s="1" t="s">
        <v>2724</v>
      </c>
      <c r="O217" s="1" t="s">
        <v>432</v>
      </c>
      <c r="R217" s="1" t="s">
        <v>2723</v>
      </c>
      <c r="AB217" s="3">
        <v>46057.385613425926</v>
      </c>
      <c r="AC217" s="3">
        <v>46056.596250000002</v>
      </c>
      <c r="AE217" s="1" t="s">
        <v>2725</v>
      </c>
      <c r="BB217" s="1" t="s">
        <v>2726</v>
      </c>
      <c r="CO217" s="1" t="s">
        <v>435</v>
      </c>
      <c r="CQ217" s="1" t="s">
        <v>432</v>
      </c>
      <c r="CR217" s="1" t="s">
        <v>495</v>
      </c>
      <c r="CS217" s="1" t="s">
        <v>495</v>
      </c>
      <c r="CT217" s="3">
        <v>46056.793171296296</v>
      </c>
      <c r="CU217" s="1" t="s">
        <v>436</v>
      </c>
      <c r="CV217" s="1" t="s">
        <v>512</v>
      </c>
      <c r="CY217" s="1" t="s">
        <v>438</v>
      </c>
      <c r="DP217" s="1" t="s">
        <v>2727</v>
      </c>
      <c r="DU217" s="1" t="s">
        <v>2728</v>
      </c>
      <c r="GZ217" s="1" t="s">
        <v>2727</v>
      </c>
      <c r="HA217" s="1" t="s">
        <v>2728</v>
      </c>
      <c r="NM217" s="1" t="s">
        <v>441</v>
      </c>
      <c r="NN217" s="1">
        <v>5</v>
      </c>
      <c r="NS217" s="1">
        <v>5</v>
      </c>
      <c r="NT217" s="1">
        <v>5</v>
      </c>
      <c r="OA217" s="1">
        <v>5</v>
      </c>
      <c r="OB217" s="1">
        <v>5</v>
      </c>
      <c r="OC217" s="1">
        <v>5</v>
      </c>
      <c r="OD217" s="1">
        <v>3</v>
      </c>
      <c r="SB217" s="1" t="s">
        <v>2729</v>
      </c>
      <c r="SC217" s="1" t="s">
        <v>2730</v>
      </c>
      <c r="SE217" s="1" t="s">
        <v>633</v>
      </c>
      <c r="SF217" s="1" t="s">
        <v>2731</v>
      </c>
      <c r="SG217" s="1" t="s">
        <v>2732</v>
      </c>
      <c r="SH217" s="1" t="s">
        <v>438</v>
      </c>
      <c r="SI217" s="1" t="s">
        <v>438</v>
      </c>
      <c r="SK217" s="1" t="s">
        <v>486</v>
      </c>
      <c r="SL217" s="1" t="s">
        <v>540</v>
      </c>
    </row>
    <row r="218" spans="1:507" ht="48" x14ac:dyDescent="0.2">
      <c r="A218" s="1" t="s">
        <v>2733</v>
      </c>
      <c r="B218" s="1">
        <v>10</v>
      </c>
      <c r="C218" s="1">
        <v>5</v>
      </c>
      <c r="D218" s="3">
        <v>46056.671215277776</v>
      </c>
      <c r="E218" s="1">
        <v>5178701</v>
      </c>
      <c r="F218" s="1" t="s">
        <v>428</v>
      </c>
      <c r="H218" s="1" t="s">
        <v>2734</v>
      </c>
      <c r="J218" s="1" t="s">
        <v>2735</v>
      </c>
      <c r="L218" s="1" t="s">
        <v>2736</v>
      </c>
      <c r="M218" s="1" t="s">
        <v>2736</v>
      </c>
      <c r="N218" s="1" t="s">
        <v>2737</v>
      </c>
      <c r="O218" s="1" t="s">
        <v>432</v>
      </c>
      <c r="R218" s="1" t="s">
        <v>2735</v>
      </c>
      <c r="S218" s="1" t="s">
        <v>2738</v>
      </c>
      <c r="AB218" s="3">
        <v>46057.355543981481</v>
      </c>
      <c r="AC218" s="3">
        <v>46056.765752314815</v>
      </c>
      <c r="AE218" s="1" t="s">
        <v>2739</v>
      </c>
      <c r="BB218" s="1" t="s">
        <v>2740</v>
      </c>
      <c r="CO218" s="1" t="s">
        <v>435</v>
      </c>
      <c r="CQ218" s="1" t="s">
        <v>432</v>
      </c>
      <c r="CR218" s="1" t="s">
        <v>852</v>
      </c>
      <c r="CS218" s="1" t="s">
        <v>852</v>
      </c>
      <c r="CT218" s="3">
        <v>46056.678101851852</v>
      </c>
      <c r="CU218" s="1" t="s">
        <v>436</v>
      </c>
      <c r="CV218" s="1" t="s">
        <v>512</v>
      </c>
      <c r="CY218" s="1" t="s">
        <v>438</v>
      </c>
      <c r="DP218" s="1" t="s">
        <v>2741</v>
      </c>
      <c r="DU218" s="1" t="s">
        <v>2742</v>
      </c>
      <c r="GZ218" s="1" t="s">
        <v>2741</v>
      </c>
      <c r="HA218" s="1" t="s">
        <v>2742</v>
      </c>
      <c r="NM218" s="1" t="s">
        <v>441</v>
      </c>
      <c r="NN218" s="1">
        <v>4</v>
      </c>
      <c r="NS218" s="1">
        <v>5</v>
      </c>
      <c r="NT218" s="1">
        <v>5</v>
      </c>
      <c r="OA218" s="1">
        <v>5</v>
      </c>
      <c r="OB218" s="1">
        <v>4</v>
      </c>
      <c r="OC218" s="1">
        <v>5</v>
      </c>
      <c r="OD218" s="1">
        <v>5</v>
      </c>
      <c r="SB218" s="1" t="s">
        <v>843</v>
      </c>
      <c r="SC218" s="1" t="s">
        <v>2743</v>
      </c>
      <c r="SF218" s="1" t="s">
        <v>845</v>
      </c>
      <c r="SG218" s="1" t="s">
        <v>2744</v>
      </c>
      <c r="SH218" s="1" t="s">
        <v>438</v>
      </c>
      <c r="SI218" s="1" t="s">
        <v>438</v>
      </c>
      <c r="SK218" s="1" t="s">
        <v>500</v>
      </c>
    </row>
    <row r="219" spans="1:507" ht="80" x14ac:dyDescent="0.2">
      <c r="A219" s="1" t="s">
        <v>2745</v>
      </c>
      <c r="B219" s="1">
        <v>9</v>
      </c>
      <c r="C219" s="1">
        <v>5</v>
      </c>
      <c r="D219" s="3">
        <v>46056.665821759256</v>
      </c>
      <c r="E219" s="1">
        <v>5178679</v>
      </c>
      <c r="F219" s="1" t="s">
        <v>428</v>
      </c>
      <c r="H219" s="1" t="s">
        <v>2746</v>
      </c>
      <c r="J219" s="1" t="s">
        <v>2747</v>
      </c>
      <c r="L219" s="1" t="s">
        <v>2748</v>
      </c>
      <c r="O219" s="1" t="s">
        <v>432</v>
      </c>
      <c r="R219" s="1" t="s">
        <v>2747</v>
      </c>
      <c r="AB219" s="3">
        <v>46057.345706018517</v>
      </c>
      <c r="AC219" s="3">
        <v>46056.536516203705</v>
      </c>
      <c r="AE219" s="1" t="s">
        <v>2749</v>
      </c>
      <c r="BB219" s="1" t="s">
        <v>2750</v>
      </c>
      <c r="CO219" s="1" t="s">
        <v>435</v>
      </c>
      <c r="CQ219" s="1" t="s">
        <v>432</v>
      </c>
      <c r="CR219" s="1" t="s">
        <v>852</v>
      </c>
      <c r="CS219" s="1" t="s">
        <v>852</v>
      </c>
      <c r="CT219" s="3">
        <v>46056.675393518519</v>
      </c>
      <c r="CU219" s="1" t="s">
        <v>436</v>
      </c>
      <c r="CV219" s="1" t="s">
        <v>512</v>
      </c>
      <c r="CY219" s="1" t="s">
        <v>438</v>
      </c>
      <c r="DP219" s="1" t="s">
        <v>2751</v>
      </c>
      <c r="DU219" s="1" t="s">
        <v>682</v>
      </c>
      <c r="GZ219" s="1" t="s">
        <v>2751</v>
      </c>
      <c r="HA219" s="1" t="s">
        <v>682</v>
      </c>
      <c r="NM219" s="1" t="s">
        <v>441</v>
      </c>
      <c r="NN219" s="1">
        <v>4</v>
      </c>
      <c r="NS219" s="1">
        <v>4</v>
      </c>
      <c r="NT219" s="1">
        <v>5</v>
      </c>
      <c r="OA219" s="1">
        <v>5</v>
      </c>
      <c r="OB219" s="1">
        <v>4</v>
      </c>
      <c r="OC219" s="1">
        <v>5</v>
      </c>
      <c r="OD219" s="1">
        <v>5</v>
      </c>
      <c r="SB219" s="1" t="s">
        <v>2752</v>
      </c>
      <c r="SC219" s="1" t="s">
        <v>443</v>
      </c>
      <c r="SF219" s="1" t="s">
        <v>2753</v>
      </c>
      <c r="SG219" s="1" t="s">
        <v>1000</v>
      </c>
      <c r="SH219" s="1" t="s">
        <v>438</v>
      </c>
      <c r="SI219" s="1" t="s">
        <v>438</v>
      </c>
      <c r="SK219" s="1" t="s">
        <v>2325</v>
      </c>
    </row>
    <row r="220" spans="1:507" ht="32" x14ac:dyDescent="0.2">
      <c r="A220" s="1" t="s">
        <v>2754</v>
      </c>
      <c r="B220" s="1">
        <v>10</v>
      </c>
      <c r="C220" s="1">
        <v>5</v>
      </c>
      <c r="D220" s="3">
        <v>46056.625277777777</v>
      </c>
      <c r="E220" s="1">
        <v>5178544</v>
      </c>
      <c r="F220" s="1" t="s">
        <v>428</v>
      </c>
      <c r="H220" s="1" t="s">
        <v>2755</v>
      </c>
      <c r="J220" s="1" t="s">
        <v>2756</v>
      </c>
      <c r="L220" s="1" t="s">
        <v>2757</v>
      </c>
      <c r="O220" s="1" t="s">
        <v>432</v>
      </c>
      <c r="R220" s="1" t="s">
        <v>2756</v>
      </c>
      <c r="AB220" s="3">
        <v>46056.664918981478</v>
      </c>
      <c r="AC220" s="3">
        <v>46056.536990740744</v>
      </c>
      <c r="AE220" s="1" t="s">
        <v>2758</v>
      </c>
      <c r="BB220" s="1" t="s">
        <v>2759</v>
      </c>
      <c r="CO220" s="1" t="s">
        <v>435</v>
      </c>
      <c r="CQ220" s="1" t="s">
        <v>432</v>
      </c>
      <c r="CR220" s="1" t="s">
        <v>561</v>
      </c>
      <c r="CS220" s="1" t="s">
        <v>561</v>
      </c>
      <c r="CT220" s="3">
        <v>46056.633958333332</v>
      </c>
      <c r="CU220" s="1" t="s">
        <v>436</v>
      </c>
      <c r="CV220" s="1" t="s">
        <v>512</v>
      </c>
      <c r="CY220" s="1" t="s">
        <v>438</v>
      </c>
      <c r="DP220" s="1" t="s">
        <v>2760</v>
      </c>
      <c r="DU220" s="1" t="s">
        <v>682</v>
      </c>
      <c r="GZ220" s="1" t="s">
        <v>2760</v>
      </c>
      <c r="HA220" s="1" t="s">
        <v>682</v>
      </c>
      <c r="NM220" s="1" t="s">
        <v>441</v>
      </c>
      <c r="NN220" s="1">
        <v>4</v>
      </c>
      <c r="NS220" s="1">
        <v>5</v>
      </c>
      <c r="NT220" s="1">
        <v>5</v>
      </c>
      <c r="OA220" s="1">
        <v>5</v>
      </c>
      <c r="OB220" s="1">
        <v>5</v>
      </c>
      <c r="OC220" s="1">
        <v>5</v>
      </c>
      <c r="OD220" s="1">
        <v>5</v>
      </c>
      <c r="SB220" s="1" t="s">
        <v>443</v>
      </c>
      <c r="SC220" s="1" t="s">
        <v>1696</v>
      </c>
      <c r="SF220" s="1" t="s">
        <v>579</v>
      </c>
      <c r="SG220" s="1" t="s">
        <v>1938</v>
      </c>
      <c r="SH220" s="1" t="s">
        <v>438</v>
      </c>
      <c r="SI220" s="1" t="s">
        <v>438</v>
      </c>
      <c r="SK220" s="1" t="s">
        <v>2293</v>
      </c>
    </row>
    <row r="221" spans="1:507" ht="48" x14ac:dyDescent="0.2">
      <c r="A221" s="1" t="s">
        <v>2761</v>
      </c>
      <c r="B221" s="1">
        <v>10</v>
      </c>
      <c r="C221" s="1">
        <v>5</v>
      </c>
      <c r="D221" s="3">
        <v>46056.624814814815</v>
      </c>
      <c r="E221" s="1">
        <v>5178533</v>
      </c>
      <c r="F221" s="1" t="s">
        <v>428</v>
      </c>
      <c r="H221" s="1" t="s">
        <v>2762</v>
      </c>
      <c r="J221" s="1" t="s">
        <v>2763</v>
      </c>
      <c r="L221" s="1" t="s">
        <v>2764</v>
      </c>
      <c r="M221" s="1" t="s">
        <v>2764</v>
      </c>
      <c r="N221" s="1" t="s">
        <v>1150</v>
      </c>
      <c r="O221" s="1" t="s">
        <v>432</v>
      </c>
      <c r="R221" s="1" t="s">
        <v>2763</v>
      </c>
      <c r="S221" s="1" t="s">
        <v>1151</v>
      </c>
      <c r="AB221" s="3">
        <v>46056.664502314816</v>
      </c>
      <c r="AC221" s="3">
        <v>46056.639201388891</v>
      </c>
      <c r="AE221" s="1" t="s">
        <v>2765</v>
      </c>
      <c r="BB221" s="1" t="s">
        <v>2766</v>
      </c>
      <c r="CO221" s="1" t="s">
        <v>435</v>
      </c>
      <c r="CQ221" s="1" t="s">
        <v>432</v>
      </c>
      <c r="CR221" s="1" t="s">
        <v>561</v>
      </c>
      <c r="CS221" s="1" t="s">
        <v>561</v>
      </c>
      <c r="CT221" s="3">
        <v>46056.630868055552</v>
      </c>
      <c r="CU221" s="1" t="s">
        <v>436</v>
      </c>
      <c r="CV221" s="1" t="s">
        <v>512</v>
      </c>
      <c r="CY221" s="1" t="s">
        <v>438</v>
      </c>
      <c r="DP221" s="1" t="s">
        <v>2767</v>
      </c>
      <c r="DU221" s="1" t="s">
        <v>2768</v>
      </c>
      <c r="GZ221" s="1" t="s">
        <v>2767</v>
      </c>
      <c r="HA221" s="1" t="s">
        <v>2768</v>
      </c>
      <c r="NM221" s="1" t="s">
        <v>441</v>
      </c>
      <c r="NN221" s="1">
        <v>4</v>
      </c>
      <c r="NS221" s="1">
        <v>5</v>
      </c>
      <c r="NT221" s="1">
        <v>5</v>
      </c>
      <c r="OA221" s="1">
        <v>5</v>
      </c>
      <c r="OB221" s="1">
        <v>5</v>
      </c>
      <c r="OC221" s="1">
        <v>5</v>
      </c>
      <c r="OD221" s="1">
        <v>5</v>
      </c>
      <c r="SB221" s="1" t="s">
        <v>443</v>
      </c>
      <c r="SC221" s="1" t="s">
        <v>917</v>
      </c>
      <c r="SF221" s="1" t="s">
        <v>444</v>
      </c>
      <c r="SG221" s="1" t="s">
        <v>918</v>
      </c>
      <c r="SH221" s="1" t="s">
        <v>438</v>
      </c>
      <c r="SI221" s="1" t="s">
        <v>438</v>
      </c>
      <c r="SK221" s="1" t="s">
        <v>445</v>
      </c>
      <c r="SL221" s="1" t="s">
        <v>1989</v>
      </c>
    </row>
    <row r="222" spans="1:507" ht="48" x14ac:dyDescent="0.2">
      <c r="A222" s="1" t="s">
        <v>2769</v>
      </c>
      <c r="B222" s="1">
        <v>10</v>
      </c>
      <c r="C222" s="1">
        <v>5</v>
      </c>
      <c r="D222" s="3">
        <v>46056.546111111114</v>
      </c>
      <c r="E222" s="1">
        <v>5178092</v>
      </c>
      <c r="F222" s="1" t="s">
        <v>428</v>
      </c>
      <c r="H222" s="1" t="s">
        <v>2770</v>
      </c>
      <c r="J222" s="1" t="s">
        <v>2771</v>
      </c>
      <c r="L222" s="1" t="s">
        <v>2772</v>
      </c>
      <c r="N222" s="1" t="s">
        <v>2773</v>
      </c>
      <c r="O222" s="1" t="s">
        <v>432</v>
      </c>
      <c r="R222" s="1" t="s">
        <v>2771</v>
      </c>
      <c r="S222" s="1" t="s">
        <v>2774</v>
      </c>
      <c r="AB222" s="3">
        <v>46056.630358796298</v>
      </c>
      <c r="AC222" s="3">
        <v>46056.536539351851</v>
      </c>
      <c r="AE222" s="1" t="s">
        <v>2775</v>
      </c>
      <c r="BB222" s="1" t="s">
        <v>2776</v>
      </c>
      <c r="CO222" s="1" t="s">
        <v>435</v>
      </c>
      <c r="CQ222" s="1" t="s">
        <v>432</v>
      </c>
      <c r="CR222" s="1" t="s">
        <v>495</v>
      </c>
      <c r="CS222" s="1" t="s">
        <v>495</v>
      </c>
      <c r="CT222" s="3">
        <v>46056.560266203705</v>
      </c>
      <c r="CU222" s="1" t="s">
        <v>436</v>
      </c>
      <c r="CV222" s="1" t="s">
        <v>512</v>
      </c>
      <c r="CY222" s="1" t="s">
        <v>438</v>
      </c>
      <c r="DP222" s="1" t="s">
        <v>2777</v>
      </c>
      <c r="DU222" s="1" t="s">
        <v>2778</v>
      </c>
      <c r="GZ222" s="1" t="s">
        <v>2777</v>
      </c>
      <c r="HA222" s="1" t="s">
        <v>2778</v>
      </c>
      <c r="NM222" s="1" t="s">
        <v>441</v>
      </c>
      <c r="NN222" s="1">
        <v>5</v>
      </c>
      <c r="NS222" s="1">
        <v>5</v>
      </c>
      <c r="NT222" s="1">
        <v>5</v>
      </c>
      <c r="OA222" s="1">
        <v>5</v>
      </c>
      <c r="OB222" s="1">
        <v>5</v>
      </c>
      <c r="OC222" s="1">
        <v>5</v>
      </c>
      <c r="OD222" s="1">
        <v>4</v>
      </c>
      <c r="SB222" s="1" t="s">
        <v>443</v>
      </c>
      <c r="SC222" s="1" t="s">
        <v>1114</v>
      </c>
      <c r="SF222" s="1" t="s">
        <v>444</v>
      </c>
      <c r="SG222" s="1" t="s">
        <v>2315</v>
      </c>
      <c r="SH222" s="1" t="s">
        <v>438</v>
      </c>
      <c r="SI222" s="1" t="s">
        <v>432</v>
      </c>
      <c r="SK222" s="1" t="s">
        <v>1546</v>
      </c>
    </row>
    <row r="223" spans="1:507" ht="112" x14ac:dyDescent="0.2">
      <c r="A223" s="1" t="s">
        <v>2779</v>
      </c>
      <c r="B223" s="1">
        <v>10</v>
      </c>
      <c r="C223" s="1">
        <v>5</v>
      </c>
      <c r="D223" s="3">
        <v>46056.469675925924</v>
      </c>
      <c r="E223" s="1">
        <v>5177752</v>
      </c>
      <c r="F223" s="1" t="s">
        <v>428</v>
      </c>
      <c r="H223" s="1" t="s">
        <v>2780</v>
      </c>
      <c r="J223" s="1" t="s">
        <v>2781</v>
      </c>
      <c r="L223" s="1" t="s">
        <v>2782</v>
      </c>
      <c r="N223" s="1" t="s">
        <v>1646</v>
      </c>
      <c r="O223" s="1" t="s">
        <v>438</v>
      </c>
      <c r="R223" s="1" t="s">
        <v>2781</v>
      </c>
      <c r="S223" s="1" t="s">
        <v>1647</v>
      </c>
      <c r="AB223" s="3">
        <v>46056.627141203702</v>
      </c>
      <c r="AC223" s="3">
        <v>46056.537152777775</v>
      </c>
      <c r="AE223" s="1" t="s">
        <v>2783</v>
      </c>
      <c r="BB223" s="1" t="s">
        <v>2784</v>
      </c>
      <c r="CO223" s="1" t="s">
        <v>435</v>
      </c>
      <c r="CQ223" s="1" t="s">
        <v>432</v>
      </c>
      <c r="CR223" s="1" t="s">
        <v>549</v>
      </c>
      <c r="CS223" s="1" t="s">
        <v>549</v>
      </c>
      <c r="CT223" s="3">
        <v>46056.475694444445</v>
      </c>
      <c r="CU223" s="1" t="s">
        <v>436</v>
      </c>
      <c r="CV223" s="1" t="s">
        <v>512</v>
      </c>
      <c r="CY223" s="1" t="s">
        <v>438</v>
      </c>
      <c r="DP223" s="1" t="s">
        <v>2785</v>
      </c>
      <c r="DU223" s="1" t="s">
        <v>2786</v>
      </c>
      <c r="GZ223" s="1" t="s">
        <v>2785</v>
      </c>
      <c r="HA223" s="1" t="s">
        <v>2786</v>
      </c>
      <c r="NM223" s="1" t="s">
        <v>441</v>
      </c>
      <c r="NN223" s="1">
        <v>5</v>
      </c>
      <c r="NS223" s="1">
        <v>5</v>
      </c>
      <c r="NT223" s="1">
        <v>5</v>
      </c>
      <c r="OA223" s="1">
        <v>5</v>
      </c>
      <c r="OB223" s="1">
        <v>5</v>
      </c>
      <c r="OC223" s="1">
        <v>5</v>
      </c>
      <c r="OD223" s="1">
        <v>4</v>
      </c>
      <c r="SB223" s="1" t="s">
        <v>2787</v>
      </c>
      <c r="SC223" s="1" t="s">
        <v>670</v>
      </c>
      <c r="SF223" s="1" t="s">
        <v>2788</v>
      </c>
      <c r="SG223" s="1" t="s">
        <v>2789</v>
      </c>
      <c r="SH223" s="1" t="s">
        <v>438</v>
      </c>
      <c r="SI223" s="1" t="s">
        <v>438</v>
      </c>
      <c r="SK223" s="1" t="s">
        <v>2790</v>
      </c>
      <c r="SL223" s="1" t="s">
        <v>928</v>
      </c>
    </row>
    <row r="224" spans="1:507" ht="48" x14ac:dyDescent="0.2">
      <c r="A224" s="1" t="s">
        <v>2791</v>
      </c>
      <c r="B224" s="1">
        <v>10</v>
      </c>
      <c r="C224" s="1">
        <v>5</v>
      </c>
      <c r="D224" s="3">
        <v>46056.443090277775</v>
      </c>
      <c r="E224" s="1">
        <v>5177629</v>
      </c>
      <c r="F224" s="1" t="s">
        <v>428</v>
      </c>
      <c r="H224" s="1" t="s">
        <v>2792</v>
      </c>
      <c r="J224" s="1" t="s">
        <v>2793</v>
      </c>
      <c r="L224" s="1" t="s">
        <v>2794</v>
      </c>
      <c r="M224" s="1" t="s">
        <v>2794</v>
      </c>
      <c r="N224" s="1" t="s">
        <v>2795</v>
      </c>
      <c r="O224" s="1" t="s">
        <v>432</v>
      </c>
      <c r="R224" s="1" t="s">
        <v>2793</v>
      </c>
      <c r="S224" s="1" t="s">
        <v>2796</v>
      </c>
      <c r="AB224" s="3">
        <v>46056.624178240738</v>
      </c>
      <c r="AC224" s="3">
        <v>46056.536562499998</v>
      </c>
      <c r="AE224" s="1" t="s">
        <v>2797</v>
      </c>
      <c r="BB224" s="1" t="s">
        <v>2798</v>
      </c>
      <c r="CO224" s="1" t="s">
        <v>435</v>
      </c>
      <c r="CQ224" s="1" t="s">
        <v>432</v>
      </c>
      <c r="CR224" s="1" t="s">
        <v>549</v>
      </c>
      <c r="CS224" s="1" t="s">
        <v>549</v>
      </c>
      <c r="CT224" s="3">
        <v>46056.450601851851</v>
      </c>
      <c r="CU224" s="1" t="s">
        <v>436</v>
      </c>
      <c r="CV224" s="1" t="s">
        <v>512</v>
      </c>
      <c r="CY224" s="1" t="s">
        <v>438</v>
      </c>
      <c r="DP224" s="1" t="s">
        <v>2799</v>
      </c>
      <c r="GZ224" s="1" t="s">
        <v>2799</v>
      </c>
      <c r="NM224" s="1" t="s">
        <v>441</v>
      </c>
      <c r="NN224" s="1">
        <v>5</v>
      </c>
      <c r="NS224" s="1">
        <v>4</v>
      </c>
      <c r="NT224" s="1">
        <v>5</v>
      </c>
      <c r="OA224" s="1">
        <v>5</v>
      </c>
      <c r="OB224" s="1">
        <v>5</v>
      </c>
      <c r="OC224" s="1">
        <v>5</v>
      </c>
      <c r="OD224" s="1">
        <v>5</v>
      </c>
      <c r="SB224" s="1" t="s">
        <v>1035</v>
      </c>
      <c r="SC224" s="1" t="s">
        <v>1035</v>
      </c>
      <c r="SF224" s="1" t="s">
        <v>2800</v>
      </c>
      <c r="SG224" s="1" t="s">
        <v>1036</v>
      </c>
      <c r="SH224" s="1" t="s">
        <v>438</v>
      </c>
      <c r="SI224" s="1" t="s">
        <v>438</v>
      </c>
      <c r="SK224" s="1" t="s">
        <v>445</v>
      </c>
      <c r="SL224" s="1" t="s">
        <v>919</v>
      </c>
    </row>
    <row r="225" spans="1:507" ht="48" x14ac:dyDescent="0.2">
      <c r="A225" s="1" t="s">
        <v>2801</v>
      </c>
      <c r="B225" s="1">
        <v>10</v>
      </c>
      <c r="C225" s="1">
        <v>5</v>
      </c>
      <c r="D225" s="3">
        <v>46056.423449074071</v>
      </c>
      <c r="E225" s="1">
        <v>5177508</v>
      </c>
      <c r="F225" s="1" t="s">
        <v>428</v>
      </c>
      <c r="H225" s="1" t="s">
        <v>2802</v>
      </c>
      <c r="J225" s="1" t="s">
        <v>2803</v>
      </c>
      <c r="L225" s="1" t="s">
        <v>2804</v>
      </c>
      <c r="O225" s="1" t="s">
        <v>432</v>
      </c>
      <c r="R225" s="1" t="s">
        <v>2803</v>
      </c>
      <c r="AB225" s="3">
        <v>46056.670127314814</v>
      </c>
      <c r="AC225" s="3">
        <v>46056.536435185182</v>
      </c>
      <c r="AE225" s="1" t="s">
        <v>2805</v>
      </c>
      <c r="BB225" s="1" t="s">
        <v>2806</v>
      </c>
      <c r="CO225" s="1" t="s">
        <v>435</v>
      </c>
      <c r="CQ225" s="1" t="s">
        <v>432</v>
      </c>
      <c r="CR225" s="1" t="s">
        <v>1227</v>
      </c>
      <c r="CS225" s="1" t="s">
        <v>1227</v>
      </c>
      <c r="CT225" s="3">
        <v>46056.428032407406</v>
      </c>
      <c r="CU225" s="1" t="s">
        <v>436</v>
      </c>
      <c r="CV225" s="1" t="s">
        <v>512</v>
      </c>
      <c r="CY225" s="1" t="s">
        <v>438</v>
      </c>
      <c r="DP225" s="1" t="s">
        <v>2807</v>
      </c>
      <c r="DU225" s="1" t="s">
        <v>442</v>
      </c>
      <c r="GZ225" s="1" t="s">
        <v>2807</v>
      </c>
      <c r="HA225" s="1" t="s">
        <v>442</v>
      </c>
      <c r="NM225" s="1" t="s">
        <v>441</v>
      </c>
      <c r="NN225" s="1">
        <v>4</v>
      </c>
      <c r="NS225" s="1">
        <v>5</v>
      </c>
      <c r="NT225" s="1">
        <v>5</v>
      </c>
      <c r="OA225" s="1">
        <v>4</v>
      </c>
      <c r="OB225" s="1">
        <v>5</v>
      </c>
      <c r="OC225" s="1">
        <v>5</v>
      </c>
      <c r="OD225" s="1">
        <v>5</v>
      </c>
      <c r="SB225" s="1" t="s">
        <v>1958</v>
      </c>
      <c r="SC225" s="1" t="s">
        <v>773</v>
      </c>
      <c r="SF225" s="1" t="s">
        <v>1960</v>
      </c>
      <c r="SG225" s="1" t="s">
        <v>1357</v>
      </c>
      <c r="SH225" s="1" t="s">
        <v>438</v>
      </c>
      <c r="SI225" s="1" t="s">
        <v>432</v>
      </c>
      <c r="SK225" s="1" t="s">
        <v>568</v>
      </c>
      <c r="SL225" s="1" t="s">
        <v>799</v>
      </c>
    </row>
    <row r="226" spans="1:507" ht="32" x14ac:dyDescent="0.2">
      <c r="A226" s="1" t="s">
        <v>2808</v>
      </c>
      <c r="B226" s="1">
        <v>10</v>
      </c>
      <c r="C226" s="1">
        <v>5</v>
      </c>
      <c r="D226" s="3">
        <v>46056.417453703703</v>
      </c>
      <c r="E226" s="1">
        <v>5177477</v>
      </c>
      <c r="F226" s="1" t="s">
        <v>428</v>
      </c>
      <c r="H226" s="1" t="s">
        <v>2809</v>
      </c>
      <c r="J226" s="1" t="s">
        <v>2810</v>
      </c>
      <c r="L226" s="1" t="s">
        <v>2811</v>
      </c>
      <c r="O226" s="1" t="s">
        <v>432</v>
      </c>
      <c r="R226" s="1" t="s">
        <v>2810</v>
      </c>
      <c r="AB226" s="3">
        <v>46056.668437499997</v>
      </c>
      <c r="AC226" s="3">
        <v>46056.537488425929</v>
      </c>
      <c r="AE226" s="1" t="s">
        <v>2812</v>
      </c>
      <c r="BB226" s="1" t="s">
        <v>2813</v>
      </c>
      <c r="CO226" s="1" t="s">
        <v>435</v>
      </c>
      <c r="CQ226" s="1" t="s">
        <v>432</v>
      </c>
      <c r="CR226" s="1" t="s">
        <v>1227</v>
      </c>
      <c r="CS226" s="1" t="s">
        <v>1227</v>
      </c>
      <c r="CT226" s="3">
        <v>46056.422719907408</v>
      </c>
      <c r="CU226" s="1" t="s">
        <v>436</v>
      </c>
      <c r="CV226" s="1" t="s">
        <v>512</v>
      </c>
      <c r="CY226" s="1" t="s">
        <v>438</v>
      </c>
      <c r="DP226" s="1" t="s">
        <v>2814</v>
      </c>
      <c r="GZ226" s="1" t="s">
        <v>2814</v>
      </c>
      <c r="NM226" s="1" t="s">
        <v>441</v>
      </c>
      <c r="NN226" s="1">
        <v>5</v>
      </c>
      <c r="NS226" s="1">
        <v>5</v>
      </c>
      <c r="NT226" s="1">
        <v>5</v>
      </c>
      <c r="OA226" s="1">
        <v>5</v>
      </c>
      <c r="OB226" s="1">
        <v>5</v>
      </c>
      <c r="OC226" s="1">
        <v>5</v>
      </c>
      <c r="OD226" s="1">
        <v>5</v>
      </c>
      <c r="SB226" s="1" t="s">
        <v>951</v>
      </c>
      <c r="SC226" s="1" t="s">
        <v>951</v>
      </c>
      <c r="SF226" s="1" t="s">
        <v>953</v>
      </c>
      <c r="SG226" s="1" t="s">
        <v>953</v>
      </c>
      <c r="SH226" s="1" t="s">
        <v>432</v>
      </c>
      <c r="SI226" s="1" t="s">
        <v>432</v>
      </c>
      <c r="SK226" s="1" t="s">
        <v>2325</v>
      </c>
    </row>
    <row r="227" spans="1:507" ht="64" x14ac:dyDescent="0.2">
      <c r="A227" s="1" t="s">
        <v>2815</v>
      </c>
      <c r="B227" s="1">
        <v>10</v>
      </c>
      <c r="C227" s="1">
        <v>5</v>
      </c>
      <c r="D227" s="3">
        <v>46055.835729166669</v>
      </c>
      <c r="E227" s="1">
        <v>5176658</v>
      </c>
      <c r="F227" s="1" t="s">
        <v>428</v>
      </c>
      <c r="H227" s="1" t="s">
        <v>2816</v>
      </c>
      <c r="J227" s="1" t="s">
        <v>2817</v>
      </c>
      <c r="L227" s="1" t="s">
        <v>2818</v>
      </c>
      <c r="M227" s="1" t="s">
        <v>2818</v>
      </c>
      <c r="N227" s="1" t="s">
        <v>2819</v>
      </c>
      <c r="O227" s="1" t="s">
        <v>432</v>
      </c>
      <c r="R227" s="1" t="s">
        <v>2817</v>
      </c>
      <c r="S227" s="1" t="s">
        <v>2820</v>
      </c>
      <c r="AB227" s="3">
        <v>46056.391400462962</v>
      </c>
      <c r="AC227" s="3">
        <v>46055.929918981485</v>
      </c>
      <c r="AE227" s="1" t="s">
        <v>2821</v>
      </c>
      <c r="BB227" s="1" t="s">
        <v>2822</v>
      </c>
      <c r="CO227" s="1" t="s">
        <v>435</v>
      </c>
      <c r="CQ227" s="1" t="s">
        <v>432</v>
      </c>
      <c r="CR227" s="1" t="s">
        <v>1227</v>
      </c>
      <c r="CS227" s="1" t="s">
        <v>1227</v>
      </c>
      <c r="CT227" s="3">
        <v>46055.834837962961</v>
      </c>
      <c r="CU227" s="1" t="s">
        <v>436</v>
      </c>
      <c r="CV227" s="1" t="s">
        <v>512</v>
      </c>
      <c r="CY227" s="1" t="s">
        <v>438</v>
      </c>
      <c r="DP227" s="1" t="s">
        <v>2823</v>
      </c>
      <c r="DU227" s="1" t="s">
        <v>440</v>
      </c>
      <c r="GZ227" s="1" t="s">
        <v>2823</v>
      </c>
      <c r="HA227" s="1" t="s">
        <v>440</v>
      </c>
      <c r="NM227" s="1" t="s">
        <v>441</v>
      </c>
      <c r="NN227" s="1">
        <v>5</v>
      </c>
      <c r="NS227" s="1">
        <v>5</v>
      </c>
      <c r="NT227" s="1">
        <v>5</v>
      </c>
      <c r="OA227" s="1">
        <v>5</v>
      </c>
      <c r="OB227" s="1">
        <v>5</v>
      </c>
      <c r="OC227" s="1">
        <v>5</v>
      </c>
      <c r="OD227" s="1" t="s">
        <v>442</v>
      </c>
      <c r="SB227" s="1" t="s">
        <v>1592</v>
      </c>
      <c r="SC227" s="1" t="s">
        <v>2824</v>
      </c>
      <c r="SE227" s="1" t="s">
        <v>484</v>
      </c>
      <c r="SF227" s="1" t="s">
        <v>2825</v>
      </c>
      <c r="SG227" s="1" t="s">
        <v>2826</v>
      </c>
      <c r="SH227" s="1" t="s">
        <v>438</v>
      </c>
      <c r="SI227" s="1" t="s">
        <v>438</v>
      </c>
      <c r="SK227" s="1" t="s">
        <v>486</v>
      </c>
    </row>
    <row r="228" spans="1:507" ht="64" x14ac:dyDescent="0.2">
      <c r="A228" s="1" t="s">
        <v>2827</v>
      </c>
      <c r="B228" s="1">
        <v>10</v>
      </c>
      <c r="C228" s="1">
        <v>5</v>
      </c>
      <c r="D228" s="3">
        <v>46055.793113425927</v>
      </c>
      <c r="E228" s="1">
        <v>5176484</v>
      </c>
      <c r="F228" s="1" t="s">
        <v>428</v>
      </c>
      <c r="H228" s="1" t="s">
        <v>2828</v>
      </c>
      <c r="J228" s="1" t="s">
        <v>2829</v>
      </c>
      <c r="L228" s="1" t="s">
        <v>2830</v>
      </c>
      <c r="M228" s="1" t="s">
        <v>2830</v>
      </c>
      <c r="N228" s="1" t="s">
        <v>2831</v>
      </c>
      <c r="O228" s="1" t="s">
        <v>432</v>
      </c>
      <c r="R228" s="1" t="s">
        <v>2829</v>
      </c>
      <c r="S228" s="1" t="s">
        <v>2832</v>
      </c>
      <c r="AB228" s="3">
        <v>46056.407141203701</v>
      </c>
      <c r="AC228" s="3">
        <v>46055.763738425929</v>
      </c>
      <c r="AE228" s="1" t="s">
        <v>2833</v>
      </c>
      <c r="BB228" s="1" t="s">
        <v>2834</v>
      </c>
      <c r="CO228" s="1" t="s">
        <v>435</v>
      </c>
      <c r="CQ228" s="1" t="s">
        <v>432</v>
      </c>
      <c r="CR228" s="1" t="s">
        <v>495</v>
      </c>
      <c r="CS228" s="1" t="s">
        <v>495</v>
      </c>
      <c r="CT228" s="3">
        <v>46055.786666666667</v>
      </c>
      <c r="CU228" s="1" t="s">
        <v>436</v>
      </c>
      <c r="CV228" s="1" t="s">
        <v>512</v>
      </c>
      <c r="CY228" s="1" t="s">
        <v>438</v>
      </c>
      <c r="DP228" s="1" t="s">
        <v>2835</v>
      </c>
      <c r="DU228" s="1" t="s">
        <v>2836</v>
      </c>
      <c r="GZ228" s="1" t="s">
        <v>2835</v>
      </c>
      <c r="HA228" s="1" t="s">
        <v>2836</v>
      </c>
      <c r="NM228" s="1" t="s">
        <v>441</v>
      </c>
      <c r="NN228" s="1">
        <v>5</v>
      </c>
      <c r="NS228" s="1">
        <v>5</v>
      </c>
      <c r="NT228" s="1">
        <v>5</v>
      </c>
      <c r="OA228" s="1">
        <v>5</v>
      </c>
      <c r="OB228" s="1">
        <v>5</v>
      </c>
      <c r="OC228" s="1">
        <v>5</v>
      </c>
      <c r="OD228" s="1">
        <v>5</v>
      </c>
      <c r="SC228" s="1" t="s">
        <v>2837</v>
      </c>
      <c r="SG228" s="1" t="s">
        <v>2838</v>
      </c>
      <c r="SH228" s="1" t="s">
        <v>438</v>
      </c>
      <c r="SI228" s="1" t="s">
        <v>438</v>
      </c>
      <c r="SK228" s="1" t="s">
        <v>2325</v>
      </c>
    </row>
    <row r="229" spans="1:507" ht="48" x14ac:dyDescent="0.2">
      <c r="A229" s="1" t="s">
        <v>2839</v>
      </c>
      <c r="B229" s="1">
        <v>10</v>
      </c>
      <c r="C229" s="1">
        <v>5</v>
      </c>
      <c r="D229" s="3">
        <v>46055.647777777776</v>
      </c>
      <c r="E229" s="1">
        <v>5176113</v>
      </c>
      <c r="F229" s="1" t="s">
        <v>428</v>
      </c>
      <c r="H229" s="1" t="s">
        <v>2840</v>
      </c>
      <c r="J229" s="1" t="s">
        <v>650</v>
      </c>
      <c r="L229" s="1" t="s">
        <v>651</v>
      </c>
      <c r="O229" s="1" t="s">
        <v>432</v>
      </c>
      <c r="R229" s="1" t="s">
        <v>650</v>
      </c>
      <c r="AB229" s="3">
        <v>46056.463877314818</v>
      </c>
      <c r="AC229" s="3">
        <v>46055.763831018521</v>
      </c>
      <c r="AE229" s="1" t="s">
        <v>2841</v>
      </c>
      <c r="BB229" s="1" t="s">
        <v>2842</v>
      </c>
      <c r="CO229" s="1" t="s">
        <v>435</v>
      </c>
      <c r="CQ229" s="1" t="s">
        <v>432</v>
      </c>
      <c r="CR229" s="1" t="s">
        <v>495</v>
      </c>
      <c r="CS229" s="1" t="s">
        <v>495</v>
      </c>
      <c r="CT229" s="3">
        <v>46055.647997685184</v>
      </c>
      <c r="CU229" s="1" t="s">
        <v>436</v>
      </c>
      <c r="CV229" s="1" t="s">
        <v>512</v>
      </c>
      <c r="CY229" s="1" t="s">
        <v>438</v>
      </c>
      <c r="DP229" s="1" t="s">
        <v>2843</v>
      </c>
      <c r="GZ229" s="1" t="s">
        <v>2843</v>
      </c>
      <c r="NM229" s="1" t="s">
        <v>441</v>
      </c>
      <c r="NN229" s="1">
        <v>4</v>
      </c>
      <c r="NS229" s="1">
        <v>5</v>
      </c>
      <c r="NT229" s="1">
        <v>4</v>
      </c>
      <c r="OA229" s="1">
        <v>5</v>
      </c>
      <c r="OB229" s="1">
        <v>5</v>
      </c>
      <c r="OC229" s="1">
        <v>5</v>
      </c>
      <c r="OD229" s="1">
        <v>5</v>
      </c>
      <c r="SC229" s="1" t="s">
        <v>2844</v>
      </c>
      <c r="SG229" s="1" t="s">
        <v>2845</v>
      </c>
      <c r="SH229" s="1" t="s">
        <v>438</v>
      </c>
      <c r="SI229" s="1" t="s">
        <v>432</v>
      </c>
      <c r="SK229" s="1" t="s">
        <v>568</v>
      </c>
    </row>
    <row r="230" spans="1:507" ht="48" x14ac:dyDescent="0.2">
      <c r="A230" s="1" t="s">
        <v>2846</v>
      </c>
      <c r="B230" s="1">
        <v>10</v>
      </c>
      <c r="C230" s="1">
        <v>5</v>
      </c>
      <c r="D230" s="3">
        <v>46055.598738425928</v>
      </c>
      <c r="E230" s="1">
        <v>5175942</v>
      </c>
      <c r="F230" s="1" t="s">
        <v>428</v>
      </c>
      <c r="H230" s="1" t="s">
        <v>2847</v>
      </c>
      <c r="J230" s="1" t="s">
        <v>2848</v>
      </c>
      <c r="L230" s="1" t="s">
        <v>2849</v>
      </c>
      <c r="M230" s="1" t="s">
        <v>2849</v>
      </c>
      <c r="N230" s="1" t="s">
        <v>1734</v>
      </c>
      <c r="O230" s="1" t="s">
        <v>432</v>
      </c>
      <c r="R230" s="1" t="s">
        <v>2848</v>
      </c>
      <c r="S230" s="1" t="s">
        <v>1735</v>
      </c>
      <c r="AB230" s="3">
        <v>46056.371030092596</v>
      </c>
      <c r="AC230" s="3">
        <v>46055.720416666663</v>
      </c>
      <c r="AE230" s="1" t="s">
        <v>2850</v>
      </c>
      <c r="BB230" s="1" t="s">
        <v>2851</v>
      </c>
      <c r="CO230" s="1" t="s">
        <v>435</v>
      </c>
      <c r="CQ230" s="1" t="s">
        <v>432</v>
      </c>
      <c r="CR230" s="1" t="s">
        <v>549</v>
      </c>
      <c r="CS230" s="1" t="s">
        <v>549</v>
      </c>
      <c r="CT230" s="3">
        <v>46055.599027777775</v>
      </c>
      <c r="CU230" s="1" t="s">
        <v>436</v>
      </c>
      <c r="CV230" s="1" t="s">
        <v>512</v>
      </c>
      <c r="CY230" s="1" t="s">
        <v>438</v>
      </c>
      <c r="DP230" s="1" t="s">
        <v>2852</v>
      </c>
      <c r="DU230" s="1" t="s">
        <v>2853</v>
      </c>
      <c r="GZ230" s="1" t="s">
        <v>2852</v>
      </c>
      <c r="HA230" s="1" t="s">
        <v>2853</v>
      </c>
      <c r="NM230" s="1" t="s">
        <v>441</v>
      </c>
      <c r="NN230" s="1">
        <v>5</v>
      </c>
      <c r="NS230" s="1">
        <v>5</v>
      </c>
      <c r="NT230" s="1">
        <v>5</v>
      </c>
      <c r="OA230" s="1">
        <v>5</v>
      </c>
      <c r="OB230" s="1">
        <v>5</v>
      </c>
      <c r="OC230" s="1">
        <v>5</v>
      </c>
      <c r="OD230" s="1">
        <v>5</v>
      </c>
      <c r="SB230" s="1" t="s">
        <v>615</v>
      </c>
      <c r="SC230" s="1" t="s">
        <v>646</v>
      </c>
      <c r="SF230" s="1" t="s">
        <v>844</v>
      </c>
      <c r="SG230" s="1" t="s">
        <v>1254</v>
      </c>
      <c r="SH230" s="1" t="s">
        <v>438</v>
      </c>
      <c r="SI230" s="1" t="s">
        <v>438</v>
      </c>
      <c r="SK230" s="1" t="s">
        <v>919</v>
      </c>
    </row>
    <row r="231" spans="1:507" ht="32" x14ac:dyDescent="0.2">
      <c r="A231" s="1" t="s">
        <v>2854</v>
      </c>
      <c r="B231" s="1">
        <v>10</v>
      </c>
      <c r="C231" s="1">
        <v>5</v>
      </c>
      <c r="D231" s="3">
        <v>46053.95921296296</v>
      </c>
      <c r="E231" s="1">
        <v>5172881</v>
      </c>
      <c r="F231" s="1" t="s">
        <v>428</v>
      </c>
      <c r="H231" s="1" t="s">
        <v>2855</v>
      </c>
      <c r="J231" s="1" t="s">
        <v>2856</v>
      </c>
      <c r="L231" s="1" t="s">
        <v>2857</v>
      </c>
      <c r="N231" s="1" t="s">
        <v>2858</v>
      </c>
      <c r="O231" s="1" t="s">
        <v>432</v>
      </c>
      <c r="R231" s="1" t="s">
        <v>2856</v>
      </c>
      <c r="S231" s="1" t="s">
        <v>2859</v>
      </c>
      <c r="AB231" s="3">
        <v>46055.452743055554</v>
      </c>
      <c r="AC231" s="3">
        <v>46050.542546296296</v>
      </c>
      <c r="AE231" s="1" t="s">
        <v>2860</v>
      </c>
      <c r="BB231" s="1" t="s">
        <v>2861</v>
      </c>
      <c r="CO231" s="1" t="s">
        <v>435</v>
      </c>
      <c r="CQ231" s="1" t="s">
        <v>432</v>
      </c>
      <c r="CR231" s="1" t="s">
        <v>511</v>
      </c>
      <c r="CS231" s="1" t="s">
        <v>511</v>
      </c>
      <c r="CT231" s="3">
        <v>46053.958414351851</v>
      </c>
      <c r="CU231" s="1" t="s">
        <v>436</v>
      </c>
      <c r="CV231" s="1" t="s">
        <v>512</v>
      </c>
      <c r="CY231" s="1" t="s">
        <v>438</v>
      </c>
      <c r="DP231" s="1" t="s">
        <v>2862</v>
      </c>
      <c r="DU231" s="1" t="s">
        <v>682</v>
      </c>
      <c r="GZ231" s="1" t="s">
        <v>2862</v>
      </c>
      <c r="HA231" s="1" t="s">
        <v>682</v>
      </c>
      <c r="NM231" s="1" t="s">
        <v>441</v>
      </c>
      <c r="NN231" s="1">
        <v>4</v>
      </c>
      <c r="NS231" s="1">
        <v>5</v>
      </c>
      <c r="NT231" s="1">
        <v>5</v>
      </c>
      <c r="OA231" s="1">
        <v>5</v>
      </c>
      <c r="OB231" s="1">
        <v>5</v>
      </c>
      <c r="OC231" s="1">
        <v>5</v>
      </c>
      <c r="OD231" s="1">
        <v>4</v>
      </c>
      <c r="SB231" s="1" t="s">
        <v>443</v>
      </c>
      <c r="SC231" s="1" t="s">
        <v>443</v>
      </c>
      <c r="SF231" s="1" t="s">
        <v>444</v>
      </c>
      <c r="SG231" s="1" t="s">
        <v>444</v>
      </c>
      <c r="SH231" s="1" t="s">
        <v>432</v>
      </c>
      <c r="SI231" s="1" t="s">
        <v>432</v>
      </c>
      <c r="SK231" s="1" t="s">
        <v>445</v>
      </c>
    </row>
    <row r="232" spans="1:507" ht="48" x14ac:dyDescent="0.2">
      <c r="A232" s="1" t="s">
        <v>2863</v>
      </c>
      <c r="B232" s="1">
        <v>10</v>
      </c>
      <c r="C232" s="1">
        <v>5</v>
      </c>
      <c r="D232" s="3">
        <v>46053.911307870374</v>
      </c>
      <c r="E232" s="1">
        <v>5172839</v>
      </c>
      <c r="F232" s="1" t="s">
        <v>428</v>
      </c>
      <c r="H232" s="1" t="s">
        <v>2864</v>
      </c>
      <c r="J232" s="1" t="s">
        <v>2865</v>
      </c>
      <c r="L232" s="1" t="s">
        <v>2866</v>
      </c>
      <c r="M232" s="1" t="s">
        <v>2866</v>
      </c>
      <c r="N232" s="1" t="s">
        <v>2867</v>
      </c>
      <c r="O232" s="1" t="s">
        <v>432</v>
      </c>
      <c r="R232" s="1" t="s">
        <v>2865</v>
      </c>
      <c r="S232" s="1" t="s">
        <v>2868</v>
      </c>
      <c r="AB232" s="3">
        <v>46055.45244212963</v>
      </c>
      <c r="AC232" s="3">
        <v>46052.53361111111</v>
      </c>
      <c r="AE232" s="1" t="s">
        <v>2869</v>
      </c>
      <c r="BB232" s="1" t="s">
        <v>2870</v>
      </c>
      <c r="CO232" s="1" t="s">
        <v>435</v>
      </c>
      <c r="CQ232" s="1" t="s">
        <v>432</v>
      </c>
      <c r="CR232" s="1" t="s">
        <v>511</v>
      </c>
      <c r="CS232" s="1" t="s">
        <v>511</v>
      </c>
      <c r="CT232" s="3">
        <v>46053.911087962966</v>
      </c>
      <c r="CU232" s="1" t="s">
        <v>436</v>
      </c>
      <c r="CV232" s="1" t="s">
        <v>512</v>
      </c>
      <c r="CY232" s="1" t="s">
        <v>438</v>
      </c>
      <c r="DP232" s="1" t="s">
        <v>2871</v>
      </c>
      <c r="DU232" s="1" t="s">
        <v>2872</v>
      </c>
      <c r="GZ232" s="1" t="s">
        <v>2871</v>
      </c>
      <c r="HA232" s="1" t="s">
        <v>2872</v>
      </c>
      <c r="NM232" s="1" t="s">
        <v>441</v>
      </c>
      <c r="NN232" s="1">
        <v>5</v>
      </c>
      <c r="NS232" s="1">
        <v>5</v>
      </c>
      <c r="NT232" s="1">
        <v>5</v>
      </c>
      <c r="OA232" s="1">
        <v>5</v>
      </c>
      <c r="OB232" s="1">
        <v>5</v>
      </c>
      <c r="OC232" s="1">
        <v>5</v>
      </c>
      <c r="OD232" s="1">
        <v>5</v>
      </c>
      <c r="SB232" s="1" t="s">
        <v>443</v>
      </c>
      <c r="SC232" s="1" t="s">
        <v>773</v>
      </c>
      <c r="SF232" s="1" t="s">
        <v>579</v>
      </c>
      <c r="SG232" s="1" t="s">
        <v>1357</v>
      </c>
      <c r="SH232" s="1" t="s">
        <v>438</v>
      </c>
      <c r="SI232" s="1" t="s">
        <v>438</v>
      </c>
      <c r="SK232" s="1" t="s">
        <v>568</v>
      </c>
      <c r="SL232" s="1" t="s">
        <v>799</v>
      </c>
    </row>
    <row r="233" spans="1:507" ht="16" x14ac:dyDescent="0.2">
      <c r="A233" s="1" t="s">
        <v>2873</v>
      </c>
      <c r="B233" s="1">
        <v>10</v>
      </c>
      <c r="C233" s="1">
        <v>5</v>
      </c>
      <c r="D233" s="3">
        <v>46053.760810185187</v>
      </c>
      <c r="E233" s="1">
        <v>5172738</v>
      </c>
      <c r="F233" s="1" t="s">
        <v>428</v>
      </c>
      <c r="H233" s="1" t="s">
        <v>2874</v>
      </c>
      <c r="J233" s="1" t="s">
        <v>2875</v>
      </c>
      <c r="L233" s="1" t="s">
        <v>2876</v>
      </c>
      <c r="O233" s="1" t="s">
        <v>432</v>
      </c>
      <c r="R233" s="1" t="s">
        <v>2875</v>
      </c>
      <c r="AB233" s="3">
        <v>46055.449629629627</v>
      </c>
      <c r="AC233" s="3">
        <v>46052.532233796293</v>
      </c>
      <c r="AE233" s="1" t="s">
        <v>2877</v>
      </c>
      <c r="CO233" s="1" t="s">
        <v>435</v>
      </c>
      <c r="CQ233" s="1" t="s">
        <v>432</v>
      </c>
      <c r="CR233" s="1" t="s">
        <v>511</v>
      </c>
      <c r="CS233" s="1" t="s">
        <v>511</v>
      </c>
      <c r="CT233" s="3">
        <v>46053.760729166665</v>
      </c>
      <c r="CU233" s="1" t="s">
        <v>436</v>
      </c>
      <c r="CV233" s="1" t="s">
        <v>512</v>
      </c>
      <c r="CY233" s="1" t="s">
        <v>438</v>
      </c>
      <c r="DP233" s="1" t="s">
        <v>2878</v>
      </c>
      <c r="GZ233" s="1" t="s">
        <v>2878</v>
      </c>
      <c r="NM233" s="1" t="s">
        <v>441</v>
      </c>
      <c r="NN233" s="1">
        <v>5</v>
      </c>
      <c r="NS233" s="1">
        <v>5</v>
      </c>
      <c r="NT233" s="1">
        <v>5</v>
      </c>
      <c r="OA233" s="1">
        <v>5</v>
      </c>
      <c r="OB233" s="1">
        <v>5</v>
      </c>
      <c r="OC233" s="1">
        <v>5</v>
      </c>
      <c r="OD233" s="1">
        <v>5</v>
      </c>
      <c r="SB233" s="1" t="s">
        <v>951</v>
      </c>
      <c r="SC233" s="1" t="s">
        <v>951</v>
      </c>
      <c r="SF233" s="1" t="s">
        <v>953</v>
      </c>
      <c r="SG233" s="1" t="s">
        <v>953</v>
      </c>
      <c r="SH233" s="1" t="s">
        <v>432</v>
      </c>
      <c r="SI233" s="1" t="s">
        <v>432</v>
      </c>
      <c r="SK233" s="1" t="s">
        <v>2325</v>
      </c>
    </row>
    <row r="234" spans="1:507" ht="32" x14ac:dyDescent="0.2">
      <c r="A234" s="1" t="s">
        <v>2879</v>
      </c>
      <c r="B234" s="1">
        <v>9</v>
      </c>
      <c r="C234" s="1">
        <v>5</v>
      </c>
      <c r="D234" s="3">
        <v>46053.350439814814</v>
      </c>
      <c r="E234" s="1">
        <v>5172502</v>
      </c>
      <c r="F234" s="1" t="s">
        <v>428</v>
      </c>
      <c r="H234" s="1" t="s">
        <v>2880</v>
      </c>
      <c r="J234" s="1" t="s">
        <v>2881</v>
      </c>
      <c r="L234" s="1" t="s">
        <v>2882</v>
      </c>
      <c r="M234" s="1" t="s">
        <v>2882</v>
      </c>
      <c r="N234" s="1" t="s">
        <v>2883</v>
      </c>
      <c r="O234" s="1" t="s">
        <v>432</v>
      </c>
      <c r="R234" s="1" t="s">
        <v>2881</v>
      </c>
      <c r="S234" s="1" t="s">
        <v>2884</v>
      </c>
      <c r="AB234" s="3">
        <v>46055.400590277779</v>
      </c>
      <c r="AC234" s="3">
        <v>46051.532349537039</v>
      </c>
      <c r="AE234" s="1" t="s">
        <v>2885</v>
      </c>
      <c r="BB234" s="1" t="s">
        <v>2886</v>
      </c>
      <c r="CO234" s="1" t="s">
        <v>435</v>
      </c>
      <c r="CQ234" s="1" t="s">
        <v>432</v>
      </c>
      <c r="CR234" s="1" t="s">
        <v>549</v>
      </c>
      <c r="CS234" s="1" t="s">
        <v>549</v>
      </c>
      <c r="CT234" s="3">
        <v>46053.349247685182</v>
      </c>
      <c r="CU234" s="1" t="s">
        <v>436</v>
      </c>
      <c r="CV234" s="1" t="s">
        <v>512</v>
      </c>
      <c r="CY234" s="1" t="s">
        <v>438</v>
      </c>
      <c r="DP234" s="1" t="s">
        <v>2887</v>
      </c>
      <c r="DU234" s="1" t="s">
        <v>2888</v>
      </c>
      <c r="GZ234" s="1" t="s">
        <v>2887</v>
      </c>
      <c r="HA234" s="1" t="s">
        <v>2888</v>
      </c>
      <c r="NM234" s="1" t="s">
        <v>441</v>
      </c>
      <c r="NN234" s="1">
        <v>4</v>
      </c>
      <c r="NS234" s="1">
        <v>5</v>
      </c>
      <c r="NT234" s="1">
        <v>5</v>
      </c>
      <c r="OA234" s="1">
        <v>4</v>
      </c>
      <c r="OB234" s="1">
        <v>5</v>
      </c>
      <c r="OC234" s="1">
        <v>5</v>
      </c>
      <c r="OD234" s="1">
        <v>4</v>
      </c>
      <c r="SC234" s="1" t="s">
        <v>773</v>
      </c>
      <c r="SG234" s="1" t="s">
        <v>786</v>
      </c>
      <c r="SH234" s="1" t="s">
        <v>438</v>
      </c>
      <c r="SI234" s="1" t="s">
        <v>432</v>
      </c>
      <c r="SK234" s="1" t="s">
        <v>445</v>
      </c>
      <c r="SL234" s="1" t="s">
        <v>540</v>
      </c>
    </row>
    <row r="235" spans="1:507" ht="48" x14ac:dyDescent="0.2">
      <c r="A235" s="1" t="s">
        <v>2889</v>
      </c>
      <c r="B235" s="1">
        <v>10</v>
      </c>
      <c r="C235" s="1">
        <v>5</v>
      </c>
      <c r="D235" s="3">
        <v>46052.834074074075</v>
      </c>
      <c r="E235" s="1">
        <v>5172159</v>
      </c>
      <c r="F235" s="1" t="s">
        <v>428</v>
      </c>
      <c r="H235" s="1" t="s">
        <v>2890</v>
      </c>
      <c r="J235" s="1" t="s">
        <v>2891</v>
      </c>
      <c r="L235" s="1" t="s">
        <v>2892</v>
      </c>
      <c r="M235" s="1" t="s">
        <v>2892</v>
      </c>
      <c r="N235" s="1" t="s">
        <v>820</v>
      </c>
      <c r="O235" s="1" t="s">
        <v>432</v>
      </c>
      <c r="R235" s="1" t="s">
        <v>2891</v>
      </c>
      <c r="S235" s="1" t="s">
        <v>821</v>
      </c>
      <c r="AB235" s="3">
        <v>46055.397858796299</v>
      </c>
      <c r="AC235" s="3">
        <v>46052.53329861111</v>
      </c>
      <c r="AE235" s="1" t="s">
        <v>2893</v>
      </c>
      <c r="BB235" s="1" t="s">
        <v>2894</v>
      </c>
      <c r="CO235" s="1" t="s">
        <v>435</v>
      </c>
      <c r="CQ235" s="1" t="s">
        <v>432</v>
      </c>
      <c r="CR235" s="1" t="s">
        <v>549</v>
      </c>
      <c r="CS235" s="1" t="s">
        <v>549</v>
      </c>
      <c r="CT235" s="3">
        <v>46052.833599537036</v>
      </c>
      <c r="CU235" s="1" t="s">
        <v>436</v>
      </c>
      <c r="CV235" s="1" t="s">
        <v>512</v>
      </c>
      <c r="CY235" s="1" t="s">
        <v>438</v>
      </c>
      <c r="DP235" s="1" t="s">
        <v>2895</v>
      </c>
      <c r="DU235" s="1" t="s">
        <v>2896</v>
      </c>
      <c r="GZ235" s="1" t="s">
        <v>2895</v>
      </c>
      <c r="HA235" s="1" t="s">
        <v>2896</v>
      </c>
      <c r="NM235" s="1" t="s">
        <v>441</v>
      </c>
      <c r="NN235" s="1">
        <v>4</v>
      </c>
      <c r="NS235" s="1">
        <v>5</v>
      </c>
      <c r="NT235" s="1">
        <v>5</v>
      </c>
      <c r="OA235" s="1">
        <v>5</v>
      </c>
      <c r="OB235" s="1">
        <v>5</v>
      </c>
      <c r="OC235" s="1">
        <v>5</v>
      </c>
      <c r="OD235" s="1">
        <v>4</v>
      </c>
      <c r="SB235" s="1" t="s">
        <v>615</v>
      </c>
      <c r="SC235" s="1" t="s">
        <v>646</v>
      </c>
      <c r="SF235" s="1" t="s">
        <v>1500</v>
      </c>
      <c r="SG235" s="1" t="s">
        <v>647</v>
      </c>
      <c r="SH235" s="1" t="s">
        <v>438</v>
      </c>
      <c r="SI235" s="1" t="s">
        <v>432</v>
      </c>
      <c r="SK235" s="1" t="s">
        <v>568</v>
      </c>
      <c r="SL235" s="1" t="s">
        <v>620</v>
      </c>
    </row>
    <row r="236" spans="1:507" ht="48" x14ac:dyDescent="0.2">
      <c r="A236" s="1" t="s">
        <v>2897</v>
      </c>
      <c r="B236" s="1">
        <v>7</v>
      </c>
      <c r="C236" s="1">
        <v>3</v>
      </c>
      <c r="D236" s="3">
        <v>46052.769733796296</v>
      </c>
      <c r="E236" s="1">
        <v>5172098</v>
      </c>
      <c r="F236" s="1" t="s">
        <v>428</v>
      </c>
      <c r="H236" s="1" t="s">
        <v>2898</v>
      </c>
      <c r="J236" s="1" t="s">
        <v>2899</v>
      </c>
      <c r="L236" s="1" t="s">
        <v>2900</v>
      </c>
      <c r="N236" s="1" t="s">
        <v>993</v>
      </c>
      <c r="O236" s="1" t="s">
        <v>438</v>
      </c>
      <c r="R236" s="1" t="s">
        <v>2899</v>
      </c>
      <c r="S236" s="1" t="s">
        <v>994</v>
      </c>
      <c r="AB236" s="3">
        <v>46055.586296296293</v>
      </c>
      <c r="AC236" s="3">
        <v>46052.532314814816</v>
      </c>
      <c r="AE236" s="1" t="s">
        <v>2901</v>
      </c>
      <c r="BB236" s="1" t="s">
        <v>2902</v>
      </c>
      <c r="CO236" s="1" t="s">
        <v>435</v>
      </c>
      <c r="CQ236" s="1" t="s">
        <v>432</v>
      </c>
      <c r="CR236" s="1" t="s">
        <v>1770</v>
      </c>
      <c r="CS236" s="1" t="s">
        <v>729</v>
      </c>
      <c r="CT236" s="3">
        <v>46052.76934027778</v>
      </c>
      <c r="CU236" s="1" t="s">
        <v>524</v>
      </c>
      <c r="CV236" s="1" t="s">
        <v>512</v>
      </c>
      <c r="CW236" s="3">
        <v>46055.586122685185</v>
      </c>
      <c r="CX236" s="1" t="s">
        <v>1057</v>
      </c>
      <c r="CY236" s="1" t="s">
        <v>438</v>
      </c>
      <c r="DP236" s="1" t="s">
        <v>2903</v>
      </c>
      <c r="DU236" s="1" t="s">
        <v>2904</v>
      </c>
      <c r="GZ236" s="1" t="s">
        <v>2903</v>
      </c>
      <c r="HA236" s="1" t="s">
        <v>2904</v>
      </c>
      <c r="NM236" s="1" t="s">
        <v>441</v>
      </c>
      <c r="NN236" s="1">
        <v>4</v>
      </c>
      <c r="NS236" s="1">
        <v>5</v>
      </c>
      <c r="NT236" s="1">
        <v>5</v>
      </c>
      <c r="OA236" s="1">
        <v>3</v>
      </c>
      <c r="OB236" s="1">
        <v>3</v>
      </c>
      <c r="OC236" s="1">
        <v>3</v>
      </c>
      <c r="OD236" s="1">
        <v>1</v>
      </c>
      <c r="SC236" s="1" t="s">
        <v>2905</v>
      </c>
      <c r="SG236" s="1" t="s">
        <v>2906</v>
      </c>
      <c r="SH236" s="1" t="s">
        <v>438</v>
      </c>
      <c r="SI236" s="1" t="s">
        <v>438</v>
      </c>
      <c r="SK236" s="1" t="s">
        <v>445</v>
      </c>
      <c r="SL236" s="1" t="s">
        <v>2141</v>
      </c>
    </row>
    <row r="237" spans="1:507" ht="64" x14ac:dyDescent="0.2">
      <c r="A237" s="1" t="s">
        <v>2907</v>
      </c>
      <c r="B237" s="1">
        <v>10</v>
      </c>
      <c r="C237" s="1">
        <v>5</v>
      </c>
      <c r="D237" s="3">
        <v>46052.762546296297</v>
      </c>
      <c r="E237" s="1">
        <v>5172083</v>
      </c>
      <c r="F237" s="1" t="s">
        <v>428</v>
      </c>
      <c r="H237" s="1" t="s">
        <v>2908</v>
      </c>
      <c r="J237" s="1" t="s">
        <v>2909</v>
      </c>
      <c r="L237" s="1" t="s">
        <v>2910</v>
      </c>
      <c r="N237" s="1" t="s">
        <v>837</v>
      </c>
      <c r="O237" s="1" t="s">
        <v>432</v>
      </c>
      <c r="R237" s="1" t="s">
        <v>2909</v>
      </c>
      <c r="S237" s="1" t="s">
        <v>838</v>
      </c>
      <c r="AB237" s="3">
        <v>46055.396597222221</v>
      </c>
      <c r="AC237" s="3">
        <v>46052.595578703702</v>
      </c>
      <c r="AE237" s="1" t="s">
        <v>2911</v>
      </c>
      <c r="BB237" s="1" t="s">
        <v>2912</v>
      </c>
      <c r="CO237" s="1" t="s">
        <v>435</v>
      </c>
      <c r="CQ237" s="1" t="s">
        <v>432</v>
      </c>
      <c r="CR237" s="1" t="s">
        <v>549</v>
      </c>
      <c r="CS237" s="1" t="s">
        <v>549</v>
      </c>
      <c r="CT237" s="3">
        <v>46052.76121527778</v>
      </c>
      <c r="CU237" s="1" t="s">
        <v>436</v>
      </c>
      <c r="CV237" s="1" t="s">
        <v>512</v>
      </c>
      <c r="CY237" s="1" t="s">
        <v>438</v>
      </c>
      <c r="DP237" s="1" t="s">
        <v>2913</v>
      </c>
      <c r="DU237" s="1" t="s">
        <v>2914</v>
      </c>
      <c r="GZ237" s="1" t="s">
        <v>2913</v>
      </c>
      <c r="HA237" s="1" t="s">
        <v>2914</v>
      </c>
      <c r="NM237" s="1" t="s">
        <v>441</v>
      </c>
      <c r="NN237" s="1">
        <v>5</v>
      </c>
      <c r="NS237" s="1">
        <v>5</v>
      </c>
      <c r="NT237" s="1">
        <v>5</v>
      </c>
      <c r="OA237" s="1">
        <v>5</v>
      </c>
      <c r="OB237" s="1">
        <v>5</v>
      </c>
      <c r="OC237" s="1">
        <v>5</v>
      </c>
      <c r="OD237" s="1">
        <v>5</v>
      </c>
      <c r="SB237" s="1" t="s">
        <v>2915</v>
      </c>
      <c r="SC237" s="1" t="s">
        <v>1332</v>
      </c>
      <c r="SF237" s="1" t="s">
        <v>2916</v>
      </c>
      <c r="SG237" s="1" t="s">
        <v>1334</v>
      </c>
      <c r="SH237" s="1" t="s">
        <v>438</v>
      </c>
      <c r="SI237" s="1" t="s">
        <v>432</v>
      </c>
      <c r="SK237" s="1" t="s">
        <v>500</v>
      </c>
      <c r="SL237" s="1" t="s">
        <v>2108</v>
      </c>
      <c r="SM237" s="1" t="s">
        <v>799</v>
      </c>
    </row>
    <row r="238" spans="1:507" ht="96" x14ac:dyDescent="0.2">
      <c r="A238" s="1" t="s">
        <v>2917</v>
      </c>
      <c r="B238" s="1">
        <v>10</v>
      </c>
      <c r="C238" s="1">
        <v>5</v>
      </c>
      <c r="D238" s="3">
        <v>46052.637557870374</v>
      </c>
      <c r="E238" s="1">
        <v>5171830</v>
      </c>
      <c r="F238" s="1" t="s">
        <v>428</v>
      </c>
      <c r="H238" s="1" t="s">
        <v>2918</v>
      </c>
      <c r="J238" s="1" t="s">
        <v>2919</v>
      </c>
      <c r="L238" s="1" t="s">
        <v>2920</v>
      </c>
      <c r="O238" s="1" t="s">
        <v>432</v>
      </c>
      <c r="R238" s="1" t="s">
        <v>2919</v>
      </c>
      <c r="AB238" s="3">
        <v>46055.391851851855</v>
      </c>
      <c r="AC238" s="3">
        <v>46052.532870370371</v>
      </c>
      <c r="AE238" s="1" t="s">
        <v>2921</v>
      </c>
      <c r="BB238" s="1" t="s">
        <v>2922</v>
      </c>
      <c r="CO238" s="1" t="s">
        <v>435</v>
      </c>
      <c r="CQ238" s="1" t="s">
        <v>432</v>
      </c>
      <c r="CR238" s="1" t="s">
        <v>549</v>
      </c>
      <c r="CS238" s="1" t="s">
        <v>549</v>
      </c>
      <c r="CT238" s="3">
        <v>46052.635150462964</v>
      </c>
      <c r="CU238" s="1" t="s">
        <v>436</v>
      </c>
      <c r="CV238" s="1" t="s">
        <v>512</v>
      </c>
      <c r="CY238" s="1" t="s">
        <v>438</v>
      </c>
      <c r="DP238" s="1" t="s">
        <v>2923</v>
      </c>
      <c r="DU238" s="1" t="s">
        <v>2924</v>
      </c>
      <c r="GZ238" s="1" t="s">
        <v>2923</v>
      </c>
      <c r="HA238" s="1" t="s">
        <v>2924</v>
      </c>
      <c r="NM238" s="1" t="s">
        <v>441</v>
      </c>
      <c r="NN238" s="1">
        <v>5</v>
      </c>
      <c r="NS238" s="1">
        <v>5</v>
      </c>
      <c r="NT238" s="1">
        <v>5</v>
      </c>
      <c r="OA238" s="1">
        <v>5</v>
      </c>
      <c r="OB238" s="1">
        <v>5</v>
      </c>
      <c r="OC238" s="1">
        <v>5</v>
      </c>
      <c r="OD238" s="1">
        <v>5</v>
      </c>
      <c r="SB238" s="1" t="s">
        <v>2925</v>
      </c>
      <c r="SC238" s="1" t="s">
        <v>2926</v>
      </c>
      <c r="SF238" s="1" t="s">
        <v>2927</v>
      </c>
      <c r="SG238" s="1" t="s">
        <v>2928</v>
      </c>
      <c r="SH238" s="1" t="s">
        <v>438</v>
      </c>
      <c r="SI238" s="1" t="s">
        <v>438</v>
      </c>
      <c r="SK238" s="1" t="s">
        <v>919</v>
      </c>
      <c r="SL238" s="1" t="s">
        <v>1126</v>
      </c>
    </row>
    <row r="239" spans="1:507" ht="32" x14ac:dyDescent="0.2">
      <c r="A239" s="1" t="s">
        <v>2929</v>
      </c>
      <c r="B239" s="1">
        <v>10</v>
      </c>
      <c r="C239" s="1">
        <v>5</v>
      </c>
      <c r="D239" s="3">
        <v>46052.560972222222</v>
      </c>
      <c r="E239" s="1">
        <v>5171482</v>
      </c>
      <c r="F239" s="1" t="s">
        <v>428</v>
      </c>
      <c r="H239" s="1" t="s">
        <v>2930</v>
      </c>
      <c r="J239" s="1" t="s">
        <v>2931</v>
      </c>
      <c r="L239" s="1" t="s">
        <v>2932</v>
      </c>
      <c r="N239" s="1" t="s">
        <v>2243</v>
      </c>
      <c r="O239" s="1" t="s">
        <v>432</v>
      </c>
      <c r="R239" s="1" t="s">
        <v>2931</v>
      </c>
      <c r="S239" s="1" t="s">
        <v>2244</v>
      </c>
      <c r="AB239" s="3">
        <v>46055.389236111114</v>
      </c>
      <c r="AC239" s="3">
        <v>46052.532268518517</v>
      </c>
      <c r="AE239" s="1" t="s">
        <v>2933</v>
      </c>
      <c r="BB239" s="1" t="s">
        <v>2934</v>
      </c>
      <c r="CO239" s="1" t="s">
        <v>435</v>
      </c>
      <c r="CQ239" s="1" t="s">
        <v>432</v>
      </c>
      <c r="CR239" s="1" t="s">
        <v>549</v>
      </c>
      <c r="CS239" s="1" t="s">
        <v>549</v>
      </c>
      <c r="CT239" s="3">
        <v>46052.561493055553</v>
      </c>
      <c r="CU239" s="1" t="s">
        <v>436</v>
      </c>
      <c r="CV239" s="1" t="s">
        <v>512</v>
      </c>
      <c r="CY239" s="1" t="s">
        <v>438</v>
      </c>
      <c r="DP239" s="1" t="s">
        <v>2935</v>
      </c>
      <c r="DU239" s="1" t="s">
        <v>744</v>
      </c>
      <c r="GZ239" s="1" t="s">
        <v>2935</v>
      </c>
      <c r="HA239" s="1" t="s">
        <v>744</v>
      </c>
      <c r="NM239" s="1" t="s">
        <v>441</v>
      </c>
      <c r="NN239" s="1">
        <v>5</v>
      </c>
      <c r="NS239" s="1">
        <v>5</v>
      </c>
      <c r="NT239" s="1">
        <v>5</v>
      </c>
      <c r="OA239" s="1">
        <v>5</v>
      </c>
      <c r="OB239" s="1">
        <v>5</v>
      </c>
      <c r="OC239" s="1">
        <v>5</v>
      </c>
      <c r="OD239" s="1">
        <v>5</v>
      </c>
      <c r="SB239" s="1" t="s">
        <v>443</v>
      </c>
      <c r="SC239" s="1" t="s">
        <v>443</v>
      </c>
      <c r="SF239" s="1" t="s">
        <v>444</v>
      </c>
      <c r="SG239" s="1" t="s">
        <v>444</v>
      </c>
      <c r="SH239" s="1" t="s">
        <v>432</v>
      </c>
      <c r="SI239" s="1" t="s">
        <v>438</v>
      </c>
      <c r="SK239" s="1" t="s">
        <v>445</v>
      </c>
    </row>
    <row r="240" spans="1:507" ht="96" x14ac:dyDescent="0.2">
      <c r="A240" s="1" t="s">
        <v>2936</v>
      </c>
      <c r="B240" s="1">
        <v>8</v>
      </c>
      <c r="C240" s="1">
        <v>4</v>
      </c>
      <c r="D240" s="3">
        <v>46052.556284722225</v>
      </c>
      <c r="E240" s="1">
        <v>5171466</v>
      </c>
      <c r="F240" s="1" t="s">
        <v>428</v>
      </c>
      <c r="H240" s="1" t="s">
        <v>2937</v>
      </c>
      <c r="J240" s="1" t="s">
        <v>2938</v>
      </c>
      <c r="L240" s="1" t="s">
        <v>2939</v>
      </c>
      <c r="M240" s="1" t="s">
        <v>2940</v>
      </c>
      <c r="N240" s="1" t="s">
        <v>2941</v>
      </c>
      <c r="O240" s="1" t="s">
        <v>432</v>
      </c>
      <c r="R240" s="1" t="s">
        <v>2938</v>
      </c>
      <c r="S240" s="1" t="s">
        <v>2942</v>
      </c>
      <c r="AB240" s="3">
        <v>46055.580034722225</v>
      </c>
      <c r="AC240" s="3">
        <v>46052.595636574071</v>
      </c>
      <c r="AE240" s="1" t="s">
        <v>2943</v>
      </c>
      <c r="BB240" s="1" t="s">
        <v>2944</v>
      </c>
      <c r="CO240" s="1" t="s">
        <v>435</v>
      </c>
      <c r="CQ240" s="1" t="s">
        <v>432</v>
      </c>
      <c r="CR240" s="1" t="s">
        <v>1770</v>
      </c>
      <c r="CS240" s="1" t="s">
        <v>729</v>
      </c>
      <c r="CT240" s="3">
        <v>46052.555277777778</v>
      </c>
      <c r="CU240" s="1" t="s">
        <v>524</v>
      </c>
      <c r="CV240" s="1" t="s">
        <v>512</v>
      </c>
      <c r="CW240" s="3">
        <v>46055.579976851855</v>
      </c>
      <c r="CX240" s="1" t="s">
        <v>1057</v>
      </c>
      <c r="CY240" s="1" t="s">
        <v>438</v>
      </c>
      <c r="DU240" s="1" t="s">
        <v>2945</v>
      </c>
      <c r="HA240" s="1" t="s">
        <v>2945</v>
      </c>
      <c r="NM240" s="1" t="s">
        <v>441</v>
      </c>
      <c r="NN240" s="1">
        <v>3</v>
      </c>
      <c r="NS240" s="1">
        <v>2</v>
      </c>
      <c r="NT240" s="1">
        <v>3</v>
      </c>
      <c r="OA240" s="1">
        <v>4</v>
      </c>
      <c r="OB240" s="1">
        <v>3</v>
      </c>
      <c r="OC240" s="1">
        <v>4</v>
      </c>
      <c r="OD240" s="1">
        <v>4</v>
      </c>
      <c r="SC240" s="1" t="s">
        <v>2027</v>
      </c>
      <c r="SG240" s="1" t="s">
        <v>2946</v>
      </c>
      <c r="SH240" s="1" t="s">
        <v>438</v>
      </c>
      <c r="SI240" s="1" t="s">
        <v>438</v>
      </c>
      <c r="SK240" s="1" t="s">
        <v>2947</v>
      </c>
    </row>
    <row r="241" spans="1:508" ht="32" x14ac:dyDescent="0.2">
      <c r="A241" s="1" t="s">
        <v>2948</v>
      </c>
      <c r="B241" s="1">
        <v>9</v>
      </c>
      <c r="C241" s="1">
        <v>4</v>
      </c>
      <c r="D241" s="3">
        <v>46052.540486111109</v>
      </c>
      <c r="E241" s="1">
        <v>5171430</v>
      </c>
      <c r="F241" s="1" t="s">
        <v>428</v>
      </c>
      <c r="H241" s="1" t="s">
        <v>2949</v>
      </c>
      <c r="J241" s="1" t="s">
        <v>2950</v>
      </c>
      <c r="L241" s="1" t="s">
        <v>2951</v>
      </c>
      <c r="O241" s="1" t="s">
        <v>432</v>
      </c>
      <c r="R241" s="1" t="s">
        <v>2950</v>
      </c>
      <c r="AB241" s="3">
        <v>46055.386932870373</v>
      </c>
      <c r="AC241" s="3">
        <v>46052.595601851855</v>
      </c>
      <c r="AE241" s="1" t="s">
        <v>2952</v>
      </c>
      <c r="BB241" s="1" t="s">
        <v>2953</v>
      </c>
      <c r="CO241" s="1" t="s">
        <v>435</v>
      </c>
      <c r="CQ241" s="1" t="s">
        <v>432</v>
      </c>
      <c r="CR241" s="1" t="s">
        <v>549</v>
      </c>
      <c r="CS241" s="1" t="s">
        <v>549</v>
      </c>
      <c r="CT241" s="3">
        <v>46052.540011574078</v>
      </c>
      <c r="CU241" s="1" t="s">
        <v>436</v>
      </c>
      <c r="CV241" s="1" t="s">
        <v>512</v>
      </c>
      <c r="CY241" s="1" t="s">
        <v>438</v>
      </c>
      <c r="DP241" s="1" t="s">
        <v>2954</v>
      </c>
      <c r="DU241" s="1" t="s">
        <v>2955</v>
      </c>
      <c r="GZ241" s="1" t="s">
        <v>2954</v>
      </c>
      <c r="HA241" s="1" t="s">
        <v>2955</v>
      </c>
      <c r="NM241" s="1" t="s">
        <v>441</v>
      </c>
      <c r="NN241" s="1">
        <v>3</v>
      </c>
      <c r="NS241" s="1">
        <v>4</v>
      </c>
      <c r="NT241" s="1">
        <v>4</v>
      </c>
      <c r="OA241" s="1">
        <v>3</v>
      </c>
      <c r="OB241" s="1">
        <v>4</v>
      </c>
      <c r="OC241" s="1">
        <v>4</v>
      </c>
      <c r="OD241" s="1" t="s">
        <v>442</v>
      </c>
      <c r="SC241" s="1" t="s">
        <v>646</v>
      </c>
      <c r="SG241" s="1" t="s">
        <v>647</v>
      </c>
      <c r="SH241" s="1" t="s">
        <v>438</v>
      </c>
      <c r="SI241" s="1" t="s">
        <v>432</v>
      </c>
      <c r="SK241" s="1" t="s">
        <v>2108</v>
      </c>
      <c r="SL241" s="1" t="s">
        <v>620</v>
      </c>
    </row>
    <row r="242" spans="1:508" ht="48" x14ac:dyDescent="0.2">
      <c r="A242" s="1" t="s">
        <v>2956</v>
      </c>
      <c r="B242" s="1">
        <v>10</v>
      </c>
      <c r="C242" s="1">
        <v>5</v>
      </c>
      <c r="D242" s="3">
        <v>46052.523449074077</v>
      </c>
      <c r="E242" s="1">
        <v>5171367</v>
      </c>
      <c r="F242" s="1" t="s">
        <v>428</v>
      </c>
      <c r="H242" s="1" t="s">
        <v>2957</v>
      </c>
      <c r="J242" s="1" t="s">
        <v>2958</v>
      </c>
      <c r="L242" s="1" t="s">
        <v>2959</v>
      </c>
      <c r="O242" s="1" t="s">
        <v>432</v>
      </c>
      <c r="R242" s="1" t="s">
        <v>2958</v>
      </c>
      <c r="AB242" s="3">
        <v>46055.492418981485</v>
      </c>
      <c r="AC242" s="3">
        <v>46050.542349537034</v>
      </c>
      <c r="AE242" s="1" t="s">
        <v>2960</v>
      </c>
      <c r="BB242" s="1" t="s">
        <v>2961</v>
      </c>
      <c r="CO242" s="1" t="s">
        <v>435</v>
      </c>
      <c r="CQ242" s="1" t="s">
        <v>432</v>
      </c>
      <c r="CR242" s="1" t="s">
        <v>1227</v>
      </c>
      <c r="CS242" s="1" t="s">
        <v>1227</v>
      </c>
      <c r="CT242" s="3">
        <v>46052.523888888885</v>
      </c>
      <c r="CU242" s="1" t="s">
        <v>436</v>
      </c>
      <c r="CV242" s="1" t="s">
        <v>512</v>
      </c>
      <c r="CY242" s="1" t="s">
        <v>438</v>
      </c>
      <c r="DP242" s="1" t="s">
        <v>2962</v>
      </c>
      <c r="DU242" s="1" t="s">
        <v>442</v>
      </c>
      <c r="GZ242" s="1" t="s">
        <v>2962</v>
      </c>
      <c r="HA242" s="1" t="s">
        <v>442</v>
      </c>
      <c r="NM242" s="1" t="s">
        <v>441</v>
      </c>
      <c r="NN242" s="1">
        <v>5</v>
      </c>
      <c r="NS242" s="1">
        <v>5</v>
      </c>
      <c r="NT242" s="1">
        <v>5</v>
      </c>
      <c r="OA242" s="1">
        <v>5</v>
      </c>
      <c r="OB242" s="1">
        <v>5</v>
      </c>
      <c r="OC242" s="1">
        <v>5</v>
      </c>
      <c r="OD242" s="1">
        <v>5</v>
      </c>
      <c r="SB242" s="1" t="s">
        <v>2963</v>
      </c>
      <c r="SC242" s="1" t="s">
        <v>646</v>
      </c>
      <c r="SF242" s="1" t="s">
        <v>2964</v>
      </c>
      <c r="SG242" s="1" t="s">
        <v>1254</v>
      </c>
      <c r="SH242" s="1" t="s">
        <v>438</v>
      </c>
      <c r="SI242" s="1" t="s">
        <v>432</v>
      </c>
      <c r="SK242" s="1" t="s">
        <v>568</v>
      </c>
      <c r="SL242" s="1" t="s">
        <v>500</v>
      </c>
    </row>
    <row r="243" spans="1:508" ht="64" x14ac:dyDescent="0.2">
      <c r="A243" s="1" t="s">
        <v>2965</v>
      </c>
      <c r="B243" s="1">
        <v>10</v>
      </c>
      <c r="C243" s="1">
        <v>4</v>
      </c>
      <c r="D243" s="3">
        <v>46052.503321759257</v>
      </c>
      <c r="E243" s="1">
        <v>5171228</v>
      </c>
      <c r="F243" s="1" t="s">
        <v>428</v>
      </c>
      <c r="H243" s="1" t="s">
        <v>2966</v>
      </c>
      <c r="J243" s="1" t="s">
        <v>2967</v>
      </c>
      <c r="L243" s="1" t="s">
        <v>2968</v>
      </c>
      <c r="M243" s="1" t="s">
        <v>2968</v>
      </c>
      <c r="N243" s="1" t="s">
        <v>890</v>
      </c>
      <c r="O243" s="1" t="s">
        <v>438</v>
      </c>
      <c r="R243" s="1" t="s">
        <v>2967</v>
      </c>
      <c r="S243" s="1" t="s">
        <v>891</v>
      </c>
      <c r="AB243" s="3">
        <v>46055.572094907409</v>
      </c>
      <c r="AC243" s="3">
        <v>46052.532777777778</v>
      </c>
      <c r="AE243" s="1" t="s">
        <v>2969</v>
      </c>
      <c r="BB243" s="1" t="s">
        <v>2970</v>
      </c>
      <c r="CO243" s="1" t="s">
        <v>435</v>
      </c>
      <c r="CQ243" s="1" t="s">
        <v>432</v>
      </c>
      <c r="CR243" s="1" t="s">
        <v>2066</v>
      </c>
      <c r="CS243" s="1" t="s">
        <v>729</v>
      </c>
      <c r="CT243" s="3">
        <v>46052.502708333333</v>
      </c>
      <c r="CU243" s="1" t="s">
        <v>436</v>
      </c>
      <c r="CV243" s="1" t="s">
        <v>512</v>
      </c>
      <c r="CW243" s="3">
        <v>46055.571979166663</v>
      </c>
      <c r="CX243" s="1" t="s">
        <v>1057</v>
      </c>
      <c r="CY243" s="1" t="s">
        <v>438</v>
      </c>
      <c r="DU243" s="1" t="s">
        <v>2971</v>
      </c>
      <c r="HA243" s="1" t="s">
        <v>2971</v>
      </c>
      <c r="NM243" s="1" t="s">
        <v>441</v>
      </c>
      <c r="NN243" s="1">
        <v>4</v>
      </c>
      <c r="NS243" s="1">
        <v>5</v>
      </c>
      <c r="NT243" s="1">
        <v>5</v>
      </c>
      <c r="OA243" s="1">
        <v>5</v>
      </c>
      <c r="OB243" s="1">
        <v>5</v>
      </c>
      <c r="OC243" s="1">
        <v>5</v>
      </c>
      <c r="OD243" s="1">
        <v>5</v>
      </c>
      <c r="SB243" s="1" t="s">
        <v>2972</v>
      </c>
      <c r="SC243" s="1" t="s">
        <v>1696</v>
      </c>
      <c r="SF243" s="1" t="s">
        <v>2973</v>
      </c>
      <c r="SG243" s="1" t="s">
        <v>2068</v>
      </c>
      <c r="SH243" s="1" t="s">
        <v>438</v>
      </c>
      <c r="SI243" s="1" t="s">
        <v>432</v>
      </c>
      <c r="SK243" s="1" t="s">
        <v>620</v>
      </c>
    </row>
    <row r="244" spans="1:508" ht="64" x14ac:dyDescent="0.2">
      <c r="A244" s="1" t="s">
        <v>2974</v>
      </c>
      <c r="B244" s="1">
        <v>10</v>
      </c>
      <c r="C244" s="1">
        <v>5</v>
      </c>
      <c r="D244" s="3">
        <v>46052.472048611111</v>
      </c>
      <c r="E244" s="1">
        <v>5171091</v>
      </c>
      <c r="F244" s="1" t="s">
        <v>428</v>
      </c>
      <c r="H244" s="1" t="s">
        <v>2975</v>
      </c>
      <c r="J244" s="1" t="s">
        <v>2976</v>
      </c>
      <c r="L244" s="1" t="s">
        <v>2977</v>
      </c>
      <c r="M244" s="1" t="s">
        <v>2977</v>
      </c>
      <c r="N244" s="1" t="s">
        <v>1387</v>
      </c>
      <c r="O244" s="1" t="s">
        <v>438</v>
      </c>
      <c r="R244" s="1" t="s">
        <v>2976</v>
      </c>
      <c r="S244" s="1" t="s">
        <v>1388</v>
      </c>
      <c r="AB244" s="3">
        <v>46055.520960648151</v>
      </c>
      <c r="AC244" s="3">
        <v>46052.532430555555</v>
      </c>
      <c r="AE244" s="1" t="s">
        <v>2978</v>
      </c>
      <c r="BB244" s="1" t="s">
        <v>2979</v>
      </c>
      <c r="CO244" s="1" t="s">
        <v>435</v>
      </c>
      <c r="CQ244" s="1" t="s">
        <v>432</v>
      </c>
      <c r="CR244" s="1" t="s">
        <v>1227</v>
      </c>
      <c r="CS244" s="1" t="s">
        <v>1227</v>
      </c>
      <c r="CT244" s="3">
        <v>46052.470243055555</v>
      </c>
      <c r="CU244" s="1" t="s">
        <v>436</v>
      </c>
      <c r="CV244" s="1" t="s">
        <v>512</v>
      </c>
      <c r="CY244" s="1" t="s">
        <v>438</v>
      </c>
      <c r="DP244" s="1" t="s">
        <v>2980</v>
      </c>
      <c r="DU244" s="1" t="s">
        <v>682</v>
      </c>
      <c r="GZ244" s="1" t="s">
        <v>2980</v>
      </c>
      <c r="HA244" s="1" t="s">
        <v>682</v>
      </c>
      <c r="NM244" s="1" t="s">
        <v>441</v>
      </c>
      <c r="NN244" s="1">
        <v>5</v>
      </c>
      <c r="NS244" s="1">
        <v>5</v>
      </c>
      <c r="NT244" s="1">
        <v>5</v>
      </c>
      <c r="OA244" s="1">
        <v>5</v>
      </c>
      <c r="OB244" s="1">
        <v>5</v>
      </c>
      <c r="OC244" s="1">
        <v>5</v>
      </c>
      <c r="OD244" s="1">
        <v>5</v>
      </c>
      <c r="SB244" s="1" t="s">
        <v>631</v>
      </c>
      <c r="SC244" s="1" t="s">
        <v>2981</v>
      </c>
      <c r="SE244" s="1" t="s">
        <v>633</v>
      </c>
      <c r="SF244" s="1" t="s">
        <v>634</v>
      </c>
      <c r="SG244" s="1" t="s">
        <v>2982</v>
      </c>
      <c r="SH244" s="1" t="s">
        <v>438</v>
      </c>
      <c r="SI244" s="1" t="s">
        <v>432</v>
      </c>
      <c r="SK244" s="1" t="s">
        <v>2325</v>
      </c>
      <c r="SL244" s="1" t="s">
        <v>568</v>
      </c>
    </row>
    <row r="245" spans="1:508" ht="32" x14ac:dyDescent="0.2">
      <c r="A245" s="1" t="s">
        <v>2983</v>
      </c>
      <c r="B245" s="1">
        <v>10</v>
      </c>
      <c r="C245" s="1">
        <v>5</v>
      </c>
      <c r="D245" s="3">
        <v>46052.471296296295</v>
      </c>
      <c r="E245" s="1">
        <v>5171100</v>
      </c>
      <c r="F245" s="1" t="s">
        <v>428</v>
      </c>
      <c r="H245" s="1" t="s">
        <v>2984</v>
      </c>
      <c r="J245" s="1" t="s">
        <v>2985</v>
      </c>
      <c r="L245" s="1" t="s">
        <v>2986</v>
      </c>
      <c r="M245" s="1" t="s">
        <v>2986</v>
      </c>
      <c r="N245" s="1" t="s">
        <v>2987</v>
      </c>
      <c r="O245" s="1" t="s">
        <v>432</v>
      </c>
      <c r="R245" s="1" t="s">
        <v>2985</v>
      </c>
      <c r="S245" s="1" t="s">
        <v>2988</v>
      </c>
      <c r="AB245" s="3">
        <v>46055.504513888889</v>
      </c>
      <c r="AC245" s="3">
        <v>46052.533692129633</v>
      </c>
      <c r="AE245" s="1" t="s">
        <v>2989</v>
      </c>
      <c r="BB245" s="1" t="s">
        <v>2990</v>
      </c>
      <c r="CO245" s="1" t="s">
        <v>435</v>
      </c>
      <c r="CQ245" s="1" t="s">
        <v>432</v>
      </c>
      <c r="CR245" s="1" t="s">
        <v>1227</v>
      </c>
      <c r="CS245" s="1" t="s">
        <v>1227</v>
      </c>
      <c r="CT245" s="3">
        <v>46052.47148148148</v>
      </c>
      <c r="CU245" s="1" t="s">
        <v>436</v>
      </c>
      <c r="CV245" s="1" t="s">
        <v>512</v>
      </c>
      <c r="CY245" s="1" t="s">
        <v>438</v>
      </c>
      <c r="DP245" s="1" t="s">
        <v>2991</v>
      </c>
      <c r="DU245" s="1" t="s">
        <v>2992</v>
      </c>
      <c r="GZ245" s="1" t="s">
        <v>2991</v>
      </c>
      <c r="HA245" s="1" t="s">
        <v>2992</v>
      </c>
      <c r="NM245" s="1" t="s">
        <v>441</v>
      </c>
      <c r="NN245" s="1">
        <v>5</v>
      </c>
      <c r="NS245" s="1">
        <v>5</v>
      </c>
      <c r="NT245" s="1">
        <v>5</v>
      </c>
      <c r="OA245" s="1">
        <v>5</v>
      </c>
      <c r="OB245" s="1">
        <v>5</v>
      </c>
      <c r="OC245" s="1">
        <v>5</v>
      </c>
      <c r="OD245" s="1">
        <v>5</v>
      </c>
      <c r="SC245" s="1" t="s">
        <v>443</v>
      </c>
      <c r="SG245" s="1" t="s">
        <v>444</v>
      </c>
      <c r="SH245" s="1" t="s">
        <v>438</v>
      </c>
      <c r="SI245" s="1" t="s">
        <v>438</v>
      </c>
      <c r="SK245" s="1" t="s">
        <v>1166</v>
      </c>
    </row>
    <row r="246" spans="1:508" ht="48" x14ac:dyDescent="0.2">
      <c r="A246" s="1" t="s">
        <v>2993</v>
      </c>
      <c r="B246" s="1">
        <v>10</v>
      </c>
      <c r="C246" s="1">
        <v>5</v>
      </c>
      <c r="D246" s="3">
        <v>46052.042800925927</v>
      </c>
      <c r="E246" s="1">
        <v>5170383</v>
      </c>
      <c r="F246" s="1" t="s">
        <v>428</v>
      </c>
      <c r="H246" s="1" t="s">
        <v>2994</v>
      </c>
      <c r="J246" s="1" t="s">
        <v>2995</v>
      </c>
      <c r="L246" s="1" t="s">
        <v>2996</v>
      </c>
      <c r="N246" s="1" t="s">
        <v>2997</v>
      </c>
      <c r="O246" s="1" t="s">
        <v>432</v>
      </c>
      <c r="R246" s="1" t="s">
        <v>2995</v>
      </c>
      <c r="S246" s="1" t="s">
        <v>2998</v>
      </c>
      <c r="AB246" s="3">
        <v>46052.509409722225</v>
      </c>
      <c r="AC246" s="3">
        <v>46051.531944444447</v>
      </c>
      <c r="AE246" s="1" t="s">
        <v>2999</v>
      </c>
      <c r="BB246" s="1" t="s">
        <v>3000</v>
      </c>
      <c r="CO246" s="1" t="s">
        <v>435</v>
      </c>
      <c r="CQ246" s="1" t="s">
        <v>432</v>
      </c>
      <c r="CR246" s="1" t="s">
        <v>3001</v>
      </c>
      <c r="CS246" s="1" t="s">
        <v>511</v>
      </c>
      <c r="CT246" s="3">
        <v>46052.042627314811</v>
      </c>
      <c r="CU246" s="1" t="s">
        <v>436</v>
      </c>
      <c r="CV246" s="1" t="s">
        <v>512</v>
      </c>
      <c r="CY246" s="1" t="s">
        <v>438</v>
      </c>
      <c r="DP246" s="1" t="s">
        <v>3002</v>
      </c>
      <c r="DU246" s="1" t="s">
        <v>3003</v>
      </c>
      <c r="GZ246" s="1" t="s">
        <v>3002</v>
      </c>
      <c r="HA246" s="1" t="s">
        <v>3003</v>
      </c>
      <c r="NM246" s="1" t="s">
        <v>441</v>
      </c>
      <c r="NN246" s="1">
        <v>5</v>
      </c>
      <c r="NS246" s="1">
        <v>5</v>
      </c>
      <c r="NT246" s="1">
        <v>5</v>
      </c>
      <c r="OA246" s="1">
        <v>5</v>
      </c>
      <c r="OB246" s="1">
        <v>5</v>
      </c>
      <c r="OC246" s="1">
        <v>5</v>
      </c>
      <c r="OD246" s="1">
        <v>5</v>
      </c>
      <c r="SC246" s="1" t="s">
        <v>443</v>
      </c>
      <c r="SG246" s="1" t="s">
        <v>444</v>
      </c>
      <c r="SH246" s="1" t="s">
        <v>438</v>
      </c>
      <c r="SI246" s="1" t="s">
        <v>432</v>
      </c>
      <c r="SK246" s="1" t="s">
        <v>568</v>
      </c>
    </row>
    <row r="247" spans="1:508" ht="64" x14ac:dyDescent="0.2">
      <c r="A247" s="1" t="s">
        <v>3004</v>
      </c>
      <c r="B247" s="1">
        <v>10</v>
      </c>
      <c r="C247" s="1">
        <v>5</v>
      </c>
      <c r="D247" s="3">
        <v>46051.984803240739</v>
      </c>
      <c r="E247" s="1">
        <v>5170330</v>
      </c>
      <c r="F247" s="1" t="s">
        <v>428</v>
      </c>
      <c r="H247" s="1" t="s">
        <v>3005</v>
      </c>
      <c r="J247" s="1" t="s">
        <v>3006</v>
      </c>
      <c r="L247" s="1" t="s">
        <v>3007</v>
      </c>
      <c r="O247" s="1" t="s">
        <v>432</v>
      </c>
      <c r="R247" s="1" t="s">
        <v>3006</v>
      </c>
      <c r="AB247" s="3">
        <v>46052.508194444446</v>
      </c>
      <c r="AC247" s="3">
        <v>46051.532476851855</v>
      </c>
      <c r="AE247" s="1" t="s">
        <v>3008</v>
      </c>
      <c r="BB247" s="1" t="s">
        <v>3009</v>
      </c>
      <c r="CO247" s="1" t="s">
        <v>435</v>
      </c>
      <c r="CQ247" s="1" t="s">
        <v>432</v>
      </c>
      <c r="CR247" s="1" t="s">
        <v>3001</v>
      </c>
      <c r="CS247" s="1" t="s">
        <v>511</v>
      </c>
      <c r="CT247" s="3">
        <v>46051.983634259261</v>
      </c>
      <c r="CU247" s="1" t="s">
        <v>436</v>
      </c>
      <c r="CV247" s="1" t="s">
        <v>512</v>
      </c>
      <c r="CY247" s="1" t="s">
        <v>438</v>
      </c>
      <c r="DP247" s="1" t="s">
        <v>3010</v>
      </c>
      <c r="DU247" s="1" t="s">
        <v>3011</v>
      </c>
      <c r="GZ247" s="1" t="s">
        <v>3010</v>
      </c>
      <c r="HA247" s="1" t="s">
        <v>3011</v>
      </c>
      <c r="NM247" s="1" t="s">
        <v>441</v>
      </c>
      <c r="NN247" s="1">
        <v>5</v>
      </c>
      <c r="NS247" s="1">
        <v>5</v>
      </c>
      <c r="NT247" s="1">
        <v>5</v>
      </c>
      <c r="OA247" s="1">
        <v>5</v>
      </c>
      <c r="OB247" s="1">
        <v>5</v>
      </c>
      <c r="OC247" s="1">
        <v>5</v>
      </c>
      <c r="OD247" s="1">
        <v>5</v>
      </c>
      <c r="SB247" s="1" t="s">
        <v>615</v>
      </c>
      <c r="SC247" s="1" t="s">
        <v>1332</v>
      </c>
      <c r="SF247" s="1" t="s">
        <v>844</v>
      </c>
      <c r="SG247" s="1" t="s">
        <v>1334</v>
      </c>
      <c r="SH247" s="1" t="s">
        <v>438</v>
      </c>
      <c r="SI247" s="1" t="s">
        <v>432</v>
      </c>
      <c r="SK247" s="1" t="s">
        <v>1166</v>
      </c>
      <c r="SL247" s="1" t="s">
        <v>919</v>
      </c>
      <c r="SM247" s="1" t="s">
        <v>2108</v>
      </c>
      <c r="SN247" s="1" t="s">
        <v>799</v>
      </c>
    </row>
    <row r="248" spans="1:508" ht="32" x14ac:dyDescent="0.2">
      <c r="A248" s="1" t="s">
        <v>3012</v>
      </c>
      <c r="B248" s="1">
        <v>10</v>
      </c>
      <c r="C248" s="1">
        <v>5</v>
      </c>
      <c r="D248" s="3">
        <v>46051.744629629633</v>
      </c>
      <c r="E248" s="1">
        <v>5169798</v>
      </c>
      <c r="F248" s="1" t="s">
        <v>428</v>
      </c>
      <c r="H248" s="1" t="s">
        <v>3013</v>
      </c>
      <c r="J248" s="1" t="s">
        <v>3014</v>
      </c>
      <c r="L248" s="1" t="s">
        <v>3015</v>
      </c>
      <c r="M248" s="1" t="s">
        <v>3015</v>
      </c>
      <c r="N248" s="1" t="s">
        <v>724</v>
      </c>
      <c r="O248" s="1" t="s">
        <v>432</v>
      </c>
      <c r="R248" s="1" t="s">
        <v>3014</v>
      </c>
      <c r="S248" s="1" t="s">
        <v>725</v>
      </c>
      <c r="AB248" s="3">
        <v>46052.34238425926</v>
      </c>
      <c r="AC248" s="3">
        <v>46051.80908564815</v>
      </c>
      <c r="AE248" s="1" t="s">
        <v>3016</v>
      </c>
      <c r="BB248" s="1" t="s">
        <v>3017</v>
      </c>
      <c r="CO248" s="1" t="s">
        <v>435</v>
      </c>
      <c r="CQ248" s="1" t="s">
        <v>432</v>
      </c>
      <c r="CR248" s="1" t="s">
        <v>561</v>
      </c>
      <c r="CS248" s="1" t="s">
        <v>561</v>
      </c>
      <c r="CT248" s="3">
        <v>46051.744212962964</v>
      </c>
      <c r="CU248" s="1" t="s">
        <v>436</v>
      </c>
      <c r="CV248" s="1" t="s">
        <v>512</v>
      </c>
      <c r="CY248" s="1" t="s">
        <v>438</v>
      </c>
      <c r="DP248" s="1" t="s">
        <v>3018</v>
      </c>
      <c r="DU248" s="1" t="s">
        <v>938</v>
      </c>
      <c r="GZ248" s="1" t="s">
        <v>3018</v>
      </c>
      <c r="HA248" s="1" t="s">
        <v>938</v>
      </c>
      <c r="NM248" s="1" t="s">
        <v>441</v>
      </c>
      <c r="NN248" s="1">
        <v>5</v>
      </c>
      <c r="NS248" s="1">
        <v>5</v>
      </c>
      <c r="NT248" s="1">
        <v>5</v>
      </c>
      <c r="OA248" s="1">
        <v>5</v>
      </c>
      <c r="OB248" s="1">
        <v>5</v>
      </c>
      <c r="OC248" s="1">
        <v>5</v>
      </c>
      <c r="OD248" s="1">
        <v>5</v>
      </c>
      <c r="SC248" s="1" t="s">
        <v>917</v>
      </c>
      <c r="SG248" s="1" t="s">
        <v>918</v>
      </c>
      <c r="SH248" s="1" t="s">
        <v>438</v>
      </c>
      <c r="SI248" s="1" t="s">
        <v>432</v>
      </c>
      <c r="SK248" s="1" t="s">
        <v>1166</v>
      </c>
      <c r="SL248" s="1" t="s">
        <v>1126</v>
      </c>
      <c r="SM248" s="1" t="s">
        <v>486</v>
      </c>
    </row>
    <row r="249" spans="1:508" ht="96" x14ac:dyDescent="0.2">
      <c r="A249" s="1" t="s">
        <v>3019</v>
      </c>
      <c r="B249" s="1">
        <v>10</v>
      </c>
      <c r="C249" s="1">
        <v>5</v>
      </c>
      <c r="D249" s="3">
        <v>46051.73364583333</v>
      </c>
      <c r="E249" s="1">
        <v>5169766</v>
      </c>
      <c r="F249" s="1" t="s">
        <v>428</v>
      </c>
      <c r="H249" s="1" t="s">
        <v>3020</v>
      </c>
      <c r="J249" s="1" t="s">
        <v>3021</v>
      </c>
      <c r="L249" s="1" t="s">
        <v>3022</v>
      </c>
      <c r="O249" s="1" t="s">
        <v>432</v>
      </c>
      <c r="R249" s="1" t="s">
        <v>3021</v>
      </c>
      <c r="AB249" s="3">
        <v>46052.339814814812</v>
      </c>
      <c r="AC249" s="3">
        <v>46051.808796296296</v>
      </c>
      <c r="AE249" s="1" t="s">
        <v>3023</v>
      </c>
      <c r="BB249" s="1" t="s">
        <v>3024</v>
      </c>
      <c r="CO249" s="1" t="s">
        <v>435</v>
      </c>
      <c r="CQ249" s="1" t="s">
        <v>432</v>
      </c>
      <c r="CR249" s="1" t="s">
        <v>852</v>
      </c>
      <c r="CS249" s="1" t="s">
        <v>852</v>
      </c>
      <c r="CT249" s="3">
        <v>46051.730729166666</v>
      </c>
      <c r="CU249" s="1" t="s">
        <v>436</v>
      </c>
      <c r="CV249" s="1" t="s">
        <v>512</v>
      </c>
      <c r="CY249" s="1" t="s">
        <v>438</v>
      </c>
      <c r="DP249" s="1" t="s">
        <v>3025</v>
      </c>
      <c r="DU249" s="1" t="s">
        <v>3026</v>
      </c>
      <c r="GZ249" s="1" t="s">
        <v>3025</v>
      </c>
      <c r="HA249" s="1" t="s">
        <v>3026</v>
      </c>
      <c r="NM249" s="1" t="s">
        <v>441</v>
      </c>
      <c r="NN249" s="1">
        <v>5</v>
      </c>
      <c r="NS249" s="1">
        <v>5</v>
      </c>
      <c r="NT249" s="1">
        <v>5</v>
      </c>
      <c r="OA249" s="1">
        <v>5</v>
      </c>
      <c r="OB249" s="1">
        <v>5</v>
      </c>
      <c r="OC249" s="1">
        <v>5</v>
      </c>
      <c r="OD249" s="1">
        <v>5</v>
      </c>
      <c r="SB249" s="1" t="s">
        <v>3027</v>
      </c>
      <c r="SC249" s="1" t="s">
        <v>3028</v>
      </c>
      <c r="SF249" s="1" t="s">
        <v>3029</v>
      </c>
      <c r="SG249" s="1" t="s">
        <v>3030</v>
      </c>
      <c r="SH249" s="1" t="s">
        <v>438</v>
      </c>
      <c r="SI249" s="1" t="s">
        <v>432</v>
      </c>
      <c r="SK249" s="1" t="s">
        <v>1047</v>
      </c>
    </row>
    <row r="250" spans="1:508" ht="32" x14ac:dyDescent="0.2">
      <c r="A250" s="1" t="s">
        <v>3031</v>
      </c>
      <c r="B250" s="1">
        <v>10</v>
      </c>
      <c r="C250" s="1">
        <v>5</v>
      </c>
      <c r="D250" s="3">
        <v>46051.691967592589</v>
      </c>
      <c r="E250" s="1">
        <v>5169649</v>
      </c>
      <c r="F250" s="1" t="s">
        <v>428</v>
      </c>
      <c r="H250" s="1" t="s">
        <v>3032</v>
      </c>
      <c r="J250" s="1" t="s">
        <v>3033</v>
      </c>
      <c r="L250" s="1" t="s">
        <v>3034</v>
      </c>
      <c r="O250" s="1" t="s">
        <v>432</v>
      </c>
      <c r="R250" s="1" t="s">
        <v>3033</v>
      </c>
      <c r="AB250" s="3">
        <v>46052.339108796295</v>
      </c>
      <c r="AC250" s="3">
        <v>46051.724004629628</v>
      </c>
      <c r="AE250" s="1" t="s">
        <v>3035</v>
      </c>
      <c r="BB250" s="1" t="s">
        <v>3036</v>
      </c>
      <c r="CO250" s="1" t="s">
        <v>435</v>
      </c>
      <c r="CQ250" s="1" t="s">
        <v>432</v>
      </c>
      <c r="CR250" s="1" t="s">
        <v>511</v>
      </c>
      <c r="CS250" s="1" t="s">
        <v>511</v>
      </c>
      <c r="CT250" s="3">
        <v>46051.692442129628</v>
      </c>
      <c r="CU250" s="1" t="s">
        <v>436</v>
      </c>
      <c r="CV250" s="1" t="s">
        <v>512</v>
      </c>
      <c r="CY250" s="1" t="s">
        <v>438</v>
      </c>
      <c r="DP250" s="1" t="s">
        <v>3037</v>
      </c>
      <c r="GZ250" s="1" t="s">
        <v>3037</v>
      </c>
      <c r="NM250" s="1" t="s">
        <v>441</v>
      </c>
      <c r="NN250" s="1">
        <v>5</v>
      </c>
      <c r="NS250" s="1">
        <v>5</v>
      </c>
      <c r="NT250" s="1">
        <v>5</v>
      </c>
      <c r="OA250" s="1">
        <v>5</v>
      </c>
      <c r="OB250" s="1">
        <v>5</v>
      </c>
      <c r="OC250" s="1">
        <v>5</v>
      </c>
      <c r="OD250" s="1">
        <v>5</v>
      </c>
      <c r="SC250" s="1" t="s">
        <v>443</v>
      </c>
      <c r="SG250" s="1" t="s">
        <v>444</v>
      </c>
      <c r="SH250" s="1" t="s">
        <v>438</v>
      </c>
      <c r="SI250" s="1" t="s">
        <v>438</v>
      </c>
      <c r="SK250" s="1" t="s">
        <v>1265</v>
      </c>
    </row>
    <row r="251" spans="1:508" ht="32" x14ac:dyDescent="0.2">
      <c r="A251" s="1" t="s">
        <v>3038</v>
      </c>
      <c r="B251" s="1">
        <v>10</v>
      </c>
      <c r="C251" s="1">
        <v>5</v>
      </c>
      <c r="D251" s="3">
        <v>46051.582627314812</v>
      </c>
      <c r="E251" s="1">
        <v>5169280</v>
      </c>
      <c r="F251" s="1" t="s">
        <v>428</v>
      </c>
      <c r="H251" s="1" t="s">
        <v>3039</v>
      </c>
      <c r="J251" s="1" t="s">
        <v>3040</v>
      </c>
      <c r="L251" s="1" t="s">
        <v>3034</v>
      </c>
      <c r="M251" s="1" t="s">
        <v>3034</v>
      </c>
      <c r="N251" s="1" t="s">
        <v>3041</v>
      </c>
      <c r="O251" s="1" t="s">
        <v>438</v>
      </c>
      <c r="R251" s="1" t="s">
        <v>3040</v>
      </c>
      <c r="S251" s="1" t="s">
        <v>3042</v>
      </c>
      <c r="AB251" s="3">
        <v>46052.332337962966</v>
      </c>
      <c r="AC251" s="3">
        <v>46051.680555555555</v>
      </c>
      <c r="AE251" s="1" t="s">
        <v>3043</v>
      </c>
      <c r="BB251" s="1" t="s">
        <v>3044</v>
      </c>
      <c r="CO251" s="1" t="s">
        <v>435</v>
      </c>
      <c r="CQ251" s="1" t="s">
        <v>432</v>
      </c>
      <c r="CR251" s="1" t="s">
        <v>852</v>
      </c>
      <c r="CS251" s="1" t="s">
        <v>852</v>
      </c>
      <c r="CT251" s="3">
        <v>46051.58258101852</v>
      </c>
      <c r="CU251" s="1" t="s">
        <v>436</v>
      </c>
      <c r="CV251" s="1" t="s">
        <v>512</v>
      </c>
      <c r="CY251" s="1" t="s">
        <v>438</v>
      </c>
      <c r="DP251" s="1" t="s">
        <v>3045</v>
      </c>
      <c r="GZ251" s="1" t="s">
        <v>3045</v>
      </c>
      <c r="NM251" s="1" t="s">
        <v>441</v>
      </c>
      <c r="NN251" s="1">
        <v>4</v>
      </c>
      <c r="NS251" s="1">
        <v>5</v>
      </c>
      <c r="NT251" s="1">
        <v>5</v>
      </c>
      <c r="OA251" s="1">
        <v>5</v>
      </c>
      <c r="OB251" s="1">
        <v>5</v>
      </c>
      <c r="OC251" s="1">
        <v>5</v>
      </c>
      <c r="OD251" s="1">
        <v>5</v>
      </c>
      <c r="SC251" s="1" t="s">
        <v>443</v>
      </c>
      <c r="SG251" s="1" t="s">
        <v>444</v>
      </c>
      <c r="SH251" s="1" t="s">
        <v>438</v>
      </c>
      <c r="SI251" s="1" t="s">
        <v>438</v>
      </c>
      <c r="SK251" s="1" t="s">
        <v>3046</v>
      </c>
    </row>
    <row r="252" spans="1:508" ht="96" x14ac:dyDescent="0.2">
      <c r="A252" s="1" t="s">
        <v>3047</v>
      </c>
      <c r="B252" s="1">
        <v>10</v>
      </c>
      <c r="C252" s="1">
        <v>5</v>
      </c>
      <c r="D252" s="3">
        <v>46051.563981481479</v>
      </c>
      <c r="E252" s="1">
        <v>5169216</v>
      </c>
      <c r="F252" s="1" t="s">
        <v>428</v>
      </c>
      <c r="H252" s="1" t="s">
        <v>3048</v>
      </c>
      <c r="J252" s="1" t="s">
        <v>3049</v>
      </c>
      <c r="L252" s="1" t="s">
        <v>3050</v>
      </c>
      <c r="M252" s="1" t="s">
        <v>3050</v>
      </c>
      <c r="N252" s="1" t="s">
        <v>1920</v>
      </c>
      <c r="O252" s="1" t="s">
        <v>432</v>
      </c>
      <c r="R252" s="1" t="s">
        <v>3049</v>
      </c>
      <c r="S252" s="1" t="s">
        <v>1921</v>
      </c>
      <c r="AB252" s="3">
        <v>46052.329780092594</v>
      </c>
      <c r="AC252" s="3">
        <v>46051.532071759262</v>
      </c>
      <c r="AE252" s="1" t="s">
        <v>3051</v>
      </c>
      <c r="BB252" s="1" t="s">
        <v>3052</v>
      </c>
      <c r="CO252" s="1" t="s">
        <v>435</v>
      </c>
      <c r="CQ252" s="1" t="s">
        <v>432</v>
      </c>
      <c r="CR252" s="1" t="s">
        <v>852</v>
      </c>
      <c r="CS252" s="1" t="s">
        <v>852</v>
      </c>
      <c r="CT252" s="3">
        <v>46051.561388888891</v>
      </c>
      <c r="CU252" s="1" t="s">
        <v>436</v>
      </c>
      <c r="CV252" s="1" t="s">
        <v>512</v>
      </c>
      <c r="CY252" s="1" t="s">
        <v>438</v>
      </c>
      <c r="DP252" s="1" t="s">
        <v>3053</v>
      </c>
      <c r="DU252" s="1" t="s">
        <v>3054</v>
      </c>
      <c r="GZ252" s="1" t="s">
        <v>3053</v>
      </c>
      <c r="HA252" s="1" t="s">
        <v>3054</v>
      </c>
      <c r="NM252" s="1" t="s">
        <v>441</v>
      </c>
      <c r="NN252" s="1">
        <v>3</v>
      </c>
      <c r="NS252" s="1">
        <v>5</v>
      </c>
      <c r="NT252" s="1">
        <v>5</v>
      </c>
      <c r="OA252" s="1">
        <v>5</v>
      </c>
      <c r="OB252" s="1">
        <v>5</v>
      </c>
      <c r="OC252" s="1">
        <v>5</v>
      </c>
      <c r="OD252" s="1">
        <v>5</v>
      </c>
      <c r="SB252" s="1" t="s">
        <v>443</v>
      </c>
      <c r="SC252" s="1" t="s">
        <v>646</v>
      </c>
      <c r="SF252" s="1" t="s">
        <v>865</v>
      </c>
      <c r="SG252" s="1" t="s">
        <v>647</v>
      </c>
      <c r="SH252" s="1" t="s">
        <v>438</v>
      </c>
      <c r="SI252" s="1" t="s">
        <v>432</v>
      </c>
      <c r="SK252" s="1" t="s">
        <v>1166</v>
      </c>
      <c r="SL252" s="1" t="s">
        <v>620</v>
      </c>
    </row>
    <row r="253" spans="1:508" ht="48" x14ac:dyDescent="0.2">
      <c r="A253" s="1" t="s">
        <v>2364</v>
      </c>
      <c r="B253" s="1">
        <v>9</v>
      </c>
      <c r="C253" s="1">
        <v>5</v>
      </c>
      <c r="D253" s="3">
        <v>46051.563831018517</v>
      </c>
      <c r="E253" s="1">
        <v>5169212</v>
      </c>
      <c r="F253" s="1" t="s">
        <v>428</v>
      </c>
      <c r="H253" s="1" t="s">
        <v>2365</v>
      </c>
      <c r="J253" s="1" t="s">
        <v>2366</v>
      </c>
      <c r="L253" s="1" t="s">
        <v>2367</v>
      </c>
      <c r="N253" s="1" t="s">
        <v>2368</v>
      </c>
      <c r="O253" s="1" t="s">
        <v>438</v>
      </c>
      <c r="R253" s="1" t="s">
        <v>2366</v>
      </c>
      <c r="S253" s="1" t="s">
        <v>2369</v>
      </c>
      <c r="AB253" s="3">
        <v>46052.329270833332</v>
      </c>
      <c r="AC253" s="3">
        <v>46051.531365740739</v>
      </c>
      <c r="AE253" s="1" t="s">
        <v>3055</v>
      </c>
      <c r="BB253" s="1" t="s">
        <v>2371</v>
      </c>
      <c r="CO253" s="1" t="s">
        <v>435</v>
      </c>
      <c r="CQ253" s="1" t="s">
        <v>432</v>
      </c>
      <c r="CR253" s="1" t="s">
        <v>852</v>
      </c>
      <c r="CS253" s="1" t="s">
        <v>852</v>
      </c>
      <c r="CT253" s="3">
        <v>46051.560219907406</v>
      </c>
      <c r="CU253" s="1" t="s">
        <v>436</v>
      </c>
      <c r="CV253" s="1" t="s">
        <v>512</v>
      </c>
      <c r="CY253" s="1" t="s">
        <v>438</v>
      </c>
      <c r="DP253" s="1" t="s">
        <v>3056</v>
      </c>
      <c r="DU253" s="1" t="s">
        <v>3057</v>
      </c>
      <c r="GZ253" s="1" t="s">
        <v>3056</v>
      </c>
      <c r="HA253" s="1" t="s">
        <v>3057</v>
      </c>
      <c r="NM253" s="1" t="s">
        <v>441</v>
      </c>
      <c r="NN253" s="1">
        <v>5</v>
      </c>
      <c r="NS253" s="1">
        <v>5</v>
      </c>
      <c r="NT253" s="1">
        <v>5</v>
      </c>
      <c r="OA253" s="1">
        <v>5</v>
      </c>
      <c r="OB253" s="1">
        <v>5</v>
      </c>
      <c r="OC253" s="1">
        <v>5</v>
      </c>
      <c r="OD253" s="1">
        <v>3</v>
      </c>
      <c r="SC253" s="1" t="s">
        <v>3058</v>
      </c>
      <c r="SG253" s="1" t="s">
        <v>3059</v>
      </c>
      <c r="SH253" s="1" t="s">
        <v>438</v>
      </c>
      <c r="SI253" s="1" t="s">
        <v>432</v>
      </c>
      <c r="SK253" s="1" t="s">
        <v>1126</v>
      </c>
      <c r="SL253" s="1" t="s">
        <v>2325</v>
      </c>
      <c r="SM253" s="1" t="s">
        <v>787</v>
      </c>
    </row>
    <row r="254" spans="1:508" ht="48" x14ac:dyDescent="0.2">
      <c r="A254" s="1" t="s">
        <v>3060</v>
      </c>
      <c r="B254" s="1">
        <v>10</v>
      </c>
      <c r="C254" s="1">
        <v>5</v>
      </c>
      <c r="D254" s="3">
        <v>46051.525740740741</v>
      </c>
      <c r="E254" s="1">
        <v>5169032</v>
      </c>
      <c r="F254" s="1" t="s">
        <v>428</v>
      </c>
      <c r="H254" s="1" t="s">
        <v>3061</v>
      </c>
      <c r="J254" s="1" t="s">
        <v>3062</v>
      </c>
      <c r="L254" s="1" t="s">
        <v>3063</v>
      </c>
      <c r="O254" s="1" t="s">
        <v>432</v>
      </c>
      <c r="R254" s="1" t="s">
        <v>3062</v>
      </c>
      <c r="AB254" s="3">
        <v>46051.581377314818</v>
      </c>
      <c r="AC254" s="3">
        <v>46051.53261574074</v>
      </c>
      <c r="AE254" s="1" t="s">
        <v>3064</v>
      </c>
      <c r="BB254" s="1" t="s">
        <v>3065</v>
      </c>
      <c r="CO254" s="1" t="s">
        <v>435</v>
      </c>
      <c r="CQ254" s="1" t="s">
        <v>432</v>
      </c>
      <c r="CR254" s="1" t="s">
        <v>495</v>
      </c>
      <c r="CS254" s="1" t="s">
        <v>495</v>
      </c>
      <c r="CT254" s="3">
        <v>46051.514537037037</v>
      </c>
      <c r="CU254" s="1" t="s">
        <v>436</v>
      </c>
      <c r="CV254" s="1" t="s">
        <v>512</v>
      </c>
      <c r="CY254" s="1" t="s">
        <v>438</v>
      </c>
      <c r="DP254" s="1" t="s">
        <v>3066</v>
      </c>
      <c r="GZ254" s="1" t="s">
        <v>3066</v>
      </c>
      <c r="NM254" s="1" t="s">
        <v>441</v>
      </c>
      <c r="NN254" s="1">
        <v>5</v>
      </c>
      <c r="NS254" s="1">
        <v>5</v>
      </c>
      <c r="NT254" s="1">
        <v>5</v>
      </c>
      <c r="OA254" s="1">
        <v>5</v>
      </c>
      <c r="OB254" s="1">
        <v>5</v>
      </c>
      <c r="OC254" s="1">
        <v>5</v>
      </c>
      <c r="OD254" s="1">
        <v>5</v>
      </c>
      <c r="SB254" s="1" t="s">
        <v>3067</v>
      </c>
      <c r="SC254" s="1" t="s">
        <v>3068</v>
      </c>
      <c r="SE254" s="1" t="s">
        <v>484</v>
      </c>
      <c r="SF254" s="1" t="s">
        <v>3069</v>
      </c>
      <c r="SG254" s="1" t="s">
        <v>3070</v>
      </c>
      <c r="SH254" s="1" t="s">
        <v>438</v>
      </c>
      <c r="SI254" s="1" t="s">
        <v>432</v>
      </c>
      <c r="SK254" s="1" t="s">
        <v>1372</v>
      </c>
      <c r="SL254" s="1" t="s">
        <v>1126</v>
      </c>
      <c r="SM254" s="1" t="s">
        <v>445</v>
      </c>
    </row>
    <row r="255" spans="1:508" ht="96" x14ac:dyDescent="0.2">
      <c r="A255" s="1" t="s">
        <v>3071</v>
      </c>
      <c r="B255" s="1">
        <v>10</v>
      </c>
      <c r="C255" s="1">
        <v>5</v>
      </c>
      <c r="D255" s="3">
        <v>46051.516099537039</v>
      </c>
      <c r="E255" s="1">
        <v>5169031</v>
      </c>
      <c r="F255" s="1" t="s">
        <v>428</v>
      </c>
      <c r="H255" s="1" t="s">
        <v>3072</v>
      </c>
      <c r="J255" s="1" t="s">
        <v>3073</v>
      </c>
      <c r="L255" s="1" t="s">
        <v>3074</v>
      </c>
      <c r="M255" s="1" t="s">
        <v>3074</v>
      </c>
      <c r="N255" s="1" t="s">
        <v>724</v>
      </c>
      <c r="O255" s="1" t="s">
        <v>432</v>
      </c>
      <c r="R255" s="1" t="s">
        <v>3073</v>
      </c>
      <c r="S255" s="1" t="s">
        <v>725</v>
      </c>
      <c r="AB255" s="3">
        <v>46051.632291666669</v>
      </c>
      <c r="AC255" s="3">
        <v>46050.723275462966</v>
      </c>
      <c r="AE255" s="1" t="s">
        <v>3075</v>
      </c>
      <c r="BB255" s="1" t="s">
        <v>3076</v>
      </c>
      <c r="CO255" s="1" t="s">
        <v>435</v>
      </c>
      <c r="CQ255" s="1" t="s">
        <v>432</v>
      </c>
      <c r="CR255" s="1" t="s">
        <v>511</v>
      </c>
      <c r="CS255" s="1" t="s">
        <v>511</v>
      </c>
      <c r="CT255" s="3">
        <v>46051.514537037037</v>
      </c>
      <c r="CU255" s="1" t="s">
        <v>436</v>
      </c>
      <c r="CV255" s="1" t="s">
        <v>512</v>
      </c>
      <c r="CY255" s="1" t="s">
        <v>438</v>
      </c>
      <c r="DP255" s="1" t="s">
        <v>3077</v>
      </c>
      <c r="DU255" s="1" t="s">
        <v>3078</v>
      </c>
      <c r="GZ255" s="1" t="s">
        <v>3077</v>
      </c>
      <c r="HA255" s="1" t="s">
        <v>3078</v>
      </c>
      <c r="NM255" s="1" t="s">
        <v>441</v>
      </c>
      <c r="NN255" s="1" t="s">
        <v>442</v>
      </c>
      <c r="NS255" s="1">
        <v>5</v>
      </c>
      <c r="NT255" s="1">
        <v>5</v>
      </c>
      <c r="OA255" s="1" t="s">
        <v>442</v>
      </c>
      <c r="OB255" s="1">
        <v>5</v>
      </c>
      <c r="OC255" s="1" t="s">
        <v>442</v>
      </c>
      <c r="OD255" s="1" t="s">
        <v>442</v>
      </c>
      <c r="SB255" s="1" t="s">
        <v>3079</v>
      </c>
      <c r="SC255" s="1" t="s">
        <v>3080</v>
      </c>
      <c r="SF255" s="1" t="s">
        <v>3081</v>
      </c>
      <c r="SG255" s="1" t="s">
        <v>3082</v>
      </c>
      <c r="SH255" s="1" t="s">
        <v>438</v>
      </c>
      <c r="SI255" s="1" t="s">
        <v>438</v>
      </c>
      <c r="SK255" s="1" t="s">
        <v>955</v>
      </c>
      <c r="SL255" s="1" t="s">
        <v>1210</v>
      </c>
      <c r="SM255" s="1" t="s">
        <v>736</v>
      </c>
    </row>
    <row r="256" spans="1:508" ht="48" x14ac:dyDescent="0.2">
      <c r="A256" s="1" t="s">
        <v>3083</v>
      </c>
      <c r="B256" s="1">
        <v>10</v>
      </c>
      <c r="C256" s="1">
        <v>4</v>
      </c>
      <c r="D256" s="3">
        <v>46051.490879629629</v>
      </c>
      <c r="E256" s="1">
        <v>5168934</v>
      </c>
      <c r="F256" s="1" t="s">
        <v>428</v>
      </c>
      <c r="H256" s="1" t="s">
        <v>3084</v>
      </c>
      <c r="J256" s="1" t="s">
        <v>3085</v>
      </c>
      <c r="L256" s="1" t="s">
        <v>3086</v>
      </c>
      <c r="O256" s="1" t="s">
        <v>432</v>
      </c>
      <c r="R256" s="1" t="s">
        <v>3085</v>
      </c>
      <c r="AB256" s="3">
        <v>46051.598298611112</v>
      </c>
      <c r="AC256" s="3">
        <v>46050.542986111112</v>
      </c>
      <c r="AE256" s="1" t="s">
        <v>3087</v>
      </c>
      <c r="BB256" s="1" t="s">
        <v>3088</v>
      </c>
      <c r="CO256" s="1" t="s">
        <v>435</v>
      </c>
      <c r="CQ256" s="1" t="s">
        <v>432</v>
      </c>
      <c r="CR256" s="1" t="s">
        <v>534</v>
      </c>
      <c r="CS256" s="1" t="s">
        <v>534</v>
      </c>
      <c r="CT256" s="3">
        <v>46051.490486111114</v>
      </c>
      <c r="CU256" s="1" t="s">
        <v>436</v>
      </c>
      <c r="CV256" s="1" t="s">
        <v>512</v>
      </c>
      <c r="CY256" s="1" t="s">
        <v>438</v>
      </c>
      <c r="DP256" s="1" t="s">
        <v>3089</v>
      </c>
      <c r="DU256" s="1" t="s">
        <v>3090</v>
      </c>
      <c r="GZ256" s="1" t="s">
        <v>3089</v>
      </c>
      <c r="HA256" s="1" t="s">
        <v>3090</v>
      </c>
      <c r="NM256" s="1" t="s">
        <v>441</v>
      </c>
      <c r="NN256" s="1">
        <v>4</v>
      </c>
      <c r="NS256" s="1">
        <v>2</v>
      </c>
      <c r="NT256" s="1">
        <v>5</v>
      </c>
      <c r="OA256" s="1">
        <v>5</v>
      </c>
      <c r="OB256" s="1">
        <v>4</v>
      </c>
      <c r="OC256" s="1">
        <v>4</v>
      </c>
      <c r="OD256" s="1">
        <v>3</v>
      </c>
      <c r="SB256" s="1" t="s">
        <v>1672</v>
      </c>
      <c r="SC256" s="1" t="s">
        <v>646</v>
      </c>
      <c r="SF256" s="1" t="s">
        <v>3091</v>
      </c>
      <c r="SG256" s="1" t="s">
        <v>3092</v>
      </c>
      <c r="SH256" s="1" t="s">
        <v>438</v>
      </c>
      <c r="SI256" s="1" t="s">
        <v>432</v>
      </c>
      <c r="SK256" s="1" t="s">
        <v>672</v>
      </c>
      <c r="SL256" s="1" t="s">
        <v>928</v>
      </c>
      <c r="SM256" s="1" t="s">
        <v>2947</v>
      </c>
    </row>
    <row r="257" spans="1:507" ht="32" x14ac:dyDescent="0.2">
      <c r="A257" s="1" t="s">
        <v>3093</v>
      </c>
      <c r="B257" s="1">
        <v>10</v>
      </c>
      <c r="C257" s="1">
        <v>5</v>
      </c>
      <c r="D257" s="3">
        <v>46051.471539351849</v>
      </c>
      <c r="E257" s="1">
        <v>5168848</v>
      </c>
      <c r="F257" s="1" t="s">
        <v>428</v>
      </c>
      <c r="H257" s="1" t="s">
        <v>3094</v>
      </c>
      <c r="J257" s="1" t="s">
        <v>3095</v>
      </c>
      <c r="L257" s="1" t="s">
        <v>3096</v>
      </c>
      <c r="M257" s="1" t="s">
        <v>3096</v>
      </c>
      <c r="N257" s="1" t="s">
        <v>2123</v>
      </c>
      <c r="O257" s="1" t="s">
        <v>432</v>
      </c>
      <c r="R257" s="1" t="s">
        <v>3095</v>
      </c>
      <c r="S257" s="1" t="s">
        <v>2124</v>
      </c>
      <c r="AB257" s="3">
        <v>46051.572824074072</v>
      </c>
      <c r="AC257" s="3">
        <v>46049.595983796295</v>
      </c>
      <c r="AE257" s="1" t="s">
        <v>3097</v>
      </c>
      <c r="BB257" s="1" t="s">
        <v>3098</v>
      </c>
      <c r="CO257" s="1" t="s">
        <v>435</v>
      </c>
      <c r="CQ257" s="1" t="s">
        <v>432</v>
      </c>
      <c r="CR257" s="1" t="s">
        <v>549</v>
      </c>
      <c r="CS257" s="1" t="s">
        <v>549</v>
      </c>
      <c r="CT257" s="3">
        <v>46051.470613425925</v>
      </c>
      <c r="CU257" s="1" t="s">
        <v>436</v>
      </c>
      <c r="CV257" s="1" t="s">
        <v>512</v>
      </c>
      <c r="CY257" s="1" t="s">
        <v>438</v>
      </c>
      <c r="DP257" s="1" t="s">
        <v>3099</v>
      </c>
      <c r="DU257" s="1" t="s">
        <v>1651</v>
      </c>
      <c r="GZ257" s="1" t="s">
        <v>3099</v>
      </c>
      <c r="HA257" s="1" t="s">
        <v>1651</v>
      </c>
      <c r="NM257" s="1" t="s">
        <v>441</v>
      </c>
      <c r="NN257" s="1">
        <v>5</v>
      </c>
      <c r="NS257" s="1">
        <v>5</v>
      </c>
      <c r="NT257" s="1">
        <v>5</v>
      </c>
      <c r="OA257" s="1">
        <v>5</v>
      </c>
      <c r="OB257" s="1">
        <v>5</v>
      </c>
      <c r="OC257" s="1">
        <v>5</v>
      </c>
      <c r="OD257" s="1">
        <v>5</v>
      </c>
      <c r="SB257" s="1" t="s">
        <v>443</v>
      </c>
      <c r="SC257" s="1" t="s">
        <v>443</v>
      </c>
      <c r="SF257" s="1" t="s">
        <v>444</v>
      </c>
      <c r="SG257" s="1" t="s">
        <v>444</v>
      </c>
      <c r="SH257" s="1" t="s">
        <v>432</v>
      </c>
      <c r="SI257" s="1" t="s">
        <v>432</v>
      </c>
      <c r="SK257" s="1" t="s">
        <v>445</v>
      </c>
    </row>
    <row r="258" spans="1:507" ht="48" x14ac:dyDescent="0.2">
      <c r="A258" s="1" t="s">
        <v>3100</v>
      </c>
      <c r="B258" s="1">
        <v>10</v>
      </c>
      <c r="C258" s="1">
        <v>5</v>
      </c>
      <c r="D258" s="3">
        <v>46051.444143518522</v>
      </c>
      <c r="E258" s="1">
        <v>5168739</v>
      </c>
      <c r="F258" s="1" t="s">
        <v>428</v>
      </c>
      <c r="H258" s="1" t="s">
        <v>3101</v>
      </c>
      <c r="J258" s="1" t="s">
        <v>3102</v>
      </c>
      <c r="L258" s="1" t="s">
        <v>3103</v>
      </c>
      <c r="M258" s="1" t="s">
        <v>3103</v>
      </c>
      <c r="N258" s="1" t="s">
        <v>1646</v>
      </c>
      <c r="O258" s="1" t="s">
        <v>432</v>
      </c>
      <c r="R258" s="1" t="s">
        <v>3102</v>
      </c>
      <c r="S258" s="1" t="s">
        <v>1647</v>
      </c>
      <c r="AB258" s="3">
        <v>46051.577465277776</v>
      </c>
      <c r="AC258" s="3">
        <v>46051.530856481484</v>
      </c>
      <c r="AE258" s="1" t="s">
        <v>3104</v>
      </c>
      <c r="BB258" s="1" t="s">
        <v>3105</v>
      </c>
      <c r="CO258" s="1" t="s">
        <v>435</v>
      </c>
      <c r="CQ258" s="1" t="s">
        <v>432</v>
      </c>
      <c r="CR258" s="1" t="s">
        <v>1227</v>
      </c>
      <c r="CS258" s="1" t="s">
        <v>1227</v>
      </c>
      <c r="CT258" s="3">
        <v>46051.443449074075</v>
      </c>
      <c r="CU258" s="1" t="s">
        <v>436</v>
      </c>
      <c r="CV258" s="1" t="s">
        <v>512</v>
      </c>
      <c r="CY258" s="1" t="s">
        <v>438</v>
      </c>
      <c r="DP258" s="1" t="s">
        <v>3106</v>
      </c>
      <c r="DU258" s="1" t="s">
        <v>3107</v>
      </c>
      <c r="GZ258" s="1" t="s">
        <v>3106</v>
      </c>
      <c r="HA258" s="1" t="s">
        <v>3107</v>
      </c>
      <c r="NM258" s="1" t="s">
        <v>441</v>
      </c>
      <c r="NN258" s="1">
        <v>5</v>
      </c>
      <c r="NS258" s="1">
        <v>5</v>
      </c>
      <c r="NT258" s="1">
        <v>5</v>
      </c>
      <c r="OA258" s="1">
        <v>5</v>
      </c>
      <c r="OB258" s="1">
        <v>5</v>
      </c>
      <c r="OC258" s="1">
        <v>5</v>
      </c>
      <c r="OD258" s="1">
        <v>4</v>
      </c>
      <c r="SB258" s="1" t="s">
        <v>3108</v>
      </c>
      <c r="SC258" s="1" t="s">
        <v>3109</v>
      </c>
      <c r="SF258" s="1" t="s">
        <v>3110</v>
      </c>
      <c r="SG258" s="1" t="s">
        <v>3111</v>
      </c>
      <c r="SH258" s="1" t="s">
        <v>438</v>
      </c>
      <c r="SI258" s="1" t="s">
        <v>432</v>
      </c>
      <c r="SK258" s="1" t="s">
        <v>672</v>
      </c>
      <c r="SL258" s="1" t="s">
        <v>3112</v>
      </c>
      <c r="SM258" s="1" t="s">
        <v>540</v>
      </c>
    </row>
    <row r="259" spans="1:507" ht="64" x14ac:dyDescent="0.2">
      <c r="A259" s="1" t="s">
        <v>3113</v>
      </c>
      <c r="B259" s="1">
        <v>10</v>
      </c>
      <c r="C259" s="1">
        <v>5</v>
      </c>
      <c r="D259" s="3">
        <v>46051.439953703702</v>
      </c>
      <c r="E259" s="1">
        <v>5168705</v>
      </c>
      <c r="F259" s="1" t="s">
        <v>428</v>
      </c>
      <c r="H259" s="1" t="s">
        <v>3114</v>
      </c>
      <c r="J259" s="1" t="s">
        <v>3115</v>
      </c>
      <c r="L259" s="1" t="s">
        <v>3116</v>
      </c>
      <c r="M259" s="1" t="s">
        <v>3116</v>
      </c>
      <c r="N259" s="1" t="s">
        <v>3117</v>
      </c>
      <c r="O259" s="1" t="s">
        <v>432</v>
      </c>
      <c r="R259" s="1" t="s">
        <v>3115</v>
      </c>
      <c r="S259" s="1" t="s">
        <v>3118</v>
      </c>
      <c r="AB259" s="3">
        <v>46056.530729166669</v>
      </c>
      <c r="AC259" s="3">
        <v>46051.552002314813</v>
      </c>
      <c r="AE259" s="1" t="s">
        <v>3119</v>
      </c>
      <c r="BB259" s="1" t="s">
        <v>3120</v>
      </c>
      <c r="CO259" s="1" t="s">
        <v>435</v>
      </c>
      <c r="CQ259" s="1" t="s">
        <v>432</v>
      </c>
      <c r="CR259" s="1" t="s">
        <v>3121</v>
      </c>
      <c r="CS259" s="1" t="s">
        <v>729</v>
      </c>
      <c r="CT259" s="3">
        <v>46051.437291666669</v>
      </c>
      <c r="CU259" s="1" t="s">
        <v>436</v>
      </c>
      <c r="CV259" s="1" t="s">
        <v>512</v>
      </c>
      <c r="CW259" s="3">
        <v>46056.530648148146</v>
      </c>
      <c r="CX259" s="1" t="s">
        <v>1057</v>
      </c>
      <c r="CY259" s="1" t="s">
        <v>438</v>
      </c>
      <c r="DP259" s="1" t="s">
        <v>3122</v>
      </c>
      <c r="DU259" s="1" t="s">
        <v>3123</v>
      </c>
      <c r="GZ259" s="1" t="s">
        <v>3122</v>
      </c>
      <c r="HA259" s="1" t="s">
        <v>3123</v>
      </c>
      <c r="NM259" s="1" t="s">
        <v>441</v>
      </c>
      <c r="NN259" s="1">
        <v>4</v>
      </c>
      <c r="NS259" s="1">
        <v>5</v>
      </c>
      <c r="NT259" s="1">
        <v>5</v>
      </c>
      <c r="OA259" s="1">
        <v>4</v>
      </c>
      <c r="OB259" s="1">
        <v>5</v>
      </c>
      <c r="OC259" s="1">
        <v>4</v>
      </c>
      <c r="OD259" s="1">
        <v>5</v>
      </c>
      <c r="SC259" s="1" t="s">
        <v>646</v>
      </c>
      <c r="SG259" s="1" t="s">
        <v>647</v>
      </c>
      <c r="SH259" s="1" t="s">
        <v>438</v>
      </c>
      <c r="SI259" s="1" t="s">
        <v>438</v>
      </c>
      <c r="SK259" s="1" t="s">
        <v>568</v>
      </c>
      <c r="SL259" s="1" t="s">
        <v>620</v>
      </c>
    </row>
    <row r="260" spans="1:507" ht="80" x14ac:dyDescent="0.2">
      <c r="A260" s="1" t="s">
        <v>3124</v>
      </c>
      <c r="B260" s="1">
        <v>10</v>
      </c>
      <c r="C260" s="1">
        <v>5</v>
      </c>
      <c r="D260" s="3">
        <v>46051.41982638889</v>
      </c>
      <c r="E260" s="1">
        <v>5168542</v>
      </c>
      <c r="F260" s="1" t="s">
        <v>428</v>
      </c>
      <c r="H260" s="1" t="s">
        <v>3125</v>
      </c>
      <c r="J260" s="1" t="s">
        <v>3126</v>
      </c>
      <c r="L260" s="1" t="s">
        <v>3127</v>
      </c>
      <c r="M260" s="1" t="s">
        <v>3127</v>
      </c>
      <c r="N260" s="1" t="s">
        <v>3128</v>
      </c>
      <c r="O260" s="1" t="s">
        <v>432</v>
      </c>
      <c r="R260" s="1" t="s">
        <v>3126</v>
      </c>
      <c r="S260" s="1" t="s">
        <v>3129</v>
      </c>
      <c r="AB260" s="3">
        <v>46051.606481481482</v>
      </c>
      <c r="AC260" s="3">
        <v>46051.5312037037</v>
      </c>
      <c r="AE260" s="1" t="s">
        <v>3130</v>
      </c>
      <c r="BB260" s="1" t="s">
        <v>3131</v>
      </c>
      <c r="CO260" s="1" t="s">
        <v>435</v>
      </c>
      <c r="CQ260" s="1" t="s">
        <v>432</v>
      </c>
      <c r="CR260" s="1" t="s">
        <v>852</v>
      </c>
      <c r="CS260" s="1" t="s">
        <v>852</v>
      </c>
      <c r="CT260" s="3">
        <v>46051.416828703703</v>
      </c>
      <c r="CU260" s="1" t="s">
        <v>436</v>
      </c>
      <c r="CV260" s="1" t="s">
        <v>512</v>
      </c>
      <c r="CY260" s="1" t="s">
        <v>438</v>
      </c>
      <c r="DP260" s="1" t="s">
        <v>3132</v>
      </c>
      <c r="DU260" s="1" t="s">
        <v>3133</v>
      </c>
      <c r="GZ260" s="1" t="s">
        <v>3132</v>
      </c>
      <c r="HA260" s="1" t="s">
        <v>3133</v>
      </c>
      <c r="NM260" s="1" t="s">
        <v>441</v>
      </c>
      <c r="NN260" s="1">
        <v>5</v>
      </c>
      <c r="NS260" s="1">
        <v>5</v>
      </c>
      <c r="NT260" s="1">
        <v>5</v>
      </c>
      <c r="OA260" s="1">
        <v>5</v>
      </c>
      <c r="OB260" s="1">
        <v>5</v>
      </c>
      <c r="OC260" s="1">
        <v>5</v>
      </c>
      <c r="OD260" s="1">
        <v>2</v>
      </c>
      <c r="SB260" s="1" t="s">
        <v>3134</v>
      </c>
      <c r="SC260" s="1" t="s">
        <v>3135</v>
      </c>
      <c r="SF260" s="1" t="s">
        <v>3136</v>
      </c>
      <c r="SG260" s="1" t="s">
        <v>3137</v>
      </c>
      <c r="SH260" s="1" t="s">
        <v>438</v>
      </c>
      <c r="SI260" s="1" t="s">
        <v>432</v>
      </c>
      <c r="SK260" s="1" t="s">
        <v>1126</v>
      </c>
      <c r="SL260" s="1" t="s">
        <v>787</v>
      </c>
    </row>
    <row r="261" spans="1:507" ht="64" x14ac:dyDescent="0.2">
      <c r="A261" s="1" t="s">
        <v>3138</v>
      </c>
      <c r="B261" s="1">
        <v>10</v>
      </c>
      <c r="C261" s="1">
        <v>5</v>
      </c>
      <c r="D261" s="3">
        <v>46051.415798611109</v>
      </c>
      <c r="E261" s="1">
        <v>5168530</v>
      </c>
      <c r="F261" s="1" t="s">
        <v>428</v>
      </c>
      <c r="H261" s="1" t="s">
        <v>3139</v>
      </c>
      <c r="J261" s="1" t="s">
        <v>3140</v>
      </c>
      <c r="L261" s="1" t="s">
        <v>3141</v>
      </c>
      <c r="M261" s="1" t="s">
        <v>3141</v>
      </c>
      <c r="N261" s="1" t="s">
        <v>3142</v>
      </c>
      <c r="O261" s="1" t="s">
        <v>438</v>
      </c>
      <c r="R261" s="1" t="s">
        <v>3140</v>
      </c>
      <c r="S261" s="1" t="s">
        <v>3143</v>
      </c>
      <c r="AB261" s="3">
        <v>46051.604722222219</v>
      </c>
      <c r="AC261" s="3">
        <v>46051.532013888886</v>
      </c>
      <c r="AE261" s="1" t="s">
        <v>3144</v>
      </c>
      <c r="BB261" s="1" t="s">
        <v>3145</v>
      </c>
      <c r="CO261" s="1" t="s">
        <v>435</v>
      </c>
      <c r="CQ261" s="1" t="s">
        <v>432</v>
      </c>
      <c r="CR261" s="1" t="s">
        <v>852</v>
      </c>
      <c r="CS261" s="1" t="s">
        <v>852</v>
      </c>
      <c r="CT261" s="3">
        <v>46051.414351851854</v>
      </c>
      <c r="CU261" s="1" t="s">
        <v>436</v>
      </c>
      <c r="CV261" s="1" t="s">
        <v>512</v>
      </c>
      <c r="CY261" s="1" t="s">
        <v>438</v>
      </c>
      <c r="DP261" s="1" t="s">
        <v>3146</v>
      </c>
      <c r="DU261" s="1" t="s">
        <v>3147</v>
      </c>
      <c r="GZ261" s="1" t="s">
        <v>3146</v>
      </c>
      <c r="HA261" s="1" t="s">
        <v>3147</v>
      </c>
      <c r="NM261" s="1" t="s">
        <v>441</v>
      </c>
      <c r="NN261" s="1">
        <v>5</v>
      </c>
      <c r="NS261" s="1">
        <v>5</v>
      </c>
      <c r="NT261" s="1">
        <v>5</v>
      </c>
      <c r="OA261" s="1">
        <v>5</v>
      </c>
      <c r="OB261" s="1">
        <v>5</v>
      </c>
      <c r="OC261" s="1">
        <v>5</v>
      </c>
      <c r="OD261" s="1">
        <v>5</v>
      </c>
      <c r="SB261" s="1" t="s">
        <v>1958</v>
      </c>
      <c r="SC261" s="1" t="s">
        <v>773</v>
      </c>
      <c r="SF261" s="1" t="s">
        <v>1960</v>
      </c>
      <c r="SG261" s="1" t="s">
        <v>1357</v>
      </c>
      <c r="SH261" s="1" t="s">
        <v>438</v>
      </c>
      <c r="SI261" s="1" t="s">
        <v>432</v>
      </c>
      <c r="SK261" s="1" t="s">
        <v>445</v>
      </c>
      <c r="SL261" s="1" t="s">
        <v>2108</v>
      </c>
      <c r="SM261" s="1" t="s">
        <v>799</v>
      </c>
    </row>
    <row r="262" spans="1:507" ht="96" x14ac:dyDescent="0.2">
      <c r="A262" s="1" t="s">
        <v>3148</v>
      </c>
      <c r="B262" s="1">
        <v>10</v>
      </c>
      <c r="C262" s="1">
        <v>5</v>
      </c>
      <c r="D262" s="3">
        <v>46051.414074074077</v>
      </c>
      <c r="E262" s="1">
        <v>5168508</v>
      </c>
      <c r="F262" s="1" t="s">
        <v>428</v>
      </c>
      <c r="H262" s="1" t="s">
        <v>3149</v>
      </c>
      <c r="J262" s="1" t="s">
        <v>3150</v>
      </c>
      <c r="L262" s="1" t="s">
        <v>3151</v>
      </c>
      <c r="M262" s="1" t="s">
        <v>3151</v>
      </c>
      <c r="N262" s="1" t="s">
        <v>1616</v>
      </c>
      <c r="O262" s="1" t="s">
        <v>438</v>
      </c>
      <c r="R262" s="1" t="s">
        <v>3150</v>
      </c>
      <c r="S262" s="1" t="s">
        <v>1617</v>
      </c>
      <c r="AB262" s="3">
        <v>46051.603715277779</v>
      </c>
      <c r="AC262" s="3">
        <v>46051.531631944446</v>
      </c>
      <c r="AE262" s="1" t="s">
        <v>3152</v>
      </c>
      <c r="BB262" s="1" t="s">
        <v>3153</v>
      </c>
      <c r="CO262" s="1" t="s">
        <v>435</v>
      </c>
      <c r="CQ262" s="1" t="s">
        <v>432</v>
      </c>
      <c r="CR262" s="1" t="s">
        <v>852</v>
      </c>
      <c r="CS262" s="1" t="s">
        <v>852</v>
      </c>
      <c r="CT262" s="3">
        <v>46051.409837962965</v>
      </c>
      <c r="CU262" s="1" t="s">
        <v>436</v>
      </c>
      <c r="CV262" s="1" t="s">
        <v>512</v>
      </c>
      <c r="CY262" s="1" t="s">
        <v>438</v>
      </c>
      <c r="DP262" s="1" t="s">
        <v>3154</v>
      </c>
      <c r="DU262" s="1" t="s">
        <v>3155</v>
      </c>
      <c r="GZ262" s="1" t="s">
        <v>3154</v>
      </c>
      <c r="HA262" s="1" t="s">
        <v>3155</v>
      </c>
      <c r="NM262" s="1" t="s">
        <v>441</v>
      </c>
      <c r="NN262" s="1">
        <v>4</v>
      </c>
      <c r="NS262" s="1">
        <v>5</v>
      </c>
      <c r="NT262" s="1">
        <v>5</v>
      </c>
      <c r="OA262" s="1">
        <v>4</v>
      </c>
      <c r="OB262" s="1">
        <v>4</v>
      </c>
      <c r="OC262" s="1">
        <v>5</v>
      </c>
      <c r="OD262" s="1">
        <v>5</v>
      </c>
      <c r="SB262" s="1" t="s">
        <v>443</v>
      </c>
      <c r="SC262" s="1" t="s">
        <v>646</v>
      </c>
      <c r="SF262" s="1" t="s">
        <v>1000</v>
      </c>
      <c r="SG262" s="1" t="s">
        <v>647</v>
      </c>
      <c r="SH262" s="1" t="s">
        <v>438</v>
      </c>
      <c r="SI262" s="1" t="s">
        <v>438</v>
      </c>
      <c r="SK262" s="1" t="s">
        <v>445</v>
      </c>
      <c r="SL262" s="1" t="s">
        <v>3156</v>
      </c>
    </row>
    <row r="263" spans="1:507" ht="48" x14ac:dyDescent="0.2">
      <c r="A263" s="1" t="s">
        <v>3157</v>
      </c>
      <c r="B263" s="1">
        <v>10</v>
      </c>
      <c r="C263" s="1">
        <v>5</v>
      </c>
      <c r="D263" s="3">
        <v>46051.408032407409</v>
      </c>
      <c r="E263" s="1">
        <v>5168493</v>
      </c>
      <c r="F263" s="1" t="s">
        <v>428</v>
      </c>
      <c r="H263" s="1" t="s">
        <v>3158</v>
      </c>
      <c r="J263" s="1" t="s">
        <v>3159</v>
      </c>
      <c r="L263" s="1" t="s">
        <v>3160</v>
      </c>
      <c r="M263" s="1" t="s">
        <v>3160</v>
      </c>
      <c r="N263" s="1" t="s">
        <v>3161</v>
      </c>
      <c r="O263" s="1" t="s">
        <v>432</v>
      </c>
      <c r="R263" s="1" t="s">
        <v>3159</v>
      </c>
      <c r="S263" s="1" t="s">
        <v>3162</v>
      </c>
      <c r="AB263" s="3">
        <v>46051.602465277778</v>
      </c>
      <c r="AC263" s="3">
        <v>46051.531053240738</v>
      </c>
      <c r="AE263" s="1" t="s">
        <v>3163</v>
      </c>
      <c r="BB263" s="1" t="s">
        <v>3164</v>
      </c>
      <c r="CO263" s="1" t="s">
        <v>435</v>
      </c>
      <c r="CQ263" s="1" t="s">
        <v>432</v>
      </c>
      <c r="CR263" s="1" t="s">
        <v>852</v>
      </c>
      <c r="CS263" s="1" t="s">
        <v>852</v>
      </c>
      <c r="CT263" s="3">
        <v>46051.408148148148</v>
      </c>
      <c r="CU263" s="1" t="s">
        <v>436</v>
      </c>
      <c r="CV263" s="1" t="s">
        <v>512</v>
      </c>
      <c r="CY263" s="1" t="s">
        <v>438</v>
      </c>
      <c r="DP263" s="1" t="s">
        <v>3165</v>
      </c>
      <c r="GZ263" s="1" t="s">
        <v>3165</v>
      </c>
      <c r="NM263" s="1" t="s">
        <v>441</v>
      </c>
      <c r="NN263" s="1">
        <v>5</v>
      </c>
      <c r="NS263" s="1">
        <v>5</v>
      </c>
      <c r="NT263" s="1">
        <v>5</v>
      </c>
      <c r="OA263" s="1">
        <v>5</v>
      </c>
      <c r="OB263" s="1">
        <v>5</v>
      </c>
      <c r="OC263" s="1">
        <v>5</v>
      </c>
      <c r="OD263" s="1">
        <v>5</v>
      </c>
      <c r="SB263" s="1" t="s">
        <v>716</v>
      </c>
      <c r="SC263" s="1" t="s">
        <v>3166</v>
      </c>
      <c r="SF263" s="1" t="s">
        <v>718</v>
      </c>
      <c r="SG263" s="1" t="s">
        <v>3167</v>
      </c>
      <c r="SH263" s="1" t="s">
        <v>438</v>
      </c>
      <c r="SI263" s="1" t="s">
        <v>432</v>
      </c>
      <c r="SK263" s="1" t="s">
        <v>486</v>
      </c>
    </row>
    <row r="264" spans="1:507" ht="64" x14ac:dyDescent="0.2">
      <c r="A264" s="1" t="s">
        <v>3168</v>
      </c>
      <c r="B264" s="1">
        <v>10</v>
      </c>
      <c r="C264" s="1">
        <v>5</v>
      </c>
      <c r="D264" s="3">
        <v>46051.329768518517</v>
      </c>
      <c r="E264" s="1">
        <v>5168237</v>
      </c>
      <c r="F264" s="1" t="s">
        <v>428</v>
      </c>
      <c r="H264" s="1" t="s">
        <v>3169</v>
      </c>
      <c r="J264" s="1" t="s">
        <v>3170</v>
      </c>
      <c r="L264" s="1" t="s">
        <v>3171</v>
      </c>
      <c r="M264" s="1" t="s">
        <v>3171</v>
      </c>
      <c r="N264" s="1" t="s">
        <v>1994</v>
      </c>
      <c r="O264" s="1" t="s">
        <v>432</v>
      </c>
      <c r="R264" s="1" t="s">
        <v>3170</v>
      </c>
      <c r="S264" s="1" t="s">
        <v>1995</v>
      </c>
      <c r="AB264" s="3">
        <v>46051.403020833335</v>
      </c>
      <c r="AC264" s="3">
        <v>46050.63921296296</v>
      </c>
      <c r="AE264" s="1" t="s">
        <v>3172</v>
      </c>
      <c r="BB264" s="1" t="s">
        <v>3173</v>
      </c>
      <c r="CO264" s="1" t="s">
        <v>435</v>
      </c>
      <c r="CQ264" s="1" t="s">
        <v>432</v>
      </c>
      <c r="CR264" s="1" t="s">
        <v>852</v>
      </c>
      <c r="CS264" s="1" t="s">
        <v>852</v>
      </c>
      <c r="CT264" s="3">
        <v>46051.327002314814</v>
      </c>
      <c r="CU264" s="1" t="s">
        <v>436</v>
      </c>
      <c r="CV264" s="1" t="s">
        <v>512</v>
      </c>
      <c r="CY264" s="1" t="s">
        <v>438</v>
      </c>
      <c r="DP264" s="1" t="s">
        <v>3174</v>
      </c>
      <c r="DU264" s="1" t="s">
        <v>3175</v>
      </c>
      <c r="GZ264" s="1" t="s">
        <v>3174</v>
      </c>
      <c r="HA264" s="1" t="s">
        <v>3175</v>
      </c>
      <c r="NM264" s="1" t="s">
        <v>441</v>
      </c>
      <c r="NN264" s="1">
        <v>3</v>
      </c>
      <c r="NS264" s="1">
        <v>5</v>
      </c>
      <c r="NT264" s="1">
        <v>5</v>
      </c>
      <c r="OA264" s="1">
        <v>5</v>
      </c>
      <c r="OB264" s="1">
        <v>4</v>
      </c>
      <c r="OC264" s="1">
        <v>5</v>
      </c>
      <c r="OD264" s="1">
        <v>4</v>
      </c>
      <c r="SB264" s="1" t="s">
        <v>1804</v>
      </c>
      <c r="SC264" s="1" t="s">
        <v>646</v>
      </c>
      <c r="SF264" s="1" t="s">
        <v>3176</v>
      </c>
      <c r="SG264" s="1" t="s">
        <v>1195</v>
      </c>
      <c r="SH264" s="1" t="s">
        <v>438</v>
      </c>
      <c r="SI264" s="1" t="s">
        <v>438</v>
      </c>
      <c r="SK264" s="1" t="s">
        <v>568</v>
      </c>
      <c r="SL264" s="1" t="s">
        <v>619</v>
      </c>
      <c r="SM264" s="1" t="s">
        <v>3177</v>
      </c>
    </row>
    <row r="265" spans="1:507" ht="48" x14ac:dyDescent="0.2">
      <c r="A265" s="1" t="s">
        <v>3178</v>
      </c>
      <c r="B265" s="1">
        <v>10</v>
      </c>
      <c r="C265" s="1">
        <v>5</v>
      </c>
      <c r="D265" s="3">
        <v>46051.000949074078</v>
      </c>
      <c r="E265" s="1">
        <v>5167980</v>
      </c>
      <c r="F265" s="1" t="s">
        <v>428</v>
      </c>
      <c r="H265" s="1" t="s">
        <v>3179</v>
      </c>
      <c r="J265" s="1" t="s">
        <v>3180</v>
      </c>
      <c r="L265" s="1" t="s">
        <v>3181</v>
      </c>
      <c r="O265" s="1" t="s">
        <v>432</v>
      </c>
      <c r="R265" s="1" t="s">
        <v>3180</v>
      </c>
      <c r="AB265" s="3">
        <v>46051.4377662037</v>
      </c>
      <c r="AC265" s="3">
        <v>46050.543842592589</v>
      </c>
      <c r="AE265" s="1" t="s">
        <v>3182</v>
      </c>
      <c r="BB265" s="1" t="s">
        <v>3183</v>
      </c>
      <c r="CO265" s="1" t="s">
        <v>435</v>
      </c>
      <c r="CQ265" s="1" t="s">
        <v>432</v>
      </c>
      <c r="CR265" s="1" t="s">
        <v>1227</v>
      </c>
      <c r="CS265" s="1" t="s">
        <v>1227</v>
      </c>
      <c r="CT265" s="3">
        <v>46050.998113425929</v>
      </c>
      <c r="CU265" s="1" t="s">
        <v>436</v>
      </c>
      <c r="CV265" s="1" t="s">
        <v>512</v>
      </c>
      <c r="CY265" s="1" t="s">
        <v>438</v>
      </c>
      <c r="DP265" s="1" t="s">
        <v>3184</v>
      </c>
      <c r="DU265" s="1" t="s">
        <v>3185</v>
      </c>
      <c r="GZ265" s="1" t="s">
        <v>3184</v>
      </c>
      <c r="HA265" s="1" t="s">
        <v>3185</v>
      </c>
      <c r="NM265" s="1" t="s">
        <v>441</v>
      </c>
      <c r="NN265" s="1">
        <v>5</v>
      </c>
      <c r="NS265" s="1">
        <v>5</v>
      </c>
      <c r="NT265" s="1">
        <v>5</v>
      </c>
      <c r="OA265" s="1">
        <v>5</v>
      </c>
      <c r="OB265" s="1">
        <v>5</v>
      </c>
      <c r="OC265" s="1">
        <v>5</v>
      </c>
      <c r="OD265" s="1">
        <v>5</v>
      </c>
      <c r="SB265" s="1" t="s">
        <v>3186</v>
      </c>
      <c r="SC265" s="1" t="s">
        <v>3187</v>
      </c>
      <c r="SF265" s="1" t="s">
        <v>3188</v>
      </c>
      <c r="SG265" s="1" t="s">
        <v>3189</v>
      </c>
      <c r="SH265" s="1" t="s">
        <v>438</v>
      </c>
      <c r="SI265" s="1" t="s">
        <v>432</v>
      </c>
      <c r="SK265" s="1" t="s">
        <v>568</v>
      </c>
      <c r="SL265" s="1" t="s">
        <v>955</v>
      </c>
      <c r="SM265" s="1" t="s">
        <v>799</v>
      </c>
    </row>
    <row r="266" spans="1:507" ht="32" x14ac:dyDescent="0.2">
      <c r="A266" s="1" t="s">
        <v>3190</v>
      </c>
      <c r="B266" s="1">
        <v>10</v>
      </c>
      <c r="C266" s="1">
        <v>5</v>
      </c>
      <c r="D266" s="3">
        <v>46050.92900462963</v>
      </c>
      <c r="E266" s="1">
        <v>5167830</v>
      </c>
      <c r="F266" s="1" t="s">
        <v>428</v>
      </c>
      <c r="H266" s="1" t="s">
        <v>3191</v>
      </c>
      <c r="J266" s="1" t="s">
        <v>3192</v>
      </c>
      <c r="L266" s="1" t="s">
        <v>3193</v>
      </c>
      <c r="M266" s="1" t="s">
        <v>3193</v>
      </c>
      <c r="N266" s="1" t="s">
        <v>765</v>
      </c>
      <c r="O266" s="1" t="s">
        <v>432</v>
      </c>
      <c r="R266" s="1" t="s">
        <v>3192</v>
      </c>
      <c r="S266" s="1" t="s">
        <v>766</v>
      </c>
      <c r="AB266" s="3">
        <v>46051.433576388888</v>
      </c>
      <c r="AC266" s="3">
        <v>46050.543900462966</v>
      </c>
      <c r="AE266" s="1" t="s">
        <v>3194</v>
      </c>
      <c r="BB266" s="1" t="s">
        <v>3195</v>
      </c>
      <c r="CO266" s="1" t="s">
        <v>435</v>
      </c>
      <c r="CQ266" s="1" t="s">
        <v>432</v>
      </c>
      <c r="CR266" s="1" t="s">
        <v>1227</v>
      </c>
      <c r="CS266" s="1" t="s">
        <v>1227</v>
      </c>
      <c r="CT266" s="3">
        <v>46050.928761574076</v>
      </c>
      <c r="CU266" s="1" t="s">
        <v>436</v>
      </c>
      <c r="CV266" s="1" t="s">
        <v>512</v>
      </c>
      <c r="CY266" s="1" t="s">
        <v>438</v>
      </c>
      <c r="DP266" s="1" t="s">
        <v>3196</v>
      </c>
      <c r="DU266" s="1" t="s">
        <v>682</v>
      </c>
      <c r="GZ266" s="1" t="s">
        <v>3196</v>
      </c>
      <c r="HA266" s="1" t="s">
        <v>682</v>
      </c>
      <c r="NM266" s="1" t="s">
        <v>441</v>
      </c>
      <c r="NN266" s="1">
        <v>5</v>
      </c>
      <c r="NS266" s="1">
        <v>5</v>
      </c>
      <c r="NT266" s="1">
        <v>5</v>
      </c>
      <c r="OA266" s="1">
        <v>5</v>
      </c>
      <c r="OB266" s="1">
        <v>5</v>
      </c>
      <c r="OC266" s="1">
        <v>5</v>
      </c>
      <c r="OD266" s="1">
        <v>5</v>
      </c>
      <c r="SC266" s="1" t="s">
        <v>443</v>
      </c>
      <c r="SG266" s="1" t="s">
        <v>1264</v>
      </c>
      <c r="SH266" s="1" t="s">
        <v>438</v>
      </c>
      <c r="SI266" s="1" t="s">
        <v>432</v>
      </c>
      <c r="SK266" s="1" t="s">
        <v>445</v>
      </c>
    </row>
    <row r="267" spans="1:507" ht="80" x14ac:dyDescent="0.2">
      <c r="A267" s="1" t="s">
        <v>3197</v>
      </c>
      <c r="B267" s="1">
        <v>10</v>
      </c>
      <c r="C267" s="1">
        <v>5</v>
      </c>
      <c r="D267" s="3">
        <v>46050.589583333334</v>
      </c>
      <c r="E267" s="1">
        <v>5166725</v>
      </c>
      <c r="F267" s="1" t="s">
        <v>428</v>
      </c>
      <c r="H267" s="1" t="s">
        <v>3198</v>
      </c>
      <c r="J267" s="1" t="s">
        <v>3199</v>
      </c>
      <c r="L267" s="1" t="s">
        <v>3200</v>
      </c>
      <c r="N267" s="1" t="s">
        <v>1325</v>
      </c>
      <c r="O267" s="1" t="s">
        <v>432</v>
      </c>
      <c r="R267" s="1" t="s">
        <v>3199</v>
      </c>
      <c r="S267" s="1" t="s">
        <v>1326</v>
      </c>
      <c r="AB267" s="3">
        <v>46051.343148148146</v>
      </c>
      <c r="AC267" s="3">
        <v>46049.552083333336</v>
      </c>
      <c r="AE267" s="1" t="s">
        <v>3201</v>
      </c>
      <c r="BB267" s="1" t="s">
        <v>3202</v>
      </c>
      <c r="CO267" s="1" t="s">
        <v>435</v>
      </c>
      <c r="CQ267" s="1" t="s">
        <v>432</v>
      </c>
      <c r="CR267" s="1" t="s">
        <v>511</v>
      </c>
      <c r="CS267" s="1" t="s">
        <v>511</v>
      </c>
      <c r="CT267" s="3">
        <v>46050.588865740741</v>
      </c>
      <c r="CU267" s="1" t="s">
        <v>436</v>
      </c>
      <c r="CV267" s="1" t="s">
        <v>512</v>
      </c>
      <c r="CY267" s="1" t="s">
        <v>438</v>
      </c>
      <c r="DP267" s="1" t="s">
        <v>3203</v>
      </c>
      <c r="GZ267" s="1" t="s">
        <v>3203</v>
      </c>
      <c r="NM267" s="1" t="s">
        <v>441</v>
      </c>
      <c r="NN267" s="1">
        <v>5</v>
      </c>
      <c r="NS267" s="1">
        <v>5</v>
      </c>
      <c r="NT267" s="1">
        <v>5</v>
      </c>
      <c r="OA267" s="1">
        <v>5</v>
      </c>
      <c r="OB267" s="1">
        <v>5</v>
      </c>
      <c r="OC267" s="1">
        <v>5</v>
      </c>
      <c r="OD267" s="1">
        <v>5</v>
      </c>
      <c r="SB267" s="1" t="s">
        <v>443</v>
      </c>
      <c r="SC267" s="1" t="s">
        <v>565</v>
      </c>
      <c r="SF267" s="1" t="s">
        <v>444</v>
      </c>
      <c r="SG267" s="1" t="s">
        <v>3204</v>
      </c>
      <c r="SH267" s="1" t="s">
        <v>438</v>
      </c>
      <c r="SI267" s="1" t="s">
        <v>432</v>
      </c>
      <c r="SK267" s="1" t="s">
        <v>445</v>
      </c>
      <c r="SL267" s="1" t="s">
        <v>1126</v>
      </c>
      <c r="SM267" s="1" t="s">
        <v>919</v>
      </c>
    </row>
    <row r="268" spans="1:507" ht="32" x14ac:dyDescent="0.2">
      <c r="A268" s="1" t="s">
        <v>3205</v>
      </c>
      <c r="B268" s="1">
        <v>10</v>
      </c>
      <c r="C268" s="1">
        <v>5</v>
      </c>
      <c r="D268" s="3">
        <v>46050.579571759263</v>
      </c>
      <c r="E268" s="1">
        <v>5166695</v>
      </c>
      <c r="F268" s="1" t="s">
        <v>428</v>
      </c>
      <c r="H268" s="1" t="s">
        <v>3206</v>
      </c>
      <c r="J268" s="1" t="s">
        <v>3207</v>
      </c>
      <c r="L268" s="1" t="s">
        <v>3208</v>
      </c>
      <c r="O268" s="1" t="s">
        <v>432</v>
      </c>
      <c r="R268" s="1" t="s">
        <v>3207</v>
      </c>
      <c r="AB268" s="3">
        <v>46051.335162037038</v>
      </c>
      <c r="AC268" s="3">
        <v>46050.542662037034</v>
      </c>
      <c r="AE268" s="1" t="s">
        <v>3209</v>
      </c>
      <c r="BB268" s="1" t="s">
        <v>3210</v>
      </c>
      <c r="CO268" s="1" t="s">
        <v>435</v>
      </c>
      <c r="CQ268" s="1" t="s">
        <v>432</v>
      </c>
      <c r="CR268" s="1" t="s">
        <v>852</v>
      </c>
      <c r="CS268" s="1" t="s">
        <v>852</v>
      </c>
      <c r="CT268" s="3">
        <v>46050.579768518517</v>
      </c>
      <c r="CU268" s="1" t="s">
        <v>436</v>
      </c>
      <c r="CV268" s="1" t="s">
        <v>512</v>
      </c>
      <c r="CY268" s="1" t="s">
        <v>438</v>
      </c>
      <c r="DP268" s="1" t="s">
        <v>3211</v>
      </c>
      <c r="GZ268" s="1" t="s">
        <v>3211</v>
      </c>
      <c r="NM268" s="1" t="s">
        <v>441</v>
      </c>
      <c r="NN268" s="1">
        <v>4</v>
      </c>
      <c r="NS268" s="1">
        <v>5</v>
      </c>
      <c r="NT268" s="1">
        <v>5</v>
      </c>
      <c r="OA268" s="1">
        <v>5</v>
      </c>
      <c r="OB268" s="1">
        <v>5</v>
      </c>
      <c r="OC268" s="1">
        <v>5</v>
      </c>
      <c r="OD268" s="1">
        <v>5</v>
      </c>
      <c r="SC268" s="1" t="s">
        <v>951</v>
      </c>
      <c r="SG268" s="1" t="s">
        <v>953</v>
      </c>
      <c r="SH268" s="1" t="s">
        <v>438</v>
      </c>
      <c r="SI268" s="1" t="s">
        <v>432</v>
      </c>
      <c r="SK268" s="1" t="s">
        <v>2325</v>
      </c>
    </row>
    <row r="269" spans="1:507" ht="48" x14ac:dyDescent="0.2">
      <c r="A269" s="1" t="s">
        <v>3212</v>
      </c>
      <c r="B269" s="1">
        <v>10</v>
      </c>
      <c r="C269" s="1">
        <v>5</v>
      </c>
      <c r="D269" s="3">
        <v>46050.578344907408</v>
      </c>
      <c r="E269" s="1">
        <v>5166689</v>
      </c>
      <c r="F269" s="1" t="s">
        <v>428</v>
      </c>
      <c r="H269" s="1" t="s">
        <v>3213</v>
      </c>
      <c r="J269" s="1" t="s">
        <v>3214</v>
      </c>
      <c r="L269" s="1" t="s">
        <v>3215</v>
      </c>
      <c r="M269" s="1" t="s">
        <v>3215</v>
      </c>
      <c r="N269" s="1" t="s">
        <v>3216</v>
      </c>
      <c r="O269" s="1" t="s">
        <v>432</v>
      </c>
      <c r="R269" s="1" t="s">
        <v>3214</v>
      </c>
      <c r="S269" s="1" t="s">
        <v>3217</v>
      </c>
      <c r="AB269" s="3">
        <v>46051.333923611113</v>
      </c>
      <c r="AC269" s="3">
        <v>46050.680995370371</v>
      </c>
      <c r="AE269" s="1" t="s">
        <v>3218</v>
      </c>
      <c r="BB269" s="1" t="s">
        <v>3219</v>
      </c>
      <c r="CO269" s="1" t="s">
        <v>435</v>
      </c>
      <c r="CQ269" s="1" t="s">
        <v>432</v>
      </c>
      <c r="CR269" s="1" t="s">
        <v>852</v>
      </c>
      <c r="CS269" s="1" t="s">
        <v>852</v>
      </c>
      <c r="CT269" s="3">
        <v>46050.577777777777</v>
      </c>
      <c r="CU269" s="1" t="s">
        <v>436</v>
      </c>
      <c r="CV269" s="1" t="s">
        <v>512</v>
      </c>
      <c r="CY269" s="1" t="s">
        <v>438</v>
      </c>
      <c r="DP269" s="1" t="s">
        <v>3220</v>
      </c>
      <c r="DU269" s="1" t="s">
        <v>682</v>
      </c>
      <c r="GZ269" s="1" t="s">
        <v>3220</v>
      </c>
      <c r="HA269" s="1" t="s">
        <v>682</v>
      </c>
      <c r="NM269" s="1" t="s">
        <v>441</v>
      </c>
      <c r="NN269" s="1">
        <v>5</v>
      </c>
      <c r="NS269" s="1">
        <v>5</v>
      </c>
      <c r="NT269" s="1">
        <v>5</v>
      </c>
      <c r="OA269" s="1">
        <v>5</v>
      </c>
      <c r="OB269" s="1">
        <v>5</v>
      </c>
      <c r="OC269" s="1">
        <v>5</v>
      </c>
      <c r="OD269" s="1" t="s">
        <v>442</v>
      </c>
      <c r="SB269" s="1" t="s">
        <v>3221</v>
      </c>
      <c r="SC269" s="1" t="s">
        <v>3222</v>
      </c>
      <c r="SE269" s="1" t="s">
        <v>484</v>
      </c>
      <c r="SF269" s="1" t="s">
        <v>3223</v>
      </c>
      <c r="SG269" s="1" t="s">
        <v>3224</v>
      </c>
      <c r="SH269" s="1" t="s">
        <v>438</v>
      </c>
      <c r="SI269" s="1" t="s">
        <v>432</v>
      </c>
      <c r="SK269" s="1" t="s">
        <v>486</v>
      </c>
      <c r="SL269" s="1" t="s">
        <v>568</v>
      </c>
    </row>
    <row r="270" spans="1:507" ht="48" x14ac:dyDescent="0.2">
      <c r="A270" s="1" t="s">
        <v>3225</v>
      </c>
      <c r="B270" s="1">
        <v>10</v>
      </c>
      <c r="C270" s="1">
        <v>5</v>
      </c>
      <c r="D270" s="3">
        <v>46050.541909722226</v>
      </c>
      <c r="E270" s="1">
        <v>5166469</v>
      </c>
      <c r="F270" s="1" t="s">
        <v>428</v>
      </c>
      <c r="H270" s="1" t="s">
        <v>3226</v>
      </c>
      <c r="J270" s="1" t="s">
        <v>3227</v>
      </c>
      <c r="L270" s="1" t="s">
        <v>3228</v>
      </c>
      <c r="M270" s="1" t="s">
        <v>3229</v>
      </c>
      <c r="N270" s="1" t="s">
        <v>1478</v>
      </c>
      <c r="O270" s="1" t="s">
        <v>432</v>
      </c>
      <c r="R270" s="1" t="s">
        <v>3227</v>
      </c>
      <c r="S270" s="1" t="s">
        <v>1479</v>
      </c>
      <c r="AB270" s="3">
        <v>46050.576493055552</v>
      </c>
      <c r="AC270" s="3">
        <v>46050.596342592595</v>
      </c>
      <c r="AE270" s="1" t="s">
        <v>3230</v>
      </c>
      <c r="BB270" s="1" t="s">
        <v>3231</v>
      </c>
      <c r="CO270" s="1" t="s">
        <v>435</v>
      </c>
      <c r="CQ270" s="1" t="s">
        <v>432</v>
      </c>
      <c r="CR270" s="1" t="s">
        <v>852</v>
      </c>
      <c r="CS270" s="1" t="s">
        <v>852</v>
      </c>
      <c r="CT270" s="3">
        <v>46050.523275462961</v>
      </c>
      <c r="CU270" s="1" t="s">
        <v>436</v>
      </c>
      <c r="CV270" s="1" t="s">
        <v>512</v>
      </c>
      <c r="CY270" s="1" t="s">
        <v>438</v>
      </c>
      <c r="DP270" s="1" t="s">
        <v>3232</v>
      </c>
      <c r="DU270" s="1" t="s">
        <v>3233</v>
      </c>
      <c r="GZ270" s="1" t="s">
        <v>3232</v>
      </c>
      <c r="HA270" s="1" t="s">
        <v>3233</v>
      </c>
      <c r="NM270" s="1" t="s">
        <v>441</v>
      </c>
      <c r="NN270" s="1">
        <v>5</v>
      </c>
      <c r="NS270" s="1">
        <v>5</v>
      </c>
      <c r="NT270" s="1">
        <v>5</v>
      </c>
      <c r="OA270" s="1">
        <v>5</v>
      </c>
      <c r="OB270" s="1">
        <v>4</v>
      </c>
      <c r="OC270" s="1">
        <v>5</v>
      </c>
      <c r="OD270" s="1">
        <v>5</v>
      </c>
      <c r="SB270" s="1" t="s">
        <v>443</v>
      </c>
      <c r="SC270" s="1" t="s">
        <v>443</v>
      </c>
      <c r="SF270" s="1" t="s">
        <v>444</v>
      </c>
      <c r="SG270" s="1" t="s">
        <v>865</v>
      </c>
      <c r="SH270" s="1" t="s">
        <v>438</v>
      </c>
      <c r="SI270" s="1" t="s">
        <v>432</v>
      </c>
      <c r="SK270" s="1" t="s">
        <v>568</v>
      </c>
      <c r="SL270" s="1" t="s">
        <v>866</v>
      </c>
      <c r="SM270" s="1" t="s">
        <v>3234</v>
      </c>
    </row>
    <row r="271" spans="1:507" ht="48" x14ac:dyDescent="0.2">
      <c r="A271" s="1" t="s">
        <v>3235</v>
      </c>
      <c r="B271" s="1">
        <v>10</v>
      </c>
      <c r="C271" s="1">
        <v>5</v>
      </c>
      <c r="D271" s="3">
        <v>46050.507534722223</v>
      </c>
      <c r="E271" s="1">
        <v>5166413</v>
      </c>
      <c r="F271" s="1" t="s">
        <v>428</v>
      </c>
      <c r="H271" s="1" t="s">
        <v>3236</v>
      </c>
      <c r="J271" s="1" t="s">
        <v>3237</v>
      </c>
      <c r="L271" s="1" t="s">
        <v>3238</v>
      </c>
      <c r="M271" s="1" t="s">
        <v>3238</v>
      </c>
      <c r="N271" s="1" t="s">
        <v>3239</v>
      </c>
      <c r="O271" s="1" t="s">
        <v>432</v>
      </c>
      <c r="R271" s="1" t="s">
        <v>3237</v>
      </c>
      <c r="S271" s="1" t="s">
        <v>3240</v>
      </c>
      <c r="AB271" s="3">
        <v>46050.584224537037</v>
      </c>
      <c r="AC271" s="3">
        <v>46050.545081018521</v>
      </c>
      <c r="AE271" s="1" t="s">
        <v>3241</v>
      </c>
      <c r="BB271" s="1" t="s">
        <v>3242</v>
      </c>
      <c r="CO271" s="1" t="s">
        <v>435</v>
      </c>
      <c r="CQ271" s="1" t="s">
        <v>432</v>
      </c>
      <c r="CR271" s="1" t="s">
        <v>1227</v>
      </c>
      <c r="CS271" s="1" t="s">
        <v>1227</v>
      </c>
      <c r="CT271" s="3">
        <v>46050.507650462961</v>
      </c>
      <c r="CU271" s="1" t="s">
        <v>436</v>
      </c>
      <c r="CV271" s="1" t="s">
        <v>512</v>
      </c>
      <c r="CY271" s="1" t="s">
        <v>438</v>
      </c>
      <c r="DP271" s="1" t="s">
        <v>3243</v>
      </c>
      <c r="DU271" s="1" t="s">
        <v>3244</v>
      </c>
      <c r="GZ271" s="1" t="s">
        <v>3243</v>
      </c>
      <c r="HA271" s="1" t="s">
        <v>3244</v>
      </c>
      <c r="NM271" s="1" t="s">
        <v>441</v>
      </c>
      <c r="NN271" s="1">
        <v>5</v>
      </c>
      <c r="NS271" s="1">
        <v>4</v>
      </c>
      <c r="NT271" s="1">
        <v>5</v>
      </c>
      <c r="OA271" s="1">
        <v>5</v>
      </c>
      <c r="OB271" s="1" t="s">
        <v>442</v>
      </c>
      <c r="OC271" s="1">
        <v>5</v>
      </c>
      <c r="OD271" s="1">
        <v>5</v>
      </c>
      <c r="SC271" s="1" t="s">
        <v>917</v>
      </c>
      <c r="SG271" s="1" t="s">
        <v>3245</v>
      </c>
      <c r="SH271" s="1" t="s">
        <v>438</v>
      </c>
      <c r="SI271" s="1" t="s">
        <v>432</v>
      </c>
      <c r="SK271" s="1" t="s">
        <v>445</v>
      </c>
      <c r="SL271" s="1" t="s">
        <v>2947</v>
      </c>
    </row>
    <row r="272" spans="1:507" ht="48" x14ac:dyDescent="0.2">
      <c r="A272" s="1" t="s">
        <v>3246</v>
      </c>
      <c r="B272" s="1">
        <v>10</v>
      </c>
      <c r="C272" s="1">
        <v>5</v>
      </c>
      <c r="D272" s="3">
        <v>46050.428969907407</v>
      </c>
      <c r="E272" s="1">
        <v>5166019</v>
      </c>
      <c r="F272" s="1" t="s">
        <v>428</v>
      </c>
      <c r="H272" s="1" t="s">
        <v>3247</v>
      </c>
      <c r="J272" s="1" t="s">
        <v>3248</v>
      </c>
      <c r="L272" s="1" t="s">
        <v>3249</v>
      </c>
      <c r="M272" s="1" t="s">
        <v>3249</v>
      </c>
      <c r="N272" s="1" t="s">
        <v>2014</v>
      </c>
      <c r="O272" s="1" t="s">
        <v>432</v>
      </c>
      <c r="R272" s="1" t="s">
        <v>3248</v>
      </c>
      <c r="S272" s="1" t="s">
        <v>2015</v>
      </c>
      <c r="AB272" s="3">
        <v>46050.585625</v>
      </c>
      <c r="AC272" s="3">
        <v>46050.544027777774</v>
      </c>
      <c r="AE272" s="1" t="s">
        <v>3250</v>
      </c>
      <c r="BB272" s="1" t="s">
        <v>3251</v>
      </c>
      <c r="CO272" s="1" t="s">
        <v>435</v>
      </c>
      <c r="CQ272" s="1" t="s">
        <v>432</v>
      </c>
      <c r="CR272" s="1" t="s">
        <v>495</v>
      </c>
      <c r="CS272" s="1" t="s">
        <v>495</v>
      </c>
      <c r="CT272" s="3">
        <v>46050.426134259258</v>
      </c>
      <c r="CU272" s="1" t="s">
        <v>436</v>
      </c>
      <c r="CV272" s="1" t="s">
        <v>512</v>
      </c>
      <c r="CY272" s="1" t="s">
        <v>438</v>
      </c>
      <c r="DP272" s="1" t="s">
        <v>3252</v>
      </c>
      <c r="DU272" s="1" t="s">
        <v>3253</v>
      </c>
      <c r="GZ272" s="1" t="s">
        <v>3252</v>
      </c>
      <c r="HA272" s="1" t="s">
        <v>3253</v>
      </c>
      <c r="NM272" s="1" t="s">
        <v>441</v>
      </c>
      <c r="NN272" s="1">
        <v>4</v>
      </c>
      <c r="NS272" s="1">
        <v>5</v>
      </c>
      <c r="NT272" s="1">
        <v>5</v>
      </c>
      <c r="OA272" s="1">
        <v>5</v>
      </c>
      <c r="OB272" s="1">
        <v>5</v>
      </c>
      <c r="OC272" s="1">
        <v>5</v>
      </c>
      <c r="OD272" s="1">
        <v>5</v>
      </c>
      <c r="SB272" s="1" t="s">
        <v>746</v>
      </c>
      <c r="SC272" s="1" t="s">
        <v>1035</v>
      </c>
      <c r="SF272" s="1" t="s">
        <v>748</v>
      </c>
      <c r="SG272" s="1" t="s">
        <v>1036</v>
      </c>
      <c r="SH272" s="1" t="s">
        <v>438</v>
      </c>
      <c r="SI272" s="1" t="s">
        <v>432</v>
      </c>
      <c r="SK272" s="1" t="s">
        <v>2325</v>
      </c>
      <c r="SL272" s="1" t="s">
        <v>955</v>
      </c>
    </row>
    <row r="273" spans="1:510" ht="192" x14ac:dyDescent="0.2">
      <c r="A273" s="1" t="s">
        <v>3254</v>
      </c>
      <c r="B273" s="1">
        <v>7</v>
      </c>
      <c r="C273" s="1">
        <v>3</v>
      </c>
      <c r="D273" s="3">
        <v>46050.426620370374</v>
      </c>
      <c r="E273" s="1">
        <v>5166015</v>
      </c>
      <c r="F273" s="1" t="s">
        <v>428</v>
      </c>
      <c r="H273" s="1" t="s">
        <v>3255</v>
      </c>
      <c r="J273" s="1" t="s">
        <v>3256</v>
      </c>
      <c r="L273" s="1" t="s">
        <v>3257</v>
      </c>
      <c r="O273" s="1" t="s">
        <v>432</v>
      </c>
      <c r="R273" s="1" t="s">
        <v>3256</v>
      </c>
      <c r="AB273" s="3">
        <v>46055.535543981481</v>
      </c>
      <c r="AC273" s="3">
        <v>46050.543414351851</v>
      </c>
      <c r="AE273" s="1" t="s">
        <v>3258</v>
      </c>
      <c r="BB273" s="1" t="s">
        <v>3259</v>
      </c>
      <c r="CO273" s="1" t="s">
        <v>435</v>
      </c>
      <c r="CQ273" s="1" t="s">
        <v>432</v>
      </c>
      <c r="CR273" s="1" t="s">
        <v>3260</v>
      </c>
      <c r="CS273" s="1" t="s">
        <v>729</v>
      </c>
      <c r="CT273" s="3">
        <v>46050.424768518518</v>
      </c>
      <c r="CU273" s="1" t="s">
        <v>524</v>
      </c>
      <c r="CV273" s="1" t="s">
        <v>512</v>
      </c>
      <c r="CW273" s="3">
        <v>46055.535462962966</v>
      </c>
      <c r="CX273" s="1" t="s">
        <v>1057</v>
      </c>
      <c r="CY273" s="1" t="s">
        <v>438</v>
      </c>
      <c r="DP273" s="1" t="s">
        <v>3261</v>
      </c>
      <c r="DU273" s="1" t="s">
        <v>3262</v>
      </c>
      <c r="GZ273" s="1" t="s">
        <v>3261</v>
      </c>
      <c r="HA273" s="1" t="s">
        <v>3262</v>
      </c>
      <c r="NM273" s="1" t="s">
        <v>441</v>
      </c>
      <c r="NN273" s="1">
        <v>5</v>
      </c>
      <c r="NS273" s="1">
        <v>5</v>
      </c>
      <c r="NT273" s="1">
        <v>5</v>
      </c>
      <c r="OA273" s="1">
        <v>2</v>
      </c>
      <c r="OB273" s="1">
        <v>2</v>
      </c>
      <c r="OC273" s="1">
        <v>1</v>
      </c>
      <c r="OD273" s="1">
        <v>1</v>
      </c>
      <c r="SB273" s="1" t="s">
        <v>2565</v>
      </c>
      <c r="SC273" s="1" t="s">
        <v>3263</v>
      </c>
      <c r="SF273" s="1" t="s">
        <v>3264</v>
      </c>
      <c r="SG273" s="1" t="s">
        <v>3265</v>
      </c>
      <c r="SH273" s="1" t="s">
        <v>438</v>
      </c>
      <c r="SI273" s="1" t="s">
        <v>432</v>
      </c>
      <c r="SK273" s="1" t="s">
        <v>760</v>
      </c>
      <c r="SL273" s="1" t="s">
        <v>1166</v>
      </c>
      <c r="SM273" s="1" t="s">
        <v>500</v>
      </c>
      <c r="SN273" s="1" t="s">
        <v>619</v>
      </c>
      <c r="SO273" s="1" t="s">
        <v>787</v>
      </c>
      <c r="SP273" s="1" t="s">
        <v>928</v>
      </c>
    </row>
    <row r="274" spans="1:510" ht="32" x14ac:dyDescent="0.2">
      <c r="A274" s="1" t="s">
        <v>3266</v>
      </c>
      <c r="B274" s="1">
        <v>10</v>
      </c>
      <c r="C274" s="1">
        <v>5</v>
      </c>
      <c r="D274" s="3">
        <v>46050.391631944447</v>
      </c>
      <c r="E274" s="1">
        <v>5165722</v>
      </c>
      <c r="F274" s="1" t="s">
        <v>428</v>
      </c>
      <c r="H274" s="1" t="s">
        <v>3267</v>
      </c>
      <c r="J274" s="1" t="s">
        <v>3268</v>
      </c>
      <c r="L274" s="1" t="s">
        <v>3269</v>
      </c>
      <c r="M274" s="1" t="s">
        <v>3269</v>
      </c>
      <c r="N274" s="1" t="s">
        <v>3270</v>
      </c>
      <c r="O274" s="1" t="s">
        <v>432</v>
      </c>
      <c r="R274" s="1" t="s">
        <v>3268</v>
      </c>
      <c r="S274" s="1" t="s">
        <v>3271</v>
      </c>
      <c r="AB274" s="3">
        <v>46050.577604166669</v>
      </c>
      <c r="AC274" s="3">
        <v>46049.847326388888</v>
      </c>
      <c r="AE274" s="1" t="s">
        <v>3272</v>
      </c>
      <c r="BB274" s="1" t="s">
        <v>3273</v>
      </c>
      <c r="CO274" s="1" t="s">
        <v>435</v>
      </c>
      <c r="CQ274" s="1" t="s">
        <v>432</v>
      </c>
      <c r="CR274" s="1" t="s">
        <v>511</v>
      </c>
      <c r="CS274" s="1" t="s">
        <v>511</v>
      </c>
      <c r="CT274" s="3">
        <v>46050.391377314816</v>
      </c>
      <c r="CU274" s="1" t="s">
        <v>436</v>
      </c>
      <c r="CV274" s="1" t="s">
        <v>512</v>
      </c>
      <c r="CY274" s="1" t="s">
        <v>438</v>
      </c>
      <c r="DP274" s="1" t="s">
        <v>3274</v>
      </c>
      <c r="DU274" s="1" t="s">
        <v>3275</v>
      </c>
      <c r="GZ274" s="1" t="s">
        <v>3274</v>
      </c>
      <c r="HA274" s="1" t="s">
        <v>3275</v>
      </c>
      <c r="NM274" s="1" t="s">
        <v>441</v>
      </c>
      <c r="NN274" s="1">
        <v>4</v>
      </c>
      <c r="NS274" s="1">
        <v>5</v>
      </c>
      <c r="NT274" s="1">
        <v>5</v>
      </c>
      <c r="OA274" s="1">
        <v>5</v>
      </c>
      <c r="OB274" s="1">
        <v>5</v>
      </c>
      <c r="OC274" s="1">
        <v>5</v>
      </c>
      <c r="OD274" s="1">
        <v>5</v>
      </c>
      <c r="SC274" s="1" t="s">
        <v>917</v>
      </c>
      <c r="SG274" s="1" t="s">
        <v>918</v>
      </c>
      <c r="SH274" s="1" t="s">
        <v>438</v>
      </c>
      <c r="SI274" s="1" t="s">
        <v>432</v>
      </c>
      <c r="SK274" s="1" t="s">
        <v>445</v>
      </c>
    </row>
    <row r="275" spans="1:510" ht="48" x14ac:dyDescent="0.2">
      <c r="A275" s="1" t="s">
        <v>3276</v>
      </c>
      <c r="B275" s="1">
        <v>10</v>
      </c>
      <c r="C275" s="1">
        <v>5</v>
      </c>
      <c r="D275" s="3">
        <v>46050.370243055557</v>
      </c>
      <c r="E275" s="1">
        <v>5165640</v>
      </c>
      <c r="F275" s="1" t="s">
        <v>428</v>
      </c>
      <c r="H275" s="1" t="s">
        <v>3277</v>
      </c>
      <c r="J275" s="1" t="s">
        <v>3278</v>
      </c>
      <c r="L275" s="1" t="s">
        <v>3279</v>
      </c>
      <c r="M275" s="1" t="s">
        <v>3279</v>
      </c>
      <c r="N275" s="1" t="s">
        <v>3128</v>
      </c>
      <c r="O275" s="1" t="s">
        <v>432</v>
      </c>
      <c r="R275" s="1" t="s">
        <v>3278</v>
      </c>
      <c r="S275" s="1" t="s">
        <v>3129</v>
      </c>
      <c r="AB275" s="3">
        <v>46050.425324074073</v>
      </c>
      <c r="AC275" s="3">
        <v>46049.551493055558</v>
      </c>
      <c r="AE275" s="1" t="s">
        <v>3280</v>
      </c>
      <c r="BB275" s="1" t="s">
        <v>3281</v>
      </c>
      <c r="CO275" s="1" t="s">
        <v>435</v>
      </c>
      <c r="CQ275" s="1" t="s">
        <v>432</v>
      </c>
      <c r="CR275" s="1" t="s">
        <v>852</v>
      </c>
      <c r="CS275" s="1" t="s">
        <v>852</v>
      </c>
      <c r="CT275" s="3">
        <v>46050.370034722226</v>
      </c>
      <c r="CU275" s="1" t="s">
        <v>436</v>
      </c>
      <c r="CV275" s="1" t="s">
        <v>512</v>
      </c>
      <c r="CY275" s="1" t="s">
        <v>438</v>
      </c>
      <c r="DP275" s="1" t="s">
        <v>3282</v>
      </c>
      <c r="DU275" s="1" t="s">
        <v>3283</v>
      </c>
      <c r="GZ275" s="1" t="s">
        <v>3282</v>
      </c>
      <c r="HA275" s="1" t="s">
        <v>3283</v>
      </c>
      <c r="NM275" s="1" t="s">
        <v>441</v>
      </c>
      <c r="NN275" s="1">
        <v>5</v>
      </c>
      <c r="NS275" s="1">
        <v>5</v>
      </c>
      <c r="NT275" s="1">
        <v>5</v>
      </c>
      <c r="OA275" s="1">
        <v>5</v>
      </c>
      <c r="OB275" s="1">
        <v>5</v>
      </c>
      <c r="OC275" s="1">
        <v>5</v>
      </c>
      <c r="OD275" s="1">
        <v>5</v>
      </c>
      <c r="SB275" s="1" t="s">
        <v>1114</v>
      </c>
      <c r="SC275" s="1" t="s">
        <v>773</v>
      </c>
      <c r="SF275" s="1" t="s">
        <v>1452</v>
      </c>
      <c r="SG275" s="1" t="s">
        <v>1357</v>
      </c>
      <c r="SH275" s="1" t="s">
        <v>438</v>
      </c>
      <c r="SI275" s="1" t="s">
        <v>438</v>
      </c>
      <c r="SK275" s="1" t="s">
        <v>445</v>
      </c>
      <c r="SL275" s="1" t="s">
        <v>1166</v>
      </c>
      <c r="SM275" s="1" t="s">
        <v>799</v>
      </c>
    </row>
    <row r="276" spans="1:510" ht="48" x14ac:dyDescent="0.2">
      <c r="A276" s="1" t="s">
        <v>1197</v>
      </c>
      <c r="B276" s="1">
        <v>10</v>
      </c>
      <c r="C276" s="1">
        <v>5</v>
      </c>
      <c r="D276" s="3">
        <v>46049.990787037037</v>
      </c>
      <c r="E276" s="1">
        <v>5165298</v>
      </c>
      <c r="F276" s="1" t="s">
        <v>428</v>
      </c>
      <c r="H276" s="1" t="s">
        <v>1198</v>
      </c>
      <c r="J276" s="1" t="s">
        <v>1199</v>
      </c>
      <c r="L276" s="1" t="s">
        <v>1200</v>
      </c>
      <c r="M276" s="1" t="s">
        <v>1200</v>
      </c>
      <c r="N276" s="1" t="s">
        <v>3284</v>
      </c>
      <c r="O276" s="1" t="s">
        <v>432</v>
      </c>
      <c r="R276" s="1" t="s">
        <v>1199</v>
      </c>
      <c r="S276" s="1" t="s">
        <v>3285</v>
      </c>
      <c r="AB276" s="3">
        <v>46050.400567129633</v>
      </c>
      <c r="AC276" s="3">
        <v>46049.551759259259</v>
      </c>
      <c r="AE276" s="1" t="s">
        <v>3286</v>
      </c>
      <c r="BB276" s="1" t="s">
        <v>1204</v>
      </c>
      <c r="CO276" s="1" t="s">
        <v>435</v>
      </c>
      <c r="CQ276" s="1" t="s">
        <v>432</v>
      </c>
      <c r="CR276" s="1" t="s">
        <v>1227</v>
      </c>
      <c r="CS276" s="1" t="s">
        <v>1227</v>
      </c>
      <c r="CT276" s="3">
        <v>46049.990347222221</v>
      </c>
      <c r="CU276" s="1" t="s">
        <v>436</v>
      </c>
      <c r="CV276" s="1" t="s">
        <v>512</v>
      </c>
      <c r="CY276" s="1" t="s">
        <v>438</v>
      </c>
      <c r="DP276" s="1" t="s">
        <v>3287</v>
      </c>
      <c r="DU276" s="1" t="s">
        <v>3288</v>
      </c>
      <c r="GZ276" s="1" t="s">
        <v>3287</v>
      </c>
      <c r="HA276" s="1" t="s">
        <v>3288</v>
      </c>
      <c r="NM276" s="1" t="s">
        <v>441</v>
      </c>
      <c r="NN276" s="1">
        <v>4</v>
      </c>
      <c r="NS276" s="1">
        <v>5</v>
      </c>
      <c r="NT276" s="1">
        <v>5</v>
      </c>
      <c r="OA276" s="1">
        <v>5</v>
      </c>
      <c r="OB276" s="1">
        <v>5</v>
      </c>
      <c r="OC276" s="1">
        <v>5</v>
      </c>
      <c r="OD276" s="1">
        <v>4</v>
      </c>
      <c r="SB276" s="1" t="s">
        <v>3289</v>
      </c>
      <c r="SC276" s="1" t="s">
        <v>758</v>
      </c>
      <c r="SF276" s="1" t="s">
        <v>3290</v>
      </c>
      <c r="SG276" s="1" t="s">
        <v>1512</v>
      </c>
      <c r="SH276" s="1" t="s">
        <v>438</v>
      </c>
      <c r="SI276" s="1" t="s">
        <v>432</v>
      </c>
      <c r="SK276" s="1" t="s">
        <v>540</v>
      </c>
      <c r="SL276" s="1" t="s">
        <v>787</v>
      </c>
      <c r="SM276" s="1" t="s">
        <v>3291</v>
      </c>
    </row>
    <row r="277" spans="1:510" ht="48" x14ac:dyDescent="0.2">
      <c r="A277" s="1" t="s">
        <v>3292</v>
      </c>
      <c r="B277" s="1">
        <v>10</v>
      </c>
      <c r="C277" s="1">
        <v>5</v>
      </c>
      <c r="D277" s="3">
        <v>46049.855208333334</v>
      </c>
      <c r="E277" s="1">
        <v>5165060</v>
      </c>
      <c r="F277" s="1" t="s">
        <v>428</v>
      </c>
      <c r="H277" s="1" t="s">
        <v>3293</v>
      </c>
      <c r="J277" s="1" t="s">
        <v>3294</v>
      </c>
      <c r="L277" s="1" t="s">
        <v>3295</v>
      </c>
      <c r="O277" s="1" t="s">
        <v>432</v>
      </c>
      <c r="R277" s="1" t="s">
        <v>3294</v>
      </c>
      <c r="AB277" s="3">
        <v>46050.436689814815</v>
      </c>
      <c r="AC277" s="3">
        <v>46049.550868055558</v>
      </c>
      <c r="AE277" s="1" t="s">
        <v>3296</v>
      </c>
      <c r="BB277" s="1" t="s">
        <v>3297</v>
      </c>
      <c r="CO277" s="1" t="s">
        <v>435</v>
      </c>
      <c r="CQ277" s="1" t="s">
        <v>432</v>
      </c>
      <c r="CR277" s="1" t="s">
        <v>534</v>
      </c>
      <c r="CS277" s="1" t="s">
        <v>534</v>
      </c>
      <c r="CT277" s="3">
        <v>46049.855092592596</v>
      </c>
      <c r="CU277" s="1" t="s">
        <v>436</v>
      </c>
      <c r="CV277" s="1" t="s">
        <v>512</v>
      </c>
      <c r="CY277" s="1" t="s">
        <v>438</v>
      </c>
      <c r="DP277" s="1" t="s">
        <v>3298</v>
      </c>
      <c r="DU277" s="1" t="s">
        <v>3299</v>
      </c>
      <c r="GZ277" s="1" t="s">
        <v>3298</v>
      </c>
      <c r="HA277" s="1" t="s">
        <v>3299</v>
      </c>
      <c r="NM277" s="1" t="s">
        <v>441</v>
      </c>
      <c r="NN277" s="1">
        <v>4</v>
      </c>
      <c r="NS277" s="1">
        <v>5</v>
      </c>
      <c r="NT277" s="1">
        <v>5</v>
      </c>
      <c r="OA277" s="1">
        <v>5</v>
      </c>
      <c r="OB277" s="1">
        <v>5</v>
      </c>
      <c r="OC277" s="1">
        <v>5</v>
      </c>
      <c r="OD277" s="1">
        <v>5</v>
      </c>
      <c r="SB277" s="1" t="s">
        <v>745</v>
      </c>
      <c r="SC277" s="1" t="s">
        <v>443</v>
      </c>
      <c r="SF277" s="1" t="s">
        <v>747</v>
      </c>
      <c r="SG277" s="1" t="s">
        <v>444</v>
      </c>
      <c r="SH277" s="1" t="s">
        <v>438</v>
      </c>
      <c r="SI277" s="1" t="s">
        <v>432</v>
      </c>
      <c r="SK277" s="1" t="s">
        <v>568</v>
      </c>
    </row>
    <row r="278" spans="1:510" ht="112" x14ac:dyDescent="0.2">
      <c r="A278" s="1" t="s">
        <v>3300</v>
      </c>
      <c r="B278" s="1">
        <v>9</v>
      </c>
      <c r="C278" s="1">
        <v>3</v>
      </c>
      <c r="D278" s="3">
        <v>46049.662187499998</v>
      </c>
      <c r="E278" s="1">
        <v>5164506</v>
      </c>
      <c r="F278" s="1" t="s">
        <v>428</v>
      </c>
      <c r="H278" s="1" t="s">
        <v>3301</v>
      </c>
      <c r="J278" s="1" t="s">
        <v>3302</v>
      </c>
      <c r="L278" s="1" t="s">
        <v>3303</v>
      </c>
      <c r="M278" s="1" t="s">
        <v>3303</v>
      </c>
      <c r="N278" s="1" t="s">
        <v>585</v>
      </c>
      <c r="O278" s="1" t="s">
        <v>432</v>
      </c>
      <c r="R278" s="1" t="s">
        <v>3302</v>
      </c>
      <c r="S278" s="1" t="s">
        <v>586</v>
      </c>
      <c r="AB278" s="3">
        <v>46055.479131944441</v>
      </c>
      <c r="AC278" s="3">
        <v>46049.763229166667</v>
      </c>
      <c r="AE278" s="1" t="s">
        <v>3304</v>
      </c>
      <c r="BB278" s="1" t="s">
        <v>3305</v>
      </c>
      <c r="CO278" s="1" t="s">
        <v>435</v>
      </c>
      <c r="CQ278" s="1" t="s">
        <v>432</v>
      </c>
      <c r="CR278" s="1" t="s">
        <v>3306</v>
      </c>
      <c r="CS278" s="1" t="s">
        <v>729</v>
      </c>
      <c r="CT278" s="3">
        <v>46049.660891203705</v>
      </c>
      <c r="CU278" s="1" t="s">
        <v>436</v>
      </c>
      <c r="CV278" s="1" t="s">
        <v>512</v>
      </c>
      <c r="CW278" s="3">
        <v>46055.479074074072</v>
      </c>
      <c r="CX278" s="1" t="s">
        <v>1057</v>
      </c>
      <c r="CY278" s="1" t="s">
        <v>438</v>
      </c>
      <c r="DU278" s="1" t="s">
        <v>3307</v>
      </c>
      <c r="HA278" s="1" t="s">
        <v>3307</v>
      </c>
      <c r="NM278" s="1" t="s">
        <v>441</v>
      </c>
      <c r="NN278" s="1">
        <v>4</v>
      </c>
      <c r="NS278" s="1">
        <v>3</v>
      </c>
      <c r="NT278" s="1">
        <v>3</v>
      </c>
      <c r="OA278" s="1">
        <v>4</v>
      </c>
      <c r="OB278" s="1">
        <v>4</v>
      </c>
      <c r="OC278" s="1">
        <v>4</v>
      </c>
      <c r="OD278" s="1">
        <v>4</v>
      </c>
      <c r="SB278" s="1" t="s">
        <v>1592</v>
      </c>
      <c r="SC278" s="1" t="s">
        <v>2787</v>
      </c>
      <c r="SF278" s="1" t="s">
        <v>1593</v>
      </c>
      <c r="SG278" s="1" t="s">
        <v>3308</v>
      </c>
      <c r="SH278" s="1" t="s">
        <v>438</v>
      </c>
      <c r="SI278" s="1" t="s">
        <v>438</v>
      </c>
      <c r="SK278" s="1" t="s">
        <v>1807</v>
      </c>
    </row>
    <row r="279" spans="1:510" ht="32" x14ac:dyDescent="0.2">
      <c r="A279" s="1" t="s">
        <v>3309</v>
      </c>
      <c r="B279" s="1">
        <v>10</v>
      </c>
      <c r="C279" s="1">
        <v>5</v>
      </c>
      <c r="D279" s="3">
        <v>46049.642129629632</v>
      </c>
      <c r="E279" s="1">
        <v>5164462</v>
      </c>
      <c r="F279" s="1" t="s">
        <v>428</v>
      </c>
      <c r="H279" s="1" t="s">
        <v>3310</v>
      </c>
      <c r="J279" s="1" t="s">
        <v>3311</v>
      </c>
      <c r="L279" s="1" t="s">
        <v>3312</v>
      </c>
      <c r="O279" s="1" t="s">
        <v>432</v>
      </c>
      <c r="R279" s="1" t="s">
        <v>3311</v>
      </c>
      <c r="AB279" s="3">
        <v>46050.439328703702</v>
      </c>
      <c r="AC279" s="3">
        <v>45980.533634259256</v>
      </c>
      <c r="AE279" s="1" t="s">
        <v>3313</v>
      </c>
      <c r="BB279" s="1" t="s">
        <v>3314</v>
      </c>
      <c r="CO279" s="1" t="s">
        <v>435</v>
      </c>
      <c r="CQ279" s="1" t="s">
        <v>432</v>
      </c>
      <c r="CR279" s="1" t="s">
        <v>1227</v>
      </c>
      <c r="CS279" s="1" t="s">
        <v>1227</v>
      </c>
      <c r="CT279" s="3">
        <v>46049.642488425925</v>
      </c>
      <c r="CU279" s="1" t="s">
        <v>436</v>
      </c>
      <c r="CV279" s="1" t="s">
        <v>512</v>
      </c>
      <c r="CY279" s="1" t="s">
        <v>438</v>
      </c>
      <c r="DP279" s="1" t="s">
        <v>3315</v>
      </c>
      <c r="GZ279" s="1" t="s">
        <v>3315</v>
      </c>
      <c r="NM279" s="1" t="s">
        <v>441</v>
      </c>
      <c r="NN279" s="1">
        <v>5</v>
      </c>
      <c r="NS279" s="1">
        <v>5</v>
      </c>
      <c r="NT279" s="1">
        <v>5</v>
      </c>
      <c r="OA279" s="1">
        <v>5</v>
      </c>
      <c r="OB279" s="1">
        <v>5</v>
      </c>
      <c r="OC279" s="1">
        <v>5</v>
      </c>
      <c r="OD279" s="1">
        <v>5</v>
      </c>
      <c r="SB279" s="1" t="s">
        <v>443</v>
      </c>
      <c r="SC279" s="1" t="s">
        <v>443</v>
      </c>
      <c r="SF279" s="1" t="s">
        <v>444</v>
      </c>
      <c r="SG279" s="1" t="s">
        <v>444</v>
      </c>
      <c r="SH279" s="1" t="s">
        <v>432</v>
      </c>
      <c r="SI279" s="1" t="s">
        <v>432</v>
      </c>
      <c r="SK279" s="1" t="s">
        <v>1265</v>
      </c>
    </row>
    <row r="280" spans="1:510" ht="64" x14ac:dyDescent="0.2">
      <c r="A280" s="1" t="s">
        <v>3316</v>
      </c>
      <c r="B280" s="1">
        <v>10</v>
      </c>
      <c r="C280" s="1">
        <v>5</v>
      </c>
      <c r="D280" s="3">
        <v>46049.595462962963</v>
      </c>
      <c r="E280" s="1">
        <v>5164226</v>
      </c>
      <c r="F280" s="1" t="s">
        <v>428</v>
      </c>
      <c r="H280" s="1" t="s">
        <v>3317</v>
      </c>
      <c r="J280" s="1" t="s">
        <v>3318</v>
      </c>
      <c r="L280" s="1" t="s">
        <v>3319</v>
      </c>
      <c r="M280" s="1" t="s">
        <v>3319</v>
      </c>
      <c r="N280" s="1" t="s">
        <v>2271</v>
      </c>
      <c r="O280" s="1" t="s">
        <v>432</v>
      </c>
      <c r="R280" s="1" t="s">
        <v>3318</v>
      </c>
      <c r="S280" s="1" t="s">
        <v>2272</v>
      </c>
      <c r="AB280" s="3">
        <v>46050.325671296298</v>
      </c>
      <c r="AC280" s="3">
        <v>46049.553101851852</v>
      </c>
      <c r="AE280" s="1" t="s">
        <v>3320</v>
      </c>
      <c r="BB280" s="1" t="s">
        <v>3321</v>
      </c>
      <c r="CO280" s="1" t="s">
        <v>435</v>
      </c>
      <c r="CQ280" s="1" t="s">
        <v>432</v>
      </c>
      <c r="CR280" s="1" t="s">
        <v>852</v>
      </c>
      <c r="CS280" s="1" t="s">
        <v>852</v>
      </c>
      <c r="CT280" s="3">
        <v>46049.594849537039</v>
      </c>
      <c r="CU280" s="1" t="s">
        <v>436</v>
      </c>
      <c r="CV280" s="1" t="s">
        <v>512</v>
      </c>
      <c r="CY280" s="1" t="s">
        <v>438</v>
      </c>
      <c r="DP280" s="1" t="s">
        <v>3322</v>
      </c>
      <c r="DU280" s="1" t="s">
        <v>874</v>
      </c>
      <c r="GZ280" s="1" t="s">
        <v>3322</v>
      </c>
      <c r="HA280" s="1" t="s">
        <v>874</v>
      </c>
      <c r="NM280" s="1" t="s">
        <v>441</v>
      </c>
      <c r="NN280" s="1">
        <v>4</v>
      </c>
      <c r="NS280" s="1">
        <v>5</v>
      </c>
      <c r="NT280" s="1">
        <v>5</v>
      </c>
      <c r="OA280" s="1">
        <v>5</v>
      </c>
      <c r="OB280" s="1">
        <v>5</v>
      </c>
      <c r="OC280" s="1">
        <v>5</v>
      </c>
      <c r="OD280" s="1">
        <v>5</v>
      </c>
      <c r="SB280" s="1" t="s">
        <v>443</v>
      </c>
      <c r="SC280" s="1" t="s">
        <v>3323</v>
      </c>
      <c r="SF280" s="1" t="s">
        <v>1000</v>
      </c>
      <c r="SG280" s="1" t="s">
        <v>3324</v>
      </c>
      <c r="SH280" s="1" t="s">
        <v>438</v>
      </c>
      <c r="SI280" s="1" t="s">
        <v>438</v>
      </c>
      <c r="SK280" s="1" t="s">
        <v>672</v>
      </c>
    </row>
    <row r="281" spans="1:510" ht="64" x14ac:dyDescent="0.2">
      <c r="A281" s="1" t="s">
        <v>3325</v>
      </c>
      <c r="B281" s="1">
        <v>10</v>
      </c>
      <c r="C281" s="1">
        <v>5</v>
      </c>
      <c r="D281" s="3">
        <v>46049.553425925929</v>
      </c>
      <c r="E281" s="1">
        <v>5164090</v>
      </c>
      <c r="F281" s="1" t="s">
        <v>428</v>
      </c>
      <c r="H281" s="1" t="s">
        <v>3326</v>
      </c>
      <c r="J281" s="1" t="s">
        <v>3327</v>
      </c>
      <c r="N281" s="1" t="s">
        <v>1646</v>
      </c>
      <c r="O281" s="1" t="s">
        <v>432</v>
      </c>
      <c r="R281" s="1" t="s">
        <v>3327</v>
      </c>
      <c r="S281" s="1" t="s">
        <v>1647</v>
      </c>
      <c r="AB281" s="3">
        <v>46049.595821759256</v>
      </c>
      <c r="AC281" s="3">
        <v>46049.596041666664</v>
      </c>
      <c r="AE281" s="1" t="s">
        <v>3328</v>
      </c>
      <c r="BB281" s="1" t="s">
        <v>3329</v>
      </c>
      <c r="CO281" s="1" t="s">
        <v>435</v>
      </c>
      <c r="CQ281" s="1" t="s">
        <v>432</v>
      </c>
      <c r="CR281" s="1" t="s">
        <v>852</v>
      </c>
      <c r="CS281" s="1" t="s">
        <v>852</v>
      </c>
      <c r="CT281" s="3">
        <v>46049.552673611113</v>
      </c>
      <c r="CU281" s="1" t="s">
        <v>436</v>
      </c>
      <c r="CV281" s="1" t="s">
        <v>512</v>
      </c>
      <c r="CY281" s="1" t="s">
        <v>438</v>
      </c>
      <c r="DP281" s="1" t="s">
        <v>3330</v>
      </c>
      <c r="DU281" s="1" t="s">
        <v>3331</v>
      </c>
      <c r="GZ281" s="1" t="s">
        <v>3330</v>
      </c>
      <c r="HA281" s="1" t="s">
        <v>3331</v>
      </c>
      <c r="NM281" s="1" t="s">
        <v>441</v>
      </c>
      <c r="NN281" s="1">
        <v>4</v>
      </c>
      <c r="NS281" s="1">
        <v>5</v>
      </c>
      <c r="NT281" s="1">
        <v>5</v>
      </c>
      <c r="OA281" s="1">
        <v>4</v>
      </c>
      <c r="OB281" s="1">
        <v>3</v>
      </c>
      <c r="OC281" s="1">
        <v>5</v>
      </c>
      <c r="OD281" s="1">
        <v>4</v>
      </c>
      <c r="SB281" s="1" t="s">
        <v>443</v>
      </c>
      <c r="SC281" s="1" t="s">
        <v>443</v>
      </c>
      <c r="SF281" s="1" t="s">
        <v>444</v>
      </c>
      <c r="SG281" s="1" t="s">
        <v>444</v>
      </c>
      <c r="SH281" s="1" t="s">
        <v>432</v>
      </c>
      <c r="SI281" s="1" t="s">
        <v>432</v>
      </c>
      <c r="SK281" s="1" t="s">
        <v>2363</v>
      </c>
    </row>
    <row r="282" spans="1:510" ht="32" x14ac:dyDescent="0.2">
      <c r="A282" s="1" t="s">
        <v>3332</v>
      </c>
      <c r="B282" s="1">
        <v>10</v>
      </c>
      <c r="C282" s="1">
        <v>5</v>
      </c>
      <c r="D282" s="3">
        <v>46049.531539351854</v>
      </c>
      <c r="E282" s="1">
        <v>5164021</v>
      </c>
      <c r="F282" s="1" t="s">
        <v>428</v>
      </c>
      <c r="H282" s="1" t="s">
        <v>3333</v>
      </c>
      <c r="J282" s="1" t="s">
        <v>3334</v>
      </c>
      <c r="N282" s="1" t="s">
        <v>3335</v>
      </c>
      <c r="O282" s="1" t="s">
        <v>432</v>
      </c>
      <c r="R282" s="1" t="s">
        <v>3334</v>
      </c>
      <c r="S282" s="1" t="s">
        <v>3336</v>
      </c>
      <c r="AB282" s="3">
        <v>46049.591689814813</v>
      </c>
      <c r="AC282" s="3">
        <v>46049.552812499998</v>
      </c>
      <c r="AE282" s="1" t="s">
        <v>3337</v>
      </c>
      <c r="BB282" s="1" t="s">
        <v>3338</v>
      </c>
      <c r="CO282" s="1" t="s">
        <v>435</v>
      </c>
      <c r="CQ282" s="1" t="s">
        <v>432</v>
      </c>
      <c r="CR282" s="1" t="s">
        <v>852</v>
      </c>
      <c r="CS282" s="1" t="s">
        <v>852</v>
      </c>
      <c r="CT282" s="3">
        <v>46049.531180555554</v>
      </c>
      <c r="CU282" s="1" t="s">
        <v>436</v>
      </c>
      <c r="CV282" s="1" t="s">
        <v>512</v>
      </c>
      <c r="CY282" s="1" t="s">
        <v>438</v>
      </c>
      <c r="DP282" s="1" t="s">
        <v>3339</v>
      </c>
      <c r="DU282" s="1" t="s">
        <v>3340</v>
      </c>
      <c r="GZ282" s="1" t="s">
        <v>3339</v>
      </c>
      <c r="HA282" s="1" t="s">
        <v>3340</v>
      </c>
      <c r="NM282" s="1" t="s">
        <v>441</v>
      </c>
      <c r="NN282" s="1">
        <v>4</v>
      </c>
      <c r="NS282" s="1">
        <v>5</v>
      </c>
      <c r="NT282" s="1">
        <v>5</v>
      </c>
      <c r="OA282" s="1">
        <v>5</v>
      </c>
      <c r="OB282" s="1">
        <v>5</v>
      </c>
      <c r="OC282" s="1">
        <v>5</v>
      </c>
      <c r="OD282" s="1">
        <v>4</v>
      </c>
      <c r="SB282" s="1" t="s">
        <v>1816</v>
      </c>
      <c r="SC282" s="1" t="s">
        <v>1816</v>
      </c>
      <c r="SF282" s="1" t="s">
        <v>1818</v>
      </c>
      <c r="SG282" s="1" t="s">
        <v>2314</v>
      </c>
      <c r="SH282" s="1" t="s">
        <v>438</v>
      </c>
      <c r="SI282" s="1" t="s">
        <v>438</v>
      </c>
      <c r="SK282" s="1" t="s">
        <v>3112</v>
      </c>
    </row>
    <row r="283" spans="1:510" ht="48" x14ac:dyDescent="0.2">
      <c r="A283" s="1" t="s">
        <v>3341</v>
      </c>
      <c r="B283" s="1">
        <v>8</v>
      </c>
      <c r="C283" s="1">
        <v>4</v>
      </c>
      <c r="D283" s="3">
        <v>46049.506527777776</v>
      </c>
      <c r="E283" s="1">
        <v>5163860</v>
      </c>
      <c r="F283" s="1" t="s">
        <v>428</v>
      </c>
      <c r="H283" s="1" t="s">
        <v>3342</v>
      </c>
      <c r="J283" s="1" t="s">
        <v>3343</v>
      </c>
      <c r="N283" s="1" t="s">
        <v>3344</v>
      </c>
      <c r="O283" s="1" t="s">
        <v>432</v>
      </c>
      <c r="R283" s="1" t="s">
        <v>3343</v>
      </c>
      <c r="S283" s="1" t="s">
        <v>3345</v>
      </c>
      <c r="AB283" s="3">
        <v>46049.573807870373</v>
      </c>
      <c r="AC283" s="3">
        <v>46049.552349537036</v>
      </c>
      <c r="AE283" s="1" t="s">
        <v>3346</v>
      </c>
      <c r="BB283" s="1" t="s">
        <v>3347</v>
      </c>
      <c r="CO283" s="1" t="s">
        <v>435</v>
      </c>
      <c r="CQ283" s="1" t="s">
        <v>432</v>
      </c>
      <c r="CR283" s="1" t="s">
        <v>549</v>
      </c>
      <c r="CS283" s="1" t="s">
        <v>549</v>
      </c>
      <c r="CT283" s="3">
        <v>46049.505937499998</v>
      </c>
      <c r="CU283" s="1" t="s">
        <v>524</v>
      </c>
      <c r="CV283" s="1" t="s">
        <v>512</v>
      </c>
      <c r="CY283" s="1" t="s">
        <v>438</v>
      </c>
      <c r="DP283" s="1" t="s">
        <v>3348</v>
      </c>
      <c r="DU283" s="1" t="s">
        <v>3349</v>
      </c>
      <c r="GZ283" s="1" t="s">
        <v>3348</v>
      </c>
      <c r="HA283" s="1" t="s">
        <v>3349</v>
      </c>
      <c r="NM283" s="1" t="s">
        <v>441</v>
      </c>
      <c r="NN283" s="1">
        <v>3</v>
      </c>
      <c r="NS283" s="1">
        <v>5</v>
      </c>
      <c r="NT283" s="1">
        <v>5</v>
      </c>
      <c r="OA283" s="1">
        <v>4</v>
      </c>
      <c r="OB283" s="1">
        <v>4</v>
      </c>
      <c r="OC283" s="1">
        <v>5</v>
      </c>
      <c r="OD283" s="1">
        <v>2</v>
      </c>
      <c r="SB283" s="1" t="s">
        <v>443</v>
      </c>
      <c r="SC283" s="1" t="s">
        <v>773</v>
      </c>
      <c r="SF283" s="1" t="s">
        <v>444</v>
      </c>
      <c r="SG283" s="1" t="s">
        <v>775</v>
      </c>
      <c r="SH283" s="1" t="s">
        <v>438</v>
      </c>
      <c r="SI283" s="1" t="s">
        <v>438</v>
      </c>
      <c r="SK283" s="1" t="s">
        <v>568</v>
      </c>
      <c r="SL283" s="1" t="s">
        <v>760</v>
      </c>
      <c r="SM283" s="1" t="s">
        <v>540</v>
      </c>
      <c r="SN283" s="1" t="s">
        <v>787</v>
      </c>
    </row>
    <row r="284" spans="1:510" ht="48" x14ac:dyDescent="0.2">
      <c r="A284" s="1" t="s">
        <v>3350</v>
      </c>
      <c r="B284" s="1">
        <v>10</v>
      </c>
      <c r="C284" s="1">
        <v>5</v>
      </c>
      <c r="D284" s="3">
        <v>46049.445023148146</v>
      </c>
      <c r="E284" s="1">
        <v>5163547</v>
      </c>
      <c r="F284" s="1" t="s">
        <v>428</v>
      </c>
      <c r="H284" s="1" t="s">
        <v>3351</v>
      </c>
      <c r="J284" s="1" t="s">
        <v>3352</v>
      </c>
      <c r="N284" s="1" t="s">
        <v>3353</v>
      </c>
      <c r="O284" s="1" t="s">
        <v>432</v>
      </c>
      <c r="R284" s="1" t="s">
        <v>3352</v>
      </c>
      <c r="S284" s="1" t="s">
        <v>3354</v>
      </c>
      <c r="AB284" s="3">
        <v>46049.614328703705</v>
      </c>
      <c r="AC284" s="3">
        <v>46049.551354166666</v>
      </c>
      <c r="AE284" s="1" t="s">
        <v>3355</v>
      </c>
      <c r="BB284" s="1" t="s">
        <v>3356</v>
      </c>
      <c r="CO284" s="1" t="s">
        <v>435</v>
      </c>
      <c r="CQ284" s="1" t="s">
        <v>432</v>
      </c>
      <c r="CR284" s="1" t="s">
        <v>534</v>
      </c>
      <c r="CS284" s="1" t="s">
        <v>534</v>
      </c>
      <c r="CT284" s="3">
        <v>46049.444432870368</v>
      </c>
      <c r="CU284" s="1" t="s">
        <v>436</v>
      </c>
      <c r="CV284" s="1" t="s">
        <v>512</v>
      </c>
      <c r="CY284" s="1" t="s">
        <v>438</v>
      </c>
      <c r="DP284" s="1" t="s">
        <v>3357</v>
      </c>
      <c r="GZ284" s="1" t="s">
        <v>3357</v>
      </c>
      <c r="NM284" s="1" t="s">
        <v>441</v>
      </c>
      <c r="NN284" s="1">
        <v>4</v>
      </c>
      <c r="NS284" s="1">
        <v>5</v>
      </c>
      <c r="NT284" s="1">
        <v>5</v>
      </c>
      <c r="OA284" s="1">
        <v>5</v>
      </c>
      <c r="OB284" s="1">
        <v>5</v>
      </c>
      <c r="OC284" s="1">
        <v>5</v>
      </c>
      <c r="OD284" s="1">
        <v>5</v>
      </c>
      <c r="SB284" s="1" t="s">
        <v>1035</v>
      </c>
      <c r="SC284" s="1" t="s">
        <v>3358</v>
      </c>
      <c r="SF284" s="1" t="s">
        <v>1036</v>
      </c>
      <c r="SG284" s="1" t="s">
        <v>3359</v>
      </c>
      <c r="SH284" s="1" t="s">
        <v>438</v>
      </c>
      <c r="SI284" s="1" t="s">
        <v>432</v>
      </c>
      <c r="SK284" s="1" t="s">
        <v>1265</v>
      </c>
      <c r="SL284" s="1" t="s">
        <v>1746</v>
      </c>
      <c r="SM284" s="1" t="s">
        <v>1126</v>
      </c>
    </row>
    <row r="285" spans="1:510" ht="48" x14ac:dyDescent="0.2">
      <c r="A285" s="1" t="s">
        <v>3360</v>
      </c>
      <c r="B285" s="1">
        <v>10</v>
      </c>
      <c r="C285" s="1">
        <v>3</v>
      </c>
      <c r="D285" s="3">
        <v>46049.434976851851</v>
      </c>
      <c r="E285" s="1">
        <v>5163477</v>
      </c>
      <c r="F285" s="1" t="s">
        <v>428</v>
      </c>
      <c r="H285" s="1" t="s">
        <v>3361</v>
      </c>
      <c r="J285" s="1" t="s">
        <v>3362</v>
      </c>
      <c r="N285" s="1" t="s">
        <v>1421</v>
      </c>
      <c r="O285" s="1" t="s">
        <v>438</v>
      </c>
      <c r="R285" s="1" t="s">
        <v>3362</v>
      </c>
      <c r="S285" s="1" t="s">
        <v>1422</v>
      </c>
      <c r="AB285" s="3">
        <v>46049.601145833331</v>
      </c>
      <c r="AC285" s="3">
        <v>46049.552546296298</v>
      </c>
      <c r="AE285" s="1" t="s">
        <v>3363</v>
      </c>
      <c r="BB285" s="1" t="s">
        <v>3364</v>
      </c>
      <c r="CO285" s="1" t="s">
        <v>435</v>
      </c>
      <c r="CQ285" s="1" t="s">
        <v>432</v>
      </c>
      <c r="CR285" s="1" t="s">
        <v>511</v>
      </c>
      <c r="CS285" s="1" t="s">
        <v>511</v>
      </c>
      <c r="CT285" s="3">
        <v>46049.435428240744</v>
      </c>
      <c r="CU285" s="1" t="s">
        <v>436</v>
      </c>
      <c r="CV285" s="1" t="s">
        <v>512</v>
      </c>
      <c r="CY285" s="1" t="s">
        <v>438</v>
      </c>
      <c r="DP285" s="1" t="s">
        <v>3365</v>
      </c>
      <c r="DU285" s="1" t="s">
        <v>3366</v>
      </c>
      <c r="GZ285" s="1" t="s">
        <v>3365</v>
      </c>
      <c r="HA285" s="1" t="s">
        <v>3366</v>
      </c>
      <c r="NM285" s="1" t="s">
        <v>441</v>
      </c>
      <c r="NN285" s="1">
        <v>4</v>
      </c>
      <c r="NS285" s="1">
        <v>4</v>
      </c>
      <c r="NT285" s="1">
        <v>4</v>
      </c>
      <c r="OA285" s="1">
        <v>3</v>
      </c>
      <c r="OB285" s="1">
        <v>3</v>
      </c>
      <c r="OC285" s="1">
        <v>3</v>
      </c>
      <c r="OD285" s="1">
        <v>1</v>
      </c>
      <c r="SB285" s="1" t="s">
        <v>3367</v>
      </c>
      <c r="SC285" s="1" t="s">
        <v>796</v>
      </c>
      <c r="SF285" s="1" t="s">
        <v>3368</v>
      </c>
      <c r="SG285" s="1" t="s">
        <v>1686</v>
      </c>
      <c r="SH285" s="1" t="s">
        <v>438</v>
      </c>
      <c r="SI285" s="1" t="s">
        <v>438</v>
      </c>
      <c r="SK285" s="1" t="s">
        <v>500</v>
      </c>
      <c r="SL285" s="1" t="s">
        <v>787</v>
      </c>
    </row>
    <row r="286" spans="1:510" ht="48" x14ac:dyDescent="0.2">
      <c r="A286" s="1" t="s">
        <v>3369</v>
      </c>
      <c r="B286" s="1">
        <v>9</v>
      </c>
      <c r="C286" s="1">
        <v>5</v>
      </c>
      <c r="D286" s="3">
        <v>46049.432685185187</v>
      </c>
      <c r="E286" s="1">
        <v>5163456</v>
      </c>
      <c r="F286" s="1" t="s">
        <v>428</v>
      </c>
      <c r="H286" s="1" t="s">
        <v>3370</v>
      </c>
      <c r="J286" s="1" t="s">
        <v>3371</v>
      </c>
      <c r="N286" s="1" t="s">
        <v>3372</v>
      </c>
      <c r="O286" s="1" t="s">
        <v>432</v>
      </c>
      <c r="R286" s="1" t="s">
        <v>3371</v>
      </c>
      <c r="S286" s="1" t="s">
        <v>3373</v>
      </c>
      <c r="AB286" s="3">
        <v>46049.598958333336</v>
      </c>
      <c r="AC286" s="3">
        <v>46049.552939814814</v>
      </c>
      <c r="AE286" s="1" t="s">
        <v>3374</v>
      </c>
      <c r="BB286" s="1" t="s">
        <v>3375</v>
      </c>
      <c r="CO286" s="1" t="s">
        <v>435</v>
      </c>
      <c r="CQ286" s="1" t="s">
        <v>432</v>
      </c>
      <c r="CR286" s="1" t="s">
        <v>511</v>
      </c>
      <c r="CS286" s="1" t="s">
        <v>511</v>
      </c>
      <c r="CT286" s="3">
        <v>46049.43167824074</v>
      </c>
      <c r="CU286" s="1" t="s">
        <v>436</v>
      </c>
      <c r="CV286" s="1" t="s">
        <v>512</v>
      </c>
      <c r="CY286" s="1" t="s">
        <v>438</v>
      </c>
      <c r="DP286" s="1" t="s">
        <v>3376</v>
      </c>
      <c r="DU286" s="1" t="s">
        <v>3377</v>
      </c>
      <c r="GZ286" s="1" t="s">
        <v>3376</v>
      </c>
      <c r="HA286" s="1" t="s">
        <v>3377</v>
      </c>
      <c r="NM286" s="1" t="s">
        <v>441</v>
      </c>
      <c r="NN286" s="1">
        <v>4</v>
      </c>
      <c r="NS286" s="1">
        <v>5</v>
      </c>
      <c r="NT286" s="1">
        <v>5</v>
      </c>
      <c r="OA286" s="1">
        <v>5</v>
      </c>
      <c r="OB286" s="1">
        <v>5</v>
      </c>
      <c r="OC286" s="1">
        <v>5</v>
      </c>
      <c r="OD286" s="1">
        <v>4</v>
      </c>
      <c r="SB286" s="1" t="s">
        <v>443</v>
      </c>
      <c r="SC286" s="1" t="s">
        <v>646</v>
      </c>
      <c r="SF286" s="1" t="s">
        <v>444</v>
      </c>
      <c r="SG286" s="1" t="s">
        <v>1254</v>
      </c>
      <c r="SH286" s="1" t="s">
        <v>438</v>
      </c>
      <c r="SI286" s="1" t="s">
        <v>438</v>
      </c>
      <c r="SK286" s="1" t="s">
        <v>568</v>
      </c>
      <c r="SL286" s="1" t="s">
        <v>500</v>
      </c>
    </row>
    <row r="287" spans="1:510" ht="32" x14ac:dyDescent="0.2">
      <c r="A287" s="1" t="s">
        <v>3378</v>
      </c>
      <c r="B287" s="1">
        <v>10</v>
      </c>
      <c r="C287" s="1">
        <v>5</v>
      </c>
      <c r="D287" s="3">
        <v>46049.428229166668</v>
      </c>
      <c r="E287" s="1">
        <v>5163414</v>
      </c>
      <c r="F287" s="1" t="s">
        <v>428</v>
      </c>
      <c r="H287" s="1" t="s">
        <v>3379</v>
      </c>
      <c r="J287" s="1" t="s">
        <v>3380</v>
      </c>
      <c r="N287" s="1" t="s">
        <v>3381</v>
      </c>
      <c r="O287" s="1" t="s">
        <v>438</v>
      </c>
      <c r="R287" s="1" t="s">
        <v>3380</v>
      </c>
      <c r="S287" s="1" t="s">
        <v>3382</v>
      </c>
      <c r="AB287" s="3">
        <v>46049.59648148148</v>
      </c>
      <c r="AC287" s="3">
        <v>46049.551678240743</v>
      </c>
      <c r="AE287" s="1" t="s">
        <v>3383</v>
      </c>
      <c r="BB287" s="1" t="s">
        <v>3384</v>
      </c>
      <c r="CO287" s="1" t="s">
        <v>435</v>
      </c>
      <c r="CQ287" s="1" t="s">
        <v>432</v>
      </c>
      <c r="CR287" s="1" t="s">
        <v>511</v>
      </c>
      <c r="CS287" s="1" t="s">
        <v>511</v>
      </c>
      <c r="CT287" s="3">
        <v>46049.427708333336</v>
      </c>
      <c r="CU287" s="1" t="s">
        <v>436</v>
      </c>
      <c r="CV287" s="1" t="s">
        <v>512</v>
      </c>
      <c r="CY287" s="1" t="s">
        <v>438</v>
      </c>
      <c r="DP287" s="1" t="s">
        <v>3385</v>
      </c>
      <c r="DU287" s="1" t="s">
        <v>482</v>
      </c>
      <c r="GZ287" s="1" t="s">
        <v>3385</v>
      </c>
      <c r="HA287" s="1" t="s">
        <v>482</v>
      </c>
      <c r="NM287" s="1" t="s">
        <v>441</v>
      </c>
      <c r="NN287" s="1">
        <v>5</v>
      </c>
      <c r="NS287" s="1">
        <v>5</v>
      </c>
      <c r="NT287" s="1">
        <v>5</v>
      </c>
      <c r="OA287" s="1">
        <v>5</v>
      </c>
      <c r="OB287" s="1">
        <v>5</v>
      </c>
      <c r="OC287" s="1">
        <v>5</v>
      </c>
      <c r="OD287" s="1">
        <v>5</v>
      </c>
      <c r="SB287" s="1" t="s">
        <v>443</v>
      </c>
      <c r="SC287" s="1" t="s">
        <v>443</v>
      </c>
      <c r="SF287" s="1" t="s">
        <v>444</v>
      </c>
      <c r="SG287" s="1" t="s">
        <v>444</v>
      </c>
      <c r="SH287" s="1" t="s">
        <v>432</v>
      </c>
      <c r="SI287" s="1" t="s">
        <v>432</v>
      </c>
      <c r="SK287" s="1" t="s">
        <v>445</v>
      </c>
    </row>
    <row r="288" spans="1:510" ht="48" x14ac:dyDescent="0.2">
      <c r="A288" s="1" t="s">
        <v>3386</v>
      </c>
      <c r="B288" s="1">
        <v>10</v>
      </c>
      <c r="C288" s="1">
        <v>5</v>
      </c>
      <c r="D288" s="3">
        <v>46049.137928240743</v>
      </c>
      <c r="E288" s="1">
        <v>5162850</v>
      </c>
      <c r="F288" s="1" t="s">
        <v>428</v>
      </c>
      <c r="H288" s="1" t="s">
        <v>3387</v>
      </c>
      <c r="J288" s="1" t="s">
        <v>3388</v>
      </c>
      <c r="N288" s="1" t="s">
        <v>2686</v>
      </c>
      <c r="O288" s="1" t="s">
        <v>432</v>
      </c>
      <c r="R288" s="1" t="s">
        <v>3388</v>
      </c>
      <c r="S288" s="1" t="s">
        <v>2687</v>
      </c>
      <c r="AB288" s="3">
        <v>46049.387291666666</v>
      </c>
      <c r="AC288" s="3">
        <v>46035.537962962961</v>
      </c>
      <c r="AE288" s="1" t="s">
        <v>3389</v>
      </c>
      <c r="BB288" s="1" t="s">
        <v>3390</v>
      </c>
      <c r="CO288" s="1" t="s">
        <v>435</v>
      </c>
      <c r="CQ288" s="1" t="s">
        <v>432</v>
      </c>
      <c r="CR288" s="1" t="s">
        <v>511</v>
      </c>
      <c r="CS288" s="1" t="s">
        <v>511</v>
      </c>
      <c r="CT288" s="3">
        <v>46049.135601851849</v>
      </c>
      <c r="CU288" s="1" t="s">
        <v>436</v>
      </c>
      <c r="CV288" s="1" t="s">
        <v>512</v>
      </c>
      <c r="CY288" s="1" t="s">
        <v>438</v>
      </c>
      <c r="DP288" s="1" t="s">
        <v>3391</v>
      </c>
      <c r="DU288" s="1" t="s">
        <v>3392</v>
      </c>
      <c r="GZ288" s="1" t="s">
        <v>3391</v>
      </c>
      <c r="HA288" s="1" t="s">
        <v>3392</v>
      </c>
      <c r="NM288" s="1" t="s">
        <v>441</v>
      </c>
      <c r="NN288" s="1">
        <v>5</v>
      </c>
      <c r="NS288" s="1">
        <v>5</v>
      </c>
      <c r="NT288" s="1">
        <v>5</v>
      </c>
      <c r="OA288" s="1">
        <v>5</v>
      </c>
      <c r="OB288" s="1">
        <v>5</v>
      </c>
      <c r="OC288" s="1">
        <v>5</v>
      </c>
      <c r="OD288" s="1">
        <v>5</v>
      </c>
      <c r="SB288" s="1" t="s">
        <v>443</v>
      </c>
      <c r="SC288" s="1" t="s">
        <v>2651</v>
      </c>
      <c r="SF288" s="1" t="s">
        <v>1000</v>
      </c>
      <c r="SG288" s="1" t="s">
        <v>3393</v>
      </c>
      <c r="SH288" s="1" t="s">
        <v>438</v>
      </c>
      <c r="SI288" s="1" t="s">
        <v>438</v>
      </c>
      <c r="SK288" s="1" t="s">
        <v>445</v>
      </c>
      <c r="SL288" s="1" t="s">
        <v>736</v>
      </c>
    </row>
    <row r="289" spans="1:508" ht="48" x14ac:dyDescent="0.2">
      <c r="A289" s="1" t="s">
        <v>3394</v>
      </c>
      <c r="B289" s="1">
        <v>10</v>
      </c>
      <c r="C289" s="1">
        <v>5</v>
      </c>
      <c r="D289" s="3">
        <v>46048.715636574074</v>
      </c>
      <c r="E289" s="1">
        <v>5162124</v>
      </c>
      <c r="F289" s="1" t="s">
        <v>428</v>
      </c>
      <c r="H289" s="1" t="s">
        <v>3395</v>
      </c>
      <c r="J289" s="1" t="s">
        <v>3396</v>
      </c>
      <c r="N289" s="1" t="s">
        <v>1680</v>
      </c>
      <c r="O289" s="1" t="s">
        <v>432</v>
      </c>
      <c r="R289" s="1" t="s">
        <v>3396</v>
      </c>
      <c r="S289" s="1" t="s">
        <v>1681</v>
      </c>
      <c r="AB289" s="3">
        <v>46049.403483796297</v>
      </c>
      <c r="AC289" s="3">
        <v>46048.548726851855</v>
      </c>
      <c r="AE289" s="1" t="s">
        <v>3397</v>
      </c>
      <c r="BB289" s="1" t="s">
        <v>3398</v>
      </c>
      <c r="CO289" s="1" t="s">
        <v>435</v>
      </c>
      <c r="CQ289" s="1" t="s">
        <v>432</v>
      </c>
      <c r="CR289" s="1" t="s">
        <v>1227</v>
      </c>
      <c r="CS289" s="1" t="s">
        <v>1227</v>
      </c>
      <c r="CT289" s="3">
        <v>46048.714930555558</v>
      </c>
      <c r="CU289" s="1" t="s">
        <v>436</v>
      </c>
      <c r="CV289" s="1" t="s">
        <v>512</v>
      </c>
      <c r="CY289" s="1" t="s">
        <v>438</v>
      </c>
      <c r="DP289" s="1" t="s">
        <v>3399</v>
      </c>
      <c r="DU289" s="1" t="s">
        <v>682</v>
      </c>
      <c r="GZ289" s="1" t="s">
        <v>3399</v>
      </c>
      <c r="HA289" s="1" t="s">
        <v>682</v>
      </c>
      <c r="NM289" s="1" t="s">
        <v>441</v>
      </c>
      <c r="NN289" s="1">
        <v>5</v>
      </c>
      <c r="NS289" s="1">
        <v>5</v>
      </c>
      <c r="NT289" s="1">
        <v>5</v>
      </c>
      <c r="OA289" s="1">
        <v>5</v>
      </c>
      <c r="OB289" s="1">
        <v>5</v>
      </c>
      <c r="OC289" s="1">
        <v>5</v>
      </c>
      <c r="OD289" s="1">
        <v>5</v>
      </c>
      <c r="SC289" s="1" t="s">
        <v>443</v>
      </c>
      <c r="SG289" s="1" t="s">
        <v>444</v>
      </c>
      <c r="SH289" s="1" t="s">
        <v>438</v>
      </c>
      <c r="SI289" s="1" t="s">
        <v>432</v>
      </c>
      <c r="SK289" s="1" t="s">
        <v>568</v>
      </c>
      <c r="SL289" s="1" t="s">
        <v>854</v>
      </c>
    </row>
    <row r="290" spans="1:508" ht="48" x14ac:dyDescent="0.2">
      <c r="A290" s="1" t="s">
        <v>3400</v>
      </c>
      <c r="B290" s="1">
        <v>10</v>
      </c>
      <c r="C290" s="1">
        <v>5</v>
      </c>
      <c r="D290" s="3">
        <v>46048.429236111115</v>
      </c>
      <c r="E290" s="1">
        <v>5161030</v>
      </c>
      <c r="F290" s="1" t="s">
        <v>428</v>
      </c>
      <c r="H290" s="1" t="s">
        <v>3401</v>
      </c>
      <c r="J290" s="1" t="s">
        <v>3402</v>
      </c>
      <c r="N290" s="1" t="s">
        <v>3403</v>
      </c>
      <c r="O290" s="1" t="s">
        <v>432</v>
      </c>
      <c r="R290" s="1" t="s">
        <v>3402</v>
      </c>
      <c r="S290" s="1" t="s">
        <v>3404</v>
      </c>
      <c r="AB290" s="3">
        <v>46048.61787037037</v>
      </c>
      <c r="AC290" s="3">
        <v>46048.535937499997</v>
      </c>
      <c r="AE290" s="1" t="s">
        <v>3405</v>
      </c>
      <c r="BB290" s="1" t="s">
        <v>3406</v>
      </c>
      <c r="CO290" s="1" t="s">
        <v>435</v>
      </c>
      <c r="CQ290" s="1" t="s">
        <v>432</v>
      </c>
      <c r="CR290" s="1" t="s">
        <v>852</v>
      </c>
      <c r="CS290" s="1" t="s">
        <v>852</v>
      </c>
      <c r="CT290" s="3">
        <v>46048.429097222222</v>
      </c>
      <c r="CU290" s="1" t="s">
        <v>436</v>
      </c>
      <c r="CV290" s="1" t="s">
        <v>512</v>
      </c>
      <c r="CY290" s="1" t="s">
        <v>438</v>
      </c>
      <c r="DP290" s="1" t="s">
        <v>3407</v>
      </c>
      <c r="GZ290" s="1" t="s">
        <v>3407</v>
      </c>
      <c r="NM290" s="1" t="s">
        <v>441</v>
      </c>
      <c r="NN290" s="1">
        <v>5</v>
      </c>
      <c r="NS290" s="1">
        <v>5</v>
      </c>
      <c r="NT290" s="1">
        <v>5</v>
      </c>
      <c r="OA290" s="1">
        <v>5</v>
      </c>
      <c r="OB290" s="1">
        <v>5</v>
      </c>
      <c r="OC290" s="1">
        <v>5</v>
      </c>
      <c r="OD290" s="1">
        <v>5</v>
      </c>
      <c r="SB290" s="1" t="s">
        <v>443</v>
      </c>
      <c r="SC290" s="1" t="s">
        <v>3408</v>
      </c>
      <c r="SF290" s="1" t="s">
        <v>579</v>
      </c>
      <c r="SG290" s="1" t="s">
        <v>3409</v>
      </c>
      <c r="SH290" s="1" t="s">
        <v>438</v>
      </c>
      <c r="SI290" s="1" t="s">
        <v>438</v>
      </c>
      <c r="SK290" s="1" t="s">
        <v>760</v>
      </c>
      <c r="SL290" s="1" t="s">
        <v>445</v>
      </c>
    </row>
    <row r="291" spans="1:508" ht="64" x14ac:dyDescent="0.2">
      <c r="A291" s="1" t="s">
        <v>3410</v>
      </c>
      <c r="B291" s="1">
        <v>10</v>
      </c>
      <c r="C291" s="1">
        <v>4</v>
      </c>
      <c r="D291" s="3">
        <v>46048.421307870369</v>
      </c>
      <c r="E291" s="1">
        <v>5160979</v>
      </c>
      <c r="F291" s="1" t="s">
        <v>428</v>
      </c>
      <c r="H291" s="1" t="s">
        <v>3411</v>
      </c>
      <c r="J291" s="1" t="s">
        <v>3412</v>
      </c>
      <c r="N291" s="1" t="s">
        <v>3413</v>
      </c>
      <c r="O291" s="1" t="s">
        <v>432</v>
      </c>
      <c r="R291" s="1" t="s">
        <v>3412</v>
      </c>
      <c r="S291" s="1" t="s">
        <v>3414</v>
      </c>
      <c r="AB291" s="3">
        <v>46055.653414351851</v>
      </c>
      <c r="AC291" s="3">
        <v>46048.535868055558</v>
      </c>
      <c r="AE291" s="1" t="s">
        <v>3415</v>
      </c>
      <c r="BB291" s="1" t="s">
        <v>3416</v>
      </c>
      <c r="CO291" s="1" t="s">
        <v>435</v>
      </c>
      <c r="CQ291" s="1" t="s">
        <v>432</v>
      </c>
      <c r="CR291" s="1" t="s">
        <v>1205</v>
      </c>
      <c r="CS291" s="1" t="s">
        <v>729</v>
      </c>
      <c r="CT291" s="3">
        <v>46048.420671296299</v>
      </c>
      <c r="CU291" s="1" t="s">
        <v>436</v>
      </c>
      <c r="CV291" s="1" t="s">
        <v>512</v>
      </c>
      <c r="CW291" s="3">
        <v>46055.653356481482</v>
      </c>
      <c r="CX291" s="1" t="s">
        <v>1057</v>
      </c>
      <c r="CY291" s="1" t="s">
        <v>438</v>
      </c>
      <c r="DP291" s="1" t="s">
        <v>3417</v>
      </c>
      <c r="DU291" s="1" t="s">
        <v>3418</v>
      </c>
      <c r="GZ291" s="1" t="s">
        <v>3417</v>
      </c>
      <c r="HA291" s="1" t="s">
        <v>3418</v>
      </c>
      <c r="NM291" s="1" t="s">
        <v>441</v>
      </c>
      <c r="NN291" s="1">
        <v>2</v>
      </c>
      <c r="NS291" s="1">
        <v>4</v>
      </c>
      <c r="NT291" s="1">
        <v>4</v>
      </c>
      <c r="OA291" s="1">
        <v>3</v>
      </c>
      <c r="OB291" s="1">
        <v>4</v>
      </c>
      <c r="OC291" s="1">
        <v>5</v>
      </c>
      <c r="OD291" s="1">
        <v>5</v>
      </c>
      <c r="SB291" s="1" t="s">
        <v>646</v>
      </c>
      <c r="SC291" s="1" t="s">
        <v>1332</v>
      </c>
      <c r="SF291" s="1" t="s">
        <v>1949</v>
      </c>
      <c r="SG291" s="1" t="s">
        <v>3419</v>
      </c>
      <c r="SH291" s="1" t="s">
        <v>438</v>
      </c>
      <c r="SI291" s="1" t="s">
        <v>432</v>
      </c>
      <c r="SK291" s="1" t="s">
        <v>568</v>
      </c>
      <c r="SL291" s="1" t="s">
        <v>799</v>
      </c>
      <c r="SM291" s="1" t="s">
        <v>620</v>
      </c>
      <c r="SN291" s="1" t="s">
        <v>3420</v>
      </c>
    </row>
    <row r="292" spans="1:508" ht="48" x14ac:dyDescent="0.2">
      <c r="A292" s="1" t="s">
        <v>3421</v>
      </c>
      <c r="B292" s="1">
        <v>7</v>
      </c>
      <c r="C292" s="1">
        <v>3</v>
      </c>
      <c r="D292" s="3">
        <v>46047.108217592591</v>
      </c>
      <c r="E292" s="1">
        <v>5158865</v>
      </c>
      <c r="F292" s="1" t="s">
        <v>428</v>
      </c>
      <c r="H292" s="1" t="s">
        <v>3422</v>
      </c>
      <c r="J292" s="1" t="s">
        <v>3423</v>
      </c>
      <c r="N292" s="1" t="s">
        <v>3424</v>
      </c>
      <c r="O292" s="1" t="s">
        <v>432</v>
      </c>
      <c r="R292" s="1" t="s">
        <v>3423</v>
      </c>
      <c r="S292" s="1" t="s">
        <v>3425</v>
      </c>
      <c r="AB292" s="3">
        <v>46054.596550925926</v>
      </c>
      <c r="AC292" s="3">
        <v>46044.639803240738</v>
      </c>
      <c r="AE292" s="1" t="s">
        <v>3426</v>
      </c>
      <c r="BB292" s="1" t="s">
        <v>3427</v>
      </c>
      <c r="CO292" s="1" t="s">
        <v>435</v>
      </c>
      <c r="CQ292" s="1" t="s">
        <v>432</v>
      </c>
      <c r="CR292" s="1" t="s">
        <v>1924</v>
      </c>
      <c r="CS292" s="1" t="s">
        <v>729</v>
      </c>
      <c r="CT292" s="3">
        <v>46047.107361111113</v>
      </c>
      <c r="CU292" s="1" t="s">
        <v>524</v>
      </c>
      <c r="CV292" s="1" t="s">
        <v>512</v>
      </c>
      <c r="CW292" s="3">
        <v>46054.596493055556</v>
      </c>
      <c r="CX292" s="1" t="s">
        <v>1057</v>
      </c>
      <c r="CY292" s="1" t="s">
        <v>438</v>
      </c>
      <c r="DP292" s="1" t="s">
        <v>1947</v>
      </c>
      <c r="DU292" s="1" t="s">
        <v>3428</v>
      </c>
      <c r="GZ292" s="1" t="s">
        <v>1947</v>
      </c>
      <c r="HA292" s="1" t="s">
        <v>3428</v>
      </c>
      <c r="NM292" s="1" t="s">
        <v>441</v>
      </c>
      <c r="NN292" s="1">
        <v>4</v>
      </c>
      <c r="NS292" s="1">
        <v>5</v>
      </c>
      <c r="NT292" s="1">
        <v>5</v>
      </c>
      <c r="OA292" s="1">
        <v>5</v>
      </c>
      <c r="OB292" s="1">
        <v>5</v>
      </c>
      <c r="OC292" s="1">
        <v>5</v>
      </c>
      <c r="OD292" s="1">
        <v>4</v>
      </c>
      <c r="SC292" s="1" t="s">
        <v>443</v>
      </c>
      <c r="SG292" s="1" t="s">
        <v>865</v>
      </c>
      <c r="SH292" s="1" t="s">
        <v>438</v>
      </c>
      <c r="SI292" s="1" t="s">
        <v>438</v>
      </c>
      <c r="SK292" s="1" t="s">
        <v>568</v>
      </c>
      <c r="SL292" s="1" t="s">
        <v>866</v>
      </c>
    </row>
    <row r="293" spans="1:508" ht="64" x14ac:dyDescent="0.2">
      <c r="A293" s="1" t="s">
        <v>3429</v>
      </c>
      <c r="B293" s="1">
        <v>9</v>
      </c>
      <c r="C293" s="1">
        <v>5</v>
      </c>
      <c r="D293" s="3">
        <v>46046.870173611111</v>
      </c>
      <c r="E293" s="1">
        <v>5158639</v>
      </c>
      <c r="F293" s="1" t="s">
        <v>428</v>
      </c>
      <c r="H293" s="1" t="s">
        <v>3430</v>
      </c>
      <c r="J293" s="1" t="s">
        <v>3431</v>
      </c>
      <c r="N293" s="1" t="s">
        <v>3117</v>
      </c>
      <c r="O293" s="1" t="s">
        <v>432</v>
      </c>
      <c r="R293" s="1" t="s">
        <v>3431</v>
      </c>
      <c r="S293" s="1" t="s">
        <v>3118</v>
      </c>
      <c r="AB293" s="3">
        <v>46048.396064814813</v>
      </c>
      <c r="AC293" s="3">
        <v>46045.533101851855</v>
      </c>
      <c r="AE293" s="1" t="s">
        <v>3432</v>
      </c>
      <c r="BB293" s="1" t="s">
        <v>3433</v>
      </c>
      <c r="CO293" s="1" t="s">
        <v>435</v>
      </c>
      <c r="CQ293" s="1" t="s">
        <v>432</v>
      </c>
      <c r="CR293" s="1" t="s">
        <v>534</v>
      </c>
      <c r="CS293" s="1" t="s">
        <v>534</v>
      </c>
      <c r="CT293" s="3">
        <v>46046.868703703702</v>
      </c>
      <c r="CU293" s="1" t="s">
        <v>436</v>
      </c>
      <c r="CV293" s="1" t="s">
        <v>512</v>
      </c>
      <c r="CY293" s="1" t="s">
        <v>438</v>
      </c>
      <c r="DP293" s="1" t="s">
        <v>3434</v>
      </c>
      <c r="DU293" s="1" t="s">
        <v>3435</v>
      </c>
      <c r="GZ293" s="1" t="s">
        <v>3434</v>
      </c>
      <c r="HA293" s="1" t="s">
        <v>3435</v>
      </c>
      <c r="NM293" s="1" t="s">
        <v>441</v>
      </c>
      <c r="NN293" s="1">
        <v>4</v>
      </c>
      <c r="NS293" s="1">
        <v>5</v>
      </c>
      <c r="NT293" s="1">
        <v>5</v>
      </c>
      <c r="OA293" s="1">
        <v>5</v>
      </c>
      <c r="OB293" s="1">
        <v>5</v>
      </c>
      <c r="OC293" s="1">
        <v>5</v>
      </c>
      <c r="OD293" s="1">
        <v>5</v>
      </c>
      <c r="SB293" s="1" t="s">
        <v>3436</v>
      </c>
      <c r="SC293" s="1" t="s">
        <v>1696</v>
      </c>
      <c r="SF293" s="1" t="s">
        <v>3437</v>
      </c>
      <c r="SG293" s="1" t="s">
        <v>2068</v>
      </c>
      <c r="SH293" s="1" t="s">
        <v>438</v>
      </c>
      <c r="SI293" s="1" t="s">
        <v>438</v>
      </c>
      <c r="SK293" s="1" t="s">
        <v>620</v>
      </c>
    </row>
    <row r="294" spans="1:508" ht="64" x14ac:dyDescent="0.2">
      <c r="A294" s="1" t="s">
        <v>3438</v>
      </c>
      <c r="B294" s="1">
        <v>10</v>
      </c>
      <c r="C294" s="1">
        <v>5</v>
      </c>
      <c r="D294" s="3">
        <v>46046.391435185185</v>
      </c>
      <c r="E294" s="1">
        <v>5158353</v>
      </c>
      <c r="F294" s="1" t="s">
        <v>428</v>
      </c>
      <c r="H294" s="1" t="s">
        <v>3439</v>
      </c>
      <c r="J294" s="1" t="s">
        <v>3440</v>
      </c>
      <c r="N294" s="1" t="s">
        <v>1457</v>
      </c>
      <c r="O294" s="1" t="s">
        <v>438</v>
      </c>
      <c r="R294" s="1" t="s">
        <v>3440</v>
      </c>
      <c r="S294" s="1" t="s">
        <v>1458</v>
      </c>
      <c r="AB294" s="3">
        <v>46048.392743055556</v>
      </c>
      <c r="AC294" s="3">
        <v>46044.533784722225</v>
      </c>
      <c r="AE294" s="1" t="s">
        <v>3441</v>
      </c>
      <c r="BB294" s="1" t="s">
        <v>3442</v>
      </c>
      <c r="CO294" s="1" t="s">
        <v>435</v>
      </c>
      <c r="CQ294" s="1" t="s">
        <v>432</v>
      </c>
      <c r="CR294" s="1" t="s">
        <v>534</v>
      </c>
      <c r="CS294" s="1" t="s">
        <v>534</v>
      </c>
      <c r="CT294" s="3">
        <v>46046.390150462961</v>
      </c>
      <c r="CU294" s="1" t="s">
        <v>436</v>
      </c>
      <c r="CV294" s="1" t="s">
        <v>512</v>
      </c>
      <c r="CY294" s="1" t="s">
        <v>438</v>
      </c>
      <c r="DU294" s="1" t="s">
        <v>3443</v>
      </c>
      <c r="HA294" s="1" t="s">
        <v>3443</v>
      </c>
      <c r="NM294" s="1" t="s">
        <v>441</v>
      </c>
      <c r="NN294" s="1">
        <v>5</v>
      </c>
      <c r="NS294" s="1">
        <v>3</v>
      </c>
      <c r="NT294" s="1">
        <v>5</v>
      </c>
      <c r="OA294" s="1">
        <v>4</v>
      </c>
      <c r="OB294" s="1">
        <v>5</v>
      </c>
      <c r="OC294" s="1">
        <v>5</v>
      </c>
      <c r="OD294" s="1">
        <v>5</v>
      </c>
      <c r="SB294" s="1" t="s">
        <v>3444</v>
      </c>
      <c r="SC294" s="1" t="s">
        <v>1114</v>
      </c>
      <c r="SF294" s="1" t="s">
        <v>3445</v>
      </c>
      <c r="SG294" s="1" t="s">
        <v>1868</v>
      </c>
      <c r="SH294" s="1" t="s">
        <v>438</v>
      </c>
      <c r="SI294" s="1" t="s">
        <v>432</v>
      </c>
      <c r="SK294" s="1" t="s">
        <v>2947</v>
      </c>
      <c r="SL294" s="1" t="s">
        <v>486</v>
      </c>
    </row>
    <row r="295" spans="1:508" ht="48" x14ac:dyDescent="0.2">
      <c r="A295" s="1" t="s">
        <v>3446</v>
      </c>
      <c r="B295" s="1">
        <v>10</v>
      </c>
      <c r="C295" s="1">
        <v>5</v>
      </c>
      <c r="D295" s="3">
        <v>46046.286030092589</v>
      </c>
      <c r="E295" s="1">
        <v>5158297</v>
      </c>
      <c r="F295" s="1" t="s">
        <v>428</v>
      </c>
      <c r="H295" s="1" t="s">
        <v>3447</v>
      </c>
      <c r="J295" s="1" t="s">
        <v>3448</v>
      </c>
      <c r="N295" s="1" t="s">
        <v>1325</v>
      </c>
      <c r="O295" s="1" t="s">
        <v>432</v>
      </c>
      <c r="R295" s="1" t="s">
        <v>3448</v>
      </c>
      <c r="S295" s="1" t="s">
        <v>1326</v>
      </c>
      <c r="AB295" s="3">
        <v>46048.403761574074</v>
      </c>
      <c r="AC295" s="3">
        <v>46043.532094907408</v>
      </c>
      <c r="AE295" s="1" t="s">
        <v>3449</v>
      </c>
      <c r="BB295" s="1" t="s">
        <v>3450</v>
      </c>
      <c r="CO295" s="1" t="s">
        <v>435</v>
      </c>
      <c r="CQ295" s="1" t="s">
        <v>432</v>
      </c>
      <c r="CR295" s="1" t="s">
        <v>549</v>
      </c>
      <c r="CS295" s="1" t="s">
        <v>549</v>
      </c>
      <c r="CT295" s="3">
        <v>46046.284131944441</v>
      </c>
      <c r="CU295" s="1" t="s">
        <v>436</v>
      </c>
      <c r="CV295" s="1" t="s">
        <v>512</v>
      </c>
      <c r="CY295" s="1" t="s">
        <v>438</v>
      </c>
      <c r="DP295" s="1" t="s">
        <v>3451</v>
      </c>
      <c r="GZ295" s="1" t="s">
        <v>3451</v>
      </c>
      <c r="NM295" s="1" t="s">
        <v>441</v>
      </c>
      <c r="NN295" s="1">
        <v>5</v>
      </c>
      <c r="NS295" s="1">
        <v>5</v>
      </c>
      <c r="NT295" s="1">
        <v>5</v>
      </c>
      <c r="OA295" s="1">
        <v>5</v>
      </c>
      <c r="OB295" s="1">
        <v>5</v>
      </c>
      <c r="OC295" s="1">
        <v>5</v>
      </c>
      <c r="OD295" s="1">
        <v>5</v>
      </c>
      <c r="SB295" s="1" t="s">
        <v>443</v>
      </c>
      <c r="SC295" s="1" t="s">
        <v>1114</v>
      </c>
      <c r="SF295" s="1" t="s">
        <v>444</v>
      </c>
      <c r="SG295" s="1" t="s">
        <v>1452</v>
      </c>
      <c r="SH295" s="1" t="s">
        <v>438</v>
      </c>
      <c r="SI295" s="1" t="s">
        <v>432</v>
      </c>
      <c r="SK295" s="1" t="s">
        <v>832</v>
      </c>
    </row>
    <row r="296" spans="1:508" ht="48" x14ac:dyDescent="0.2">
      <c r="A296" s="1" t="s">
        <v>3452</v>
      </c>
      <c r="B296" s="1">
        <v>10</v>
      </c>
      <c r="C296" s="1">
        <v>5</v>
      </c>
      <c r="D296" s="3">
        <v>46045.918715277781</v>
      </c>
      <c r="E296" s="1">
        <v>5158109</v>
      </c>
      <c r="F296" s="1" t="s">
        <v>428</v>
      </c>
      <c r="H296" s="1" t="s">
        <v>3453</v>
      </c>
      <c r="J296" s="1" t="s">
        <v>3454</v>
      </c>
      <c r="N296" s="1" t="s">
        <v>1551</v>
      </c>
      <c r="O296" s="1" t="s">
        <v>432</v>
      </c>
      <c r="R296" s="1" t="s">
        <v>3454</v>
      </c>
      <c r="S296" s="1" t="s">
        <v>1552</v>
      </c>
      <c r="AB296" s="3">
        <v>46048.402048611111</v>
      </c>
      <c r="AC296" s="3">
        <v>46045.533784722225</v>
      </c>
      <c r="AE296" s="1" t="s">
        <v>3455</v>
      </c>
      <c r="BB296" s="1" t="s">
        <v>3456</v>
      </c>
      <c r="CO296" s="1" t="s">
        <v>435</v>
      </c>
      <c r="CQ296" s="1" t="s">
        <v>432</v>
      </c>
      <c r="CR296" s="1" t="s">
        <v>549</v>
      </c>
      <c r="CS296" s="1" t="s">
        <v>549</v>
      </c>
      <c r="CT296" s="3">
        <v>46045.918310185189</v>
      </c>
      <c r="CU296" s="1" t="s">
        <v>436</v>
      </c>
      <c r="CV296" s="1" t="s">
        <v>512</v>
      </c>
      <c r="CY296" s="1" t="s">
        <v>438</v>
      </c>
      <c r="DP296" s="1" t="s">
        <v>3457</v>
      </c>
      <c r="DU296" s="1" t="s">
        <v>3458</v>
      </c>
      <c r="GZ296" s="1" t="s">
        <v>3457</v>
      </c>
      <c r="HA296" s="1" t="s">
        <v>3458</v>
      </c>
      <c r="NM296" s="1" t="s">
        <v>441</v>
      </c>
      <c r="NN296" s="1">
        <v>4</v>
      </c>
      <c r="NS296" s="1">
        <v>4</v>
      </c>
      <c r="NT296" s="1">
        <v>5</v>
      </c>
      <c r="OA296" s="1">
        <v>5</v>
      </c>
      <c r="OB296" s="1" t="s">
        <v>442</v>
      </c>
      <c r="OC296" s="1">
        <v>5</v>
      </c>
      <c r="OD296" s="1">
        <v>4</v>
      </c>
      <c r="SB296" s="1" t="s">
        <v>2963</v>
      </c>
      <c r="SC296" s="1" t="s">
        <v>646</v>
      </c>
      <c r="SF296" s="1" t="s">
        <v>2964</v>
      </c>
      <c r="SG296" s="1" t="s">
        <v>1501</v>
      </c>
      <c r="SH296" s="1" t="s">
        <v>438</v>
      </c>
      <c r="SI296" s="1" t="s">
        <v>432</v>
      </c>
      <c r="SK296" s="1" t="s">
        <v>445</v>
      </c>
      <c r="SL296" s="1" t="s">
        <v>919</v>
      </c>
      <c r="SM296" s="1" t="s">
        <v>620</v>
      </c>
    </row>
    <row r="297" spans="1:508" ht="48" x14ac:dyDescent="0.2">
      <c r="A297" s="1" t="s">
        <v>3459</v>
      </c>
      <c r="B297" s="1">
        <v>9</v>
      </c>
      <c r="C297" s="1">
        <v>5</v>
      </c>
      <c r="D297" s="3">
        <v>46045.692025462966</v>
      </c>
      <c r="E297" s="1">
        <v>5157899</v>
      </c>
      <c r="F297" s="1" t="s">
        <v>428</v>
      </c>
      <c r="H297" s="1" t="s">
        <v>3460</v>
      </c>
      <c r="J297" s="1" t="s">
        <v>3461</v>
      </c>
      <c r="N297" s="1" t="s">
        <v>2014</v>
      </c>
      <c r="O297" s="1" t="s">
        <v>432</v>
      </c>
      <c r="R297" s="1" t="s">
        <v>3461</v>
      </c>
      <c r="S297" s="1" t="s">
        <v>2015</v>
      </c>
      <c r="AB297" s="3">
        <v>46048.398506944446</v>
      </c>
      <c r="AC297" s="3">
        <v>46045.636481481481</v>
      </c>
      <c r="AE297" s="1" t="s">
        <v>3462</v>
      </c>
      <c r="BB297" s="1" t="s">
        <v>3463</v>
      </c>
      <c r="CO297" s="1" t="s">
        <v>435</v>
      </c>
      <c r="CQ297" s="1" t="s">
        <v>432</v>
      </c>
      <c r="CR297" s="1" t="s">
        <v>549</v>
      </c>
      <c r="CS297" s="1" t="s">
        <v>549</v>
      </c>
      <c r="CT297" s="3">
        <v>46045.691620370373</v>
      </c>
      <c r="CU297" s="1" t="s">
        <v>436</v>
      </c>
      <c r="CV297" s="1" t="s">
        <v>512</v>
      </c>
      <c r="CY297" s="1" t="s">
        <v>438</v>
      </c>
      <c r="DP297" s="1" t="s">
        <v>3464</v>
      </c>
      <c r="DU297" s="1" t="s">
        <v>3465</v>
      </c>
      <c r="GZ297" s="1" t="s">
        <v>3464</v>
      </c>
      <c r="HA297" s="1" t="s">
        <v>3465</v>
      </c>
      <c r="NM297" s="1" t="s">
        <v>441</v>
      </c>
      <c r="NN297" s="1">
        <v>4</v>
      </c>
      <c r="NS297" s="1">
        <v>5</v>
      </c>
      <c r="NT297" s="1">
        <v>5</v>
      </c>
      <c r="OA297" s="1">
        <v>5</v>
      </c>
      <c r="OB297" s="1">
        <v>5</v>
      </c>
      <c r="OC297" s="1">
        <v>5</v>
      </c>
      <c r="OD297" s="1">
        <v>5</v>
      </c>
      <c r="SB297" s="1" t="s">
        <v>443</v>
      </c>
      <c r="SC297" s="1" t="s">
        <v>1114</v>
      </c>
      <c r="SF297" s="1" t="s">
        <v>444</v>
      </c>
      <c r="SG297" s="1" t="s">
        <v>2315</v>
      </c>
      <c r="SH297" s="1" t="s">
        <v>438</v>
      </c>
      <c r="SI297" s="1" t="s">
        <v>438</v>
      </c>
      <c r="SK297" s="1" t="s">
        <v>1546</v>
      </c>
      <c r="SL297" s="1" t="s">
        <v>540</v>
      </c>
    </row>
    <row r="298" spans="1:508" ht="48" x14ac:dyDescent="0.2">
      <c r="A298" s="1" t="s">
        <v>3466</v>
      </c>
      <c r="B298" s="1">
        <v>10</v>
      </c>
      <c r="C298" s="1">
        <v>5</v>
      </c>
      <c r="D298" s="3">
        <v>46045.688784722224</v>
      </c>
      <c r="E298" s="1">
        <v>5157886</v>
      </c>
      <c r="F298" s="1" t="s">
        <v>428</v>
      </c>
      <c r="H298" s="1" t="s">
        <v>3467</v>
      </c>
      <c r="J298" s="1" t="s">
        <v>3468</v>
      </c>
      <c r="N298" s="1" t="s">
        <v>3469</v>
      </c>
      <c r="O298" s="1" t="s">
        <v>438</v>
      </c>
      <c r="R298" s="1" t="s">
        <v>3468</v>
      </c>
      <c r="S298" s="1" t="s">
        <v>3470</v>
      </c>
      <c r="AB298" s="3">
        <v>46048.398263888892</v>
      </c>
      <c r="AC298" s="3">
        <v>46045.530405092592</v>
      </c>
      <c r="AE298" s="1" t="s">
        <v>3471</v>
      </c>
      <c r="BB298" s="1" t="s">
        <v>3472</v>
      </c>
      <c r="CO298" s="1" t="s">
        <v>435</v>
      </c>
      <c r="CQ298" s="1" t="s">
        <v>432</v>
      </c>
      <c r="CR298" s="1" t="s">
        <v>549</v>
      </c>
      <c r="CS298" s="1" t="s">
        <v>549</v>
      </c>
      <c r="CT298" s="3">
        <v>46045.687673611108</v>
      </c>
      <c r="CU298" s="1" t="s">
        <v>436</v>
      </c>
      <c r="CV298" s="1" t="s">
        <v>512</v>
      </c>
      <c r="CY298" s="1" t="s">
        <v>438</v>
      </c>
      <c r="DP298" s="1" t="s">
        <v>3473</v>
      </c>
      <c r="DU298" s="1" t="s">
        <v>3474</v>
      </c>
      <c r="GZ298" s="1" t="s">
        <v>3473</v>
      </c>
      <c r="HA298" s="1" t="s">
        <v>3474</v>
      </c>
      <c r="NM298" s="1" t="s">
        <v>441</v>
      </c>
      <c r="NN298" s="1">
        <v>4</v>
      </c>
      <c r="NS298" s="1">
        <v>5</v>
      </c>
      <c r="NT298" s="1">
        <v>5</v>
      </c>
      <c r="OA298" s="1">
        <v>5</v>
      </c>
      <c r="OB298" s="1">
        <v>5</v>
      </c>
      <c r="OC298" s="1">
        <v>5</v>
      </c>
      <c r="OD298" s="1">
        <v>5</v>
      </c>
      <c r="SB298" s="1" t="s">
        <v>951</v>
      </c>
      <c r="SC298" s="1" t="s">
        <v>1035</v>
      </c>
      <c r="SF298" s="1" t="s">
        <v>953</v>
      </c>
      <c r="SG298" s="1" t="s">
        <v>1084</v>
      </c>
      <c r="SH298" s="1" t="s">
        <v>438</v>
      </c>
      <c r="SI298" s="1" t="s">
        <v>438</v>
      </c>
      <c r="SK298" s="1" t="s">
        <v>955</v>
      </c>
      <c r="SL298" s="1" t="s">
        <v>928</v>
      </c>
    </row>
    <row r="299" spans="1:508" ht="48" x14ac:dyDescent="0.2">
      <c r="A299" s="1" t="s">
        <v>3475</v>
      </c>
      <c r="B299" s="1">
        <v>9</v>
      </c>
      <c r="C299" s="1">
        <v>5</v>
      </c>
      <c r="D299" s="3">
        <v>46045.521817129629</v>
      </c>
      <c r="E299" s="1">
        <v>5157433</v>
      </c>
      <c r="F299" s="1" t="s">
        <v>428</v>
      </c>
      <c r="H299" s="1" t="s">
        <v>3476</v>
      </c>
      <c r="J299" s="1" t="s">
        <v>3477</v>
      </c>
      <c r="N299" s="1" t="s">
        <v>903</v>
      </c>
      <c r="O299" s="1" t="s">
        <v>432</v>
      </c>
      <c r="R299" s="1" t="s">
        <v>3477</v>
      </c>
      <c r="S299" s="1" t="s">
        <v>904</v>
      </c>
      <c r="AB299" s="3">
        <v>46048.461319444446</v>
      </c>
      <c r="AC299" s="3">
        <v>46045.533078703702</v>
      </c>
      <c r="AE299" s="1" t="s">
        <v>3478</v>
      </c>
      <c r="BB299" s="1" t="s">
        <v>3479</v>
      </c>
      <c r="CO299" s="1" t="s">
        <v>435</v>
      </c>
      <c r="CQ299" s="1" t="s">
        <v>432</v>
      </c>
      <c r="CR299" s="1" t="s">
        <v>1227</v>
      </c>
      <c r="CS299" s="1" t="s">
        <v>1227</v>
      </c>
      <c r="CT299" s="3">
        <v>46045.521365740744</v>
      </c>
      <c r="CU299" s="1" t="s">
        <v>436</v>
      </c>
      <c r="CV299" s="1" t="s">
        <v>512</v>
      </c>
      <c r="CY299" s="1" t="s">
        <v>438</v>
      </c>
      <c r="DP299" s="1" t="s">
        <v>3480</v>
      </c>
      <c r="DU299" s="1" t="s">
        <v>3481</v>
      </c>
      <c r="GZ299" s="1" t="s">
        <v>3480</v>
      </c>
      <c r="HA299" s="1" t="s">
        <v>3481</v>
      </c>
      <c r="NM299" s="1" t="s">
        <v>441</v>
      </c>
      <c r="NN299" s="1">
        <v>5</v>
      </c>
      <c r="NS299" s="1">
        <v>5</v>
      </c>
      <c r="NT299" s="1">
        <v>5</v>
      </c>
      <c r="OA299" s="1">
        <v>5</v>
      </c>
      <c r="OB299" s="1">
        <v>5</v>
      </c>
      <c r="OC299" s="1">
        <v>5</v>
      </c>
      <c r="OD299" s="1">
        <v>5</v>
      </c>
      <c r="SB299" s="1" t="s">
        <v>758</v>
      </c>
      <c r="SC299" s="1" t="s">
        <v>758</v>
      </c>
      <c r="SF299" s="1" t="s">
        <v>1719</v>
      </c>
      <c r="SG299" s="1" t="s">
        <v>1719</v>
      </c>
      <c r="SH299" s="1" t="s">
        <v>432</v>
      </c>
      <c r="SI299" s="1" t="s">
        <v>432</v>
      </c>
      <c r="SK299" s="1" t="s">
        <v>445</v>
      </c>
      <c r="SL299" s="1" t="s">
        <v>799</v>
      </c>
    </row>
    <row r="300" spans="1:508" ht="48" x14ac:dyDescent="0.2">
      <c r="A300" s="1" t="s">
        <v>3482</v>
      </c>
      <c r="B300" s="1">
        <v>10</v>
      </c>
      <c r="C300" s="1">
        <v>5</v>
      </c>
      <c r="D300" s="3">
        <v>46045.514502314814</v>
      </c>
      <c r="E300" s="1">
        <v>5157406</v>
      </c>
      <c r="F300" s="1" t="s">
        <v>428</v>
      </c>
      <c r="H300" s="1" t="s">
        <v>3483</v>
      </c>
      <c r="J300" s="1" t="s">
        <v>3484</v>
      </c>
      <c r="N300" s="1" t="s">
        <v>1140</v>
      </c>
      <c r="O300" s="1" t="s">
        <v>432</v>
      </c>
      <c r="R300" s="1" t="s">
        <v>3484</v>
      </c>
      <c r="S300" s="1" t="s">
        <v>1141</v>
      </c>
      <c r="AB300" s="3">
        <v>46048.462094907409</v>
      </c>
      <c r="AC300" s="3">
        <v>46045.530439814815</v>
      </c>
      <c r="AE300" s="1" t="s">
        <v>3485</v>
      </c>
      <c r="BB300" s="1" t="s">
        <v>3486</v>
      </c>
      <c r="CO300" s="1" t="s">
        <v>435</v>
      </c>
      <c r="CQ300" s="1" t="s">
        <v>432</v>
      </c>
      <c r="CR300" s="1" t="s">
        <v>1227</v>
      </c>
      <c r="CS300" s="1" t="s">
        <v>1227</v>
      </c>
      <c r="CT300" s="3">
        <v>46045.51421296296</v>
      </c>
      <c r="CU300" s="1" t="s">
        <v>436</v>
      </c>
      <c r="CV300" s="1" t="s">
        <v>512</v>
      </c>
      <c r="CY300" s="1" t="s">
        <v>438</v>
      </c>
      <c r="DP300" s="1" t="s">
        <v>1228</v>
      </c>
      <c r="DU300" s="1" t="s">
        <v>3487</v>
      </c>
      <c r="GZ300" s="1" t="s">
        <v>1228</v>
      </c>
      <c r="HA300" s="1" t="s">
        <v>3487</v>
      </c>
      <c r="NM300" s="1" t="s">
        <v>441</v>
      </c>
      <c r="NN300" s="1">
        <v>4</v>
      </c>
      <c r="NS300" s="1">
        <v>5</v>
      </c>
      <c r="NT300" s="1">
        <v>5</v>
      </c>
      <c r="OA300" s="1">
        <v>5</v>
      </c>
      <c r="OB300" s="1">
        <v>5</v>
      </c>
      <c r="OC300" s="1">
        <v>5</v>
      </c>
      <c r="OD300" s="1">
        <v>4</v>
      </c>
      <c r="SB300" s="1" t="s">
        <v>443</v>
      </c>
      <c r="SC300" s="1" t="s">
        <v>758</v>
      </c>
      <c r="SF300" s="1" t="s">
        <v>444</v>
      </c>
      <c r="SG300" s="1" t="s">
        <v>1512</v>
      </c>
      <c r="SH300" s="1" t="s">
        <v>438</v>
      </c>
      <c r="SI300" s="1" t="s">
        <v>432</v>
      </c>
      <c r="SK300" s="1" t="s">
        <v>445</v>
      </c>
      <c r="SL300" s="1" t="s">
        <v>540</v>
      </c>
    </row>
    <row r="301" spans="1:508" ht="48" x14ac:dyDescent="0.2">
      <c r="A301" s="1" t="s">
        <v>3488</v>
      </c>
      <c r="B301" s="1">
        <v>10</v>
      </c>
      <c r="C301" s="1">
        <v>5</v>
      </c>
      <c r="D301" s="3">
        <v>46045.490347222221</v>
      </c>
      <c r="E301" s="1">
        <v>5157297</v>
      </c>
      <c r="F301" s="1" t="s">
        <v>428</v>
      </c>
      <c r="H301" s="1" t="s">
        <v>3489</v>
      </c>
      <c r="J301" s="1" t="s">
        <v>3490</v>
      </c>
      <c r="O301" s="1" t="s">
        <v>432</v>
      </c>
      <c r="R301" s="1" t="s">
        <v>3490</v>
      </c>
      <c r="AB301" s="3">
        <v>46048.471412037034</v>
      </c>
      <c r="AC301" s="3">
        <v>46045.532731481479</v>
      </c>
      <c r="AE301" s="1" t="s">
        <v>3491</v>
      </c>
      <c r="BB301" s="1" t="s">
        <v>3492</v>
      </c>
      <c r="CO301" s="1" t="s">
        <v>435</v>
      </c>
      <c r="CQ301" s="1" t="s">
        <v>432</v>
      </c>
      <c r="CR301" s="1" t="s">
        <v>3493</v>
      </c>
      <c r="CS301" s="1" t="s">
        <v>3494</v>
      </c>
      <c r="CT301" s="3">
        <v>46045.488726851851</v>
      </c>
      <c r="CU301" s="1" t="s">
        <v>436</v>
      </c>
      <c r="CV301" s="1" t="s">
        <v>512</v>
      </c>
      <c r="CY301" s="1" t="s">
        <v>438</v>
      </c>
      <c r="DU301" s="1" t="s">
        <v>3495</v>
      </c>
      <c r="HA301" s="1" t="s">
        <v>3495</v>
      </c>
      <c r="NM301" s="1" t="s">
        <v>441</v>
      </c>
      <c r="NN301" s="1">
        <v>4</v>
      </c>
      <c r="NS301" s="1">
        <v>5</v>
      </c>
      <c r="NT301" s="1">
        <v>5</v>
      </c>
      <c r="OA301" s="1">
        <v>5</v>
      </c>
      <c r="OB301" s="1">
        <v>5</v>
      </c>
      <c r="OC301" s="1">
        <v>5</v>
      </c>
      <c r="OD301" s="1">
        <v>5</v>
      </c>
      <c r="SB301" s="1" t="s">
        <v>843</v>
      </c>
      <c r="SC301" s="1" t="s">
        <v>2250</v>
      </c>
      <c r="SF301" s="1" t="s">
        <v>2362</v>
      </c>
      <c r="SG301" s="1" t="s">
        <v>2252</v>
      </c>
      <c r="SH301" s="1" t="s">
        <v>438</v>
      </c>
      <c r="SI301" s="1" t="s">
        <v>432</v>
      </c>
      <c r="SK301" s="1" t="s">
        <v>620</v>
      </c>
    </row>
    <row r="302" spans="1:508" ht="409.6" x14ac:dyDescent="0.2">
      <c r="A302" s="1" t="s">
        <v>3496</v>
      </c>
      <c r="B302" s="1">
        <v>2</v>
      </c>
      <c r="C302" s="1">
        <v>2</v>
      </c>
      <c r="D302" s="3">
        <v>46045.4690162037</v>
      </c>
      <c r="E302" s="1">
        <v>5157194</v>
      </c>
      <c r="F302" s="1" t="s">
        <v>428</v>
      </c>
      <c r="H302" s="1" t="s">
        <v>3497</v>
      </c>
      <c r="J302" s="1" t="s">
        <v>3498</v>
      </c>
      <c r="O302" s="1" t="s">
        <v>432</v>
      </c>
      <c r="R302" s="1" t="s">
        <v>3498</v>
      </c>
      <c r="AB302" s="3">
        <v>46054.593877314815</v>
      </c>
      <c r="AC302" s="3">
        <v>46045.533125000002</v>
      </c>
      <c r="AE302" s="1" t="s">
        <v>3499</v>
      </c>
      <c r="BB302" s="1" t="s">
        <v>3500</v>
      </c>
      <c r="CO302" s="1" t="s">
        <v>435</v>
      </c>
      <c r="CQ302" s="1" t="s">
        <v>432</v>
      </c>
      <c r="CR302" s="1" t="s">
        <v>1205</v>
      </c>
      <c r="CS302" s="1" t="s">
        <v>729</v>
      </c>
      <c r="CT302" s="3">
        <v>46045.465150462966</v>
      </c>
      <c r="CU302" s="1" t="s">
        <v>1206</v>
      </c>
      <c r="CV302" s="1" t="s">
        <v>512</v>
      </c>
      <c r="CW302" s="3">
        <v>46054.593807870369</v>
      </c>
      <c r="CX302" s="1" t="s">
        <v>1057</v>
      </c>
      <c r="CY302" s="1" t="s">
        <v>438</v>
      </c>
      <c r="DP302" s="1" t="s">
        <v>3501</v>
      </c>
      <c r="DU302" s="1" t="s">
        <v>3502</v>
      </c>
      <c r="GZ302" s="1" t="s">
        <v>3501</v>
      </c>
      <c r="HA302" s="1" t="s">
        <v>3502</v>
      </c>
      <c r="NM302" s="1" t="s">
        <v>441</v>
      </c>
      <c r="NN302" s="1">
        <v>2</v>
      </c>
      <c r="NS302" s="1">
        <v>2</v>
      </c>
      <c r="NT302" s="1">
        <v>4</v>
      </c>
      <c r="OA302" s="1">
        <v>1</v>
      </c>
      <c r="OB302" s="1">
        <v>2</v>
      </c>
      <c r="OC302" s="1">
        <v>4</v>
      </c>
      <c r="OD302" s="1">
        <v>3</v>
      </c>
      <c r="SB302" s="1" t="s">
        <v>3503</v>
      </c>
      <c r="SC302" s="1" t="s">
        <v>3504</v>
      </c>
      <c r="SF302" s="1" t="s">
        <v>3505</v>
      </c>
      <c r="SG302" s="1" t="s">
        <v>3506</v>
      </c>
      <c r="SH302" s="1" t="s">
        <v>438</v>
      </c>
      <c r="SI302" s="1" t="s">
        <v>438</v>
      </c>
      <c r="SK302" s="1" t="s">
        <v>2947</v>
      </c>
      <c r="SL302" s="1" t="s">
        <v>3234</v>
      </c>
    </row>
    <row r="303" spans="1:508" ht="96" x14ac:dyDescent="0.2">
      <c r="A303" s="1" t="s">
        <v>3507</v>
      </c>
      <c r="B303" s="1">
        <v>10</v>
      </c>
      <c r="C303" s="1">
        <v>5</v>
      </c>
      <c r="D303" s="3">
        <v>46045.464594907404</v>
      </c>
      <c r="E303" s="1">
        <v>5157188</v>
      </c>
      <c r="F303" s="1" t="s">
        <v>428</v>
      </c>
      <c r="H303" s="1" t="s">
        <v>3508</v>
      </c>
      <c r="J303" s="1" t="s">
        <v>3509</v>
      </c>
      <c r="N303" s="1" t="s">
        <v>1457</v>
      </c>
      <c r="O303" s="1" t="s">
        <v>432</v>
      </c>
      <c r="R303" s="1" t="s">
        <v>3509</v>
      </c>
      <c r="S303" s="1" t="s">
        <v>1458</v>
      </c>
      <c r="AB303" s="3">
        <v>46048.391736111109</v>
      </c>
      <c r="AC303" s="3">
        <v>46045.530613425923</v>
      </c>
      <c r="AE303" s="1" t="s">
        <v>3510</v>
      </c>
      <c r="BB303" s="1" t="s">
        <v>3511</v>
      </c>
      <c r="CO303" s="1" t="s">
        <v>435</v>
      </c>
      <c r="CQ303" s="1" t="s">
        <v>432</v>
      </c>
      <c r="CR303" s="1" t="s">
        <v>852</v>
      </c>
      <c r="CS303" s="1" t="s">
        <v>852</v>
      </c>
      <c r="CT303" s="3">
        <v>46045.462106481478</v>
      </c>
      <c r="CU303" s="1" t="s">
        <v>436</v>
      </c>
      <c r="CV303" s="1" t="s">
        <v>512</v>
      </c>
      <c r="CY303" s="1" t="s">
        <v>438</v>
      </c>
      <c r="DP303" s="1" t="s">
        <v>3512</v>
      </c>
      <c r="DU303" s="1" t="s">
        <v>3513</v>
      </c>
      <c r="GZ303" s="1" t="s">
        <v>3512</v>
      </c>
      <c r="HA303" s="1" t="s">
        <v>3513</v>
      </c>
      <c r="NM303" s="1" t="s">
        <v>441</v>
      </c>
      <c r="NN303" s="1">
        <v>4</v>
      </c>
      <c r="NS303" s="1">
        <v>5</v>
      </c>
      <c r="NT303" s="1">
        <v>5</v>
      </c>
      <c r="OA303" s="1">
        <v>5</v>
      </c>
      <c r="OB303" s="1">
        <v>5</v>
      </c>
      <c r="OC303" s="1">
        <v>5</v>
      </c>
      <c r="OD303" s="1">
        <v>5</v>
      </c>
      <c r="SB303" s="1" t="s">
        <v>3514</v>
      </c>
      <c r="SC303" s="1" t="s">
        <v>3515</v>
      </c>
      <c r="SF303" s="1" t="s">
        <v>3516</v>
      </c>
      <c r="SG303" s="1" t="s">
        <v>3517</v>
      </c>
      <c r="SH303" s="1" t="s">
        <v>438</v>
      </c>
      <c r="SI303" s="1" t="s">
        <v>438</v>
      </c>
      <c r="SK303" s="1" t="s">
        <v>486</v>
      </c>
      <c r="SL303" s="1" t="s">
        <v>2947</v>
      </c>
    </row>
    <row r="304" spans="1:508" ht="32" x14ac:dyDescent="0.2">
      <c r="A304" s="1" t="s">
        <v>3518</v>
      </c>
      <c r="B304" s="1">
        <v>10</v>
      </c>
      <c r="C304" s="1">
        <v>5</v>
      </c>
      <c r="D304" s="3">
        <v>46045.428726851853</v>
      </c>
      <c r="E304" s="1">
        <v>5157059</v>
      </c>
      <c r="F304" s="1" t="s">
        <v>428</v>
      </c>
      <c r="H304" s="1" t="s">
        <v>3519</v>
      </c>
      <c r="J304" s="1" t="s">
        <v>3520</v>
      </c>
      <c r="N304" s="1" t="s">
        <v>3424</v>
      </c>
      <c r="O304" s="1" t="s">
        <v>432</v>
      </c>
      <c r="R304" s="1" t="s">
        <v>3520</v>
      </c>
      <c r="S304" s="1" t="s">
        <v>3425</v>
      </c>
      <c r="AB304" s="3">
        <v>46048.387129629627</v>
      </c>
      <c r="AC304" s="3">
        <v>46045.532222222224</v>
      </c>
      <c r="AE304" s="1" t="s">
        <v>3521</v>
      </c>
      <c r="BB304" s="1" t="s">
        <v>3522</v>
      </c>
      <c r="CO304" s="1" t="s">
        <v>435</v>
      </c>
      <c r="CQ304" s="1" t="s">
        <v>432</v>
      </c>
      <c r="CR304" s="1" t="s">
        <v>852</v>
      </c>
      <c r="CS304" s="1" t="s">
        <v>852</v>
      </c>
      <c r="CT304" s="3">
        <v>46045.428923611114</v>
      </c>
      <c r="CU304" s="1" t="s">
        <v>436</v>
      </c>
      <c r="CV304" s="1" t="s">
        <v>512</v>
      </c>
      <c r="CY304" s="1" t="s">
        <v>438</v>
      </c>
      <c r="DP304" s="1" t="s">
        <v>3523</v>
      </c>
      <c r="GZ304" s="1" t="s">
        <v>3523</v>
      </c>
      <c r="NM304" s="1" t="s">
        <v>441</v>
      </c>
      <c r="NN304" s="1">
        <v>5</v>
      </c>
      <c r="NS304" s="1">
        <v>5</v>
      </c>
      <c r="NT304" s="1">
        <v>5</v>
      </c>
      <c r="OA304" s="1">
        <v>5</v>
      </c>
      <c r="OB304" s="1">
        <v>5</v>
      </c>
      <c r="OC304" s="1">
        <v>5</v>
      </c>
      <c r="OD304" s="1">
        <v>5</v>
      </c>
      <c r="SC304" s="1" t="s">
        <v>1696</v>
      </c>
      <c r="SG304" s="1" t="s">
        <v>1938</v>
      </c>
      <c r="SH304" s="1" t="s">
        <v>438</v>
      </c>
      <c r="SI304" s="1" t="s">
        <v>438</v>
      </c>
      <c r="SK304" s="1" t="s">
        <v>1372</v>
      </c>
    </row>
    <row r="305" spans="1:509" ht="32" x14ac:dyDescent="0.2">
      <c r="A305" s="1" t="s">
        <v>3524</v>
      </c>
      <c r="B305" s="1">
        <v>10</v>
      </c>
      <c r="C305" s="1">
        <v>5</v>
      </c>
      <c r="D305" s="3">
        <v>46045.428263888891</v>
      </c>
      <c r="E305" s="1">
        <v>5157057</v>
      </c>
      <c r="F305" s="1" t="s">
        <v>428</v>
      </c>
      <c r="H305" s="1" t="s">
        <v>3525</v>
      </c>
      <c r="J305" s="1" t="s">
        <v>3526</v>
      </c>
      <c r="N305" s="1" t="s">
        <v>545</v>
      </c>
      <c r="O305" s="1" t="s">
        <v>432</v>
      </c>
      <c r="R305" s="1" t="s">
        <v>3526</v>
      </c>
      <c r="S305" s="1" t="s">
        <v>546</v>
      </c>
      <c r="AB305" s="3">
        <v>46048.385821759257</v>
      </c>
      <c r="AC305" s="3">
        <v>46045.53087962963</v>
      </c>
      <c r="AE305" s="1" t="s">
        <v>3527</v>
      </c>
      <c r="BB305" s="1" t="s">
        <v>3528</v>
      </c>
      <c r="CO305" s="1" t="s">
        <v>435</v>
      </c>
      <c r="CQ305" s="1" t="s">
        <v>432</v>
      </c>
      <c r="CR305" s="1" t="s">
        <v>852</v>
      </c>
      <c r="CS305" s="1" t="s">
        <v>852</v>
      </c>
      <c r="CT305" s="3">
        <v>46045.428159722222</v>
      </c>
      <c r="CU305" s="1" t="s">
        <v>436</v>
      </c>
      <c r="CV305" s="1" t="s">
        <v>512</v>
      </c>
      <c r="CY305" s="1" t="s">
        <v>438</v>
      </c>
      <c r="DP305" s="1" t="s">
        <v>3529</v>
      </c>
      <c r="DU305" s="1" t="s">
        <v>874</v>
      </c>
      <c r="GZ305" s="1" t="s">
        <v>3529</v>
      </c>
      <c r="HA305" s="1" t="s">
        <v>874</v>
      </c>
      <c r="NM305" s="1" t="s">
        <v>441</v>
      </c>
      <c r="NN305" s="1">
        <v>5</v>
      </c>
      <c r="NS305" s="1">
        <v>5</v>
      </c>
      <c r="NT305" s="1">
        <v>5</v>
      </c>
      <c r="OA305" s="1">
        <v>5</v>
      </c>
      <c r="OB305" s="1">
        <v>5</v>
      </c>
      <c r="OC305" s="1">
        <v>5</v>
      </c>
      <c r="OD305" s="1">
        <v>5</v>
      </c>
      <c r="SC305" s="1" t="s">
        <v>1601</v>
      </c>
      <c r="SG305" s="1" t="s">
        <v>1603</v>
      </c>
      <c r="SH305" s="1" t="s">
        <v>438</v>
      </c>
      <c r="SI305" s="1" t="s">
        <v>438</v>
      </c>
      <c r="SK305" s="1" t="s">
        <v>486</v>
      </c>
    </row>
    <row r="306" spans="1:509" ht="32" x14ac:dyDescent="0.2">
      <c r="A306" s="1" t="s">
        <v>3530</v>
      </c>
      <c r="B306" s="1">
        <v>10</v>
      </c>
      <c r="C306" s="1">
        <v>5</v>
      </c>
      <c r="D306" s="3">
        <v>46045.409849537034</v>
      </c>
      <c r="E306" s="1">
        <v>5156961</v>
      </c>
      <c r="F306" s="1" t="s">
        <v>428</v>
      </c>
      <c r="H306" s="1" t="s">
        <v>3531</v>
      </c>
      <c r="J306" s="1" t="s">
        <v>3532</v>
      </c>
      <c r="O306" s="1" t="s">
        <v>432</v>
      </c>
      <c r="R306" s="1" t="s">
        <v>3532</v>
      </c>
      <c r="AB306" s="3">
        <v>46048.383425925924</v>
      </c>
      <c r="AC306" s="3">
        <v>46045.53261574074</v>
      </c>
      <c r="AE306" s="1" t="s">
        <v>3533</v>
      </c>
      <c r="BB306" s="1" t="s">
        <v>3534</v>
      </c>
      <c r="CO306" s="1" t="s">
        <v>435</v>
      </c>
      <c r="CQ306" s="1" t="s">
        <v>432</v>
      </c>
      <c r="CR306" s="1" t="s">
        <v>852</v>
      </c>
      <c r="CS306" s="1" t="s">
        <v>852</v>
      </c>
      <c r="CT306" s="3">
        <v>46045.410150462965</v>
      </c>
      <c r="CU306" s="1" t="s">
        <v>436</v>
      </c>
      <c r="CV306" s="1" t="s">
        <v>512</v>
      </c>
      <c r="CY306" s="1" t="s">
        <v>438</v>
      </c>
      <c r="DP306" s="1" t="s">
        <v>3535</v>
      </c>
      <c r="DU306" s="1" t="s">
        <v>874</v>
      </c>
      <c r="GZ306" s="1" t="s">
        <v>3535</v>
      </c>
      <c r="HA306" s="1" t="s">
        <v>874</v>
      </c>
      <c r="NM306" s="1" t="s">
        <v>441</v>
      </c>
      <c r="NN306" s="1">
        <v>5</v>
      </c>
      <c r="NS306" s="1">
        <v>5</v>
      </c>
      <c r="NT306" s="1">
        <v>5</v>
      </c>
      <c r="OA306" s="1">
        <v>5</v>
      </c>
      <c r="OB306" s="1">
        <v>5</v>
      </c>
      <c r="OC306" s="1">
        <v>5</v>
      </c>
      <c r="OD306" s="1">
        <v>5</v>
      </c>
      <c r="SC306" s="1" t="s">
        <v>443</v>
      </c>
      <c r="SG306" s="1" t="s">
        <v>444</v>
      </c>
      <c r="SH306" s="1" t="s">
        <v>438</v>
      </c>
      <c r="SI306" s="1" t="s">
        <v>432</v>
      </c>
      <c r="SK306" s="1" t="s">
        <v>445</v>
      </c>
    </row>
    <row r="307" spans="1:509" ht="96" x14ac:dyDescent="0.2">
      <c r="A307" s="1" t="s">
        <v>3536</v>
      </c>
      <c r="B307" s="1">
        <v>8</v>
      </c>
      <c r="C307" s="1">
        <v>3</v>
      </c>
      <c r="D307" s="3">
        <v>46045.281087962961</v>
      </c>
      <c r="E307" s="1">
        <v>5156607</v>
      </c>
      <c r="F307" s="1" t="s">
        <v>428</v>
      </c>
      <c r="H307" s="1" t="s">
        <v>3537</v>
      </c>
      <c r="J307" s="1" t="s">
        <v>3538</v>
      </c>
      <c r="N307" s="1" t="s">
        <v>3539</v>
      </c>
      <c r="O307" s="1" t="s">
        <v>438</v>
      </c>
      <c r="R307" s="1" t="s">
        <v>3538</v>
      </c>
      <c r="S307" s="1" t="s">
        <v>3540</v>
      </c>
      <c r="AB307" s="3">
        <v>46045.345289351855</v>
      </c>
      <c r="AC307" s="3">
        <v>46044.53328703704</v>
      </c>
      <c r="AE307" s="1" t="s">
        <v>3541</v>
      </c>
      <c r="BB307" s="1" t="s">
        <v>3542</v>
      </c>
      <c r="CO307" s="1" t="s">
        <v>435</v>
      </c>
      <c r="CQ307" s="1" t="s">
        <v>432</v>
      </c>
      <c r="CR307" s="1" t="s">
        <v>852</v>
      </c>
      <c r="CS307" s="1" t="s">
        <v>852</v>
      </c>
      <c r="CT307" s="3">
        <v>46045.277337962965</v>
      </c>
      <c r="CU307" s="1" t="s">
        <v>524</v>
      </c>
      <c r="CV307" s="1" t="s">
        <v>512</v>
      </c>
      <c r="CY307" s="1" t="s">
        <v>438</v>
      </c>
      <c r="DP307" s="1" t="s">
        <v>3543</v>
      </c>
      <c r="DU307" s="1" t="s">
        <v>3544</v>
      </c>
      <c r="GZ307" s="1" t="s">
        <v>3543</v>
      </c>
      <c r="HA307" s="1" t="s">
        <v>3544</v>
      </c>
      <c r="NM307" s="1" t="s">
        <v>441</v>
      </c>
      <c r="NN307" s="1">
        <v>4</v>
      </c>
      <c r="NS307" s="1">
        <v>5</v>
      </c>
      <c r="NT307" s="1">
        <v>5</v>
      </c>
      <c r="OA307" s="1">
        <v>4</v>
      </c>
      <c r="OB307" s="1">
        <v>4</v>
      </c>
      <c r="OC307" s="1">
        <v>4</v>
      </c>
      <c r="OD307" s="1">
        <v>2</v>
      </c>
      <c r="SB307" s="1" t="s">
        <v>646</v>
      </c>
      <c r="SC307" s="1" t="s">
        <v>3545</v>
      </c>
      <c r="SF307" s="1" t="s">
        <v>1195</v>
      </c>
      <c r="SG307" s="1" t="s">
        <v>3546</v>
      </c>
      <c r="SH307" s="1" t="s">
        <v>438</v>
      </c>
      <c r="SI307" s="1" t="s">
        <v>438</v>
      </c>
      <c r="SK307" s="1" t="s">
        <v>760</v>
      </c>
      <c r="SL307" s="1" t="s">
        <v>500</v>
      </c>
      <c r="SM307" s="1" t="s">
        <v>540</v>
      </c>
      <c r="SN307" s="1" t="s">
        <v>787</v>
      </c>
      <c r="SO307" s="1" t="s">
        <v>928</v>
      </c>
    </row>
    <row r="308" spans="1:509" ht="48" x14ac:dyDescent="0.2">
      <c r="A308" s="1" t="s">
        <v>3547</v>
      </c>
      <c r="B308" s="1">
        <v>8</v>
      </c>
      <c r="C308" s="1">
        <v>3</v>
      </c>
      <c r="D308" s="3">
        <v>46044.850254629629</v>
      </c>
      <c r="E308" s="1">
        <v>5156085</v>
      </c>
      <c r="F308" s="1" t="s">
        <v>428</v>
      </c>
      <c r="H308" s="1" t="s">
        <v>3548</v>
      </c>
      <c r="J308" s="1" t="s">
        <v>3549</v>
      </c>
      <c r="N308" s="1" t="s">
        <v>2559</v>
      </c>
      <c r="O308" s="1" t="s">
        <v>438</v>
      </c>
      <c r="R308" s="1" t="s">
        <v>3549</v>
      </c>
      <c r="S308" s="1" t="s">
        <v>2560</v>
      </c>
      <c r="AB308" s="3">
        <v>46054.580810185187</v>
      </c>
      <c r="AC308" s="3">
        <v>46043.533206018517</v>
      </c>
      <c r="AE308" s="1" t="s">
        <v>3550</v>
      </c>
      <c r="BB308" s="1" t="s">
        <v>3551</v>
      </c>
      <c r="CO308" s="1" t="s">
        <v>435</v>
      </c>
      <c r="CQ308" s="1" t="s">
        <v>432</v>
      </c>
      <c r="CR308" s="1" t="s">
        <v>1056</v>
      </c>
      <c r="CS308" s="1" t="s">
        <v>729</v>
      </c>
      <c r="CT308" s="3">
        <v>46044.849548611113</v>
      </c>
      <c r="CU308" s="1" t="s">
        <v>524</v>
      </c>
      <c r="CV308" s="1" t="s">
        <v>512</v>
      </c>
      <c r="CW308" s="3">
        <v>46054.580717592595</v>
      </c>
      <c r="CX308" s="1" t="s">
        <v>1057</v>
      </c>
      <c r="CY308" s="1" t="s">
        <v>438</v>
      </c>
      <c r="DU308" s="1" t="s">
        <v>3552</v>
      </c>
      <c r="HA308" s="1" t="s">
        <v>3552</v>
      </c>
      <c r="NM308" s="1" t="s">
        <v>441</v>
      </c>
      <c r="NN308" s="1">
        <v>2</v>
      </c>
      <c r="NS308" s="1">
        <v>4</v>
      </c>
      <c r="NT308" s="1">
        <v>4</v>
      </c>
      <c r="OA308" s="1">
        <v>3</v>
      </c>
      <c r="OB308" s="1">
        <v>2</v>
      </c>
      <c r="OC308" s="1">
        <v>3</v>
      </c>
      <c r="OD308" s="1">
        <v>1</v>
      </c>
      <c r="SC308" s="1" t="s">
        <v>1958</v>
      </c>
      <c r="SG308" s="1" t="s">
        <v>2374</v>
      </c>
      <c r="SH308" s="1" t="s">
        <v>438</v>
      </c>
      <c r="SI308" s="1" t="s">
        <v>432</v>
      </c>
      <c r="SK308" s="1" t="s">
        <v>787</v>
      </c>
      <c r="SL308" s="1" t="s">
        <v>540</v>
      </c>
    </row>
    <row r="309" spans="1:509" ht="48" x14ac:dyDescent="0.2">
      <c r="A309" s="1" t="s">
        <v>3553</v>
      </c>
      <c r="B309" s="1">
        <v>10</v>
      </c>
      <c r="C309" s="1">
        <v>5</v>
      </c>
      <c r="D309" s="3">
        <v>46044.820821759262</v>
      </c>
      <c r="E309" s="1">
        <v>5155956</v>
      </c>
      <c r="F309" s="1" t="s">
        <v>428</v>
      </c>
      <c r="H309" s="1" t="s">
        <v>3554</v>
      </c>
      <c r="J309" s="1" t="s">
        <v>3555</v>
      </c>
      <c r="N309" s="1" t="s">
        <v>3556</v>
      </c>
      <c r="O309" s="1" t="s">
        <v>432</v>
      </c>
      <c r="R309" s="1" t="s">
        <v>3555</v>
      </c>
      <c r="S309" s="1" t="s">
        <v>3557</v>
      </c>
      <c r="AB309" s="3">
        <v>46045.325185185182</v>
      </c>
      <c r="AC309" s="3">
        <v>46044.639930555553</v>
      </c>
      <c r="AE309" s="1" t="s">
        <v>3558</v>
      </c>
      <c r="BB309" s="1" t="s">
        <v>3559</v>
      </c>
      <c r="CO309" s="1" t="s">
        <v>435</v>
      </c>
      <c r="CQ309" s="1" t="s">
        <v>432</v>
      </c>
      <c r="CR309" s="1" t="s">
        <v>561</v>
      </c>
      <c r="CS309" s="1" t="s">
        <v>561</v>
      </c>
      <c r="CT309" s="3">
        <v>46044.819675925923</v>
      </c>
      <c r="CU309" s="1" t="s">
        <v>436</v>
      </c>
      <c r="CV309" s="1" t="s">
        <v>512</v>
      </c>
      <c r="CY309" s="1" t="s">
        <v>438</v>
      </c>
      <c r="DP309" s="1" t="s">
        <v>3560</v>
      </c>
      <c r="GZ309" s="1" t="s">
        <v>3560</v>
      </c>
      <c r="NM309" s="1" t="s">
        <v>441</v>
      </c>
      <c r="NN309" s="1">
        <v>5</v>
      </c>
      <c r="NS309" s="1">
        <v>5</v>
      </c>
      <c r="NT309" s="1">
        <v>5</v>
      </c>
      <c r="OA309" s="1">
        <v>5</v>
      </c>
      <c r="OB309" s="1">
        <v>5</v>
      </c>
      <c r="OC309" s="1">
        <v>5</v>
      </c>
      <c r="OD309" s="1">
        <v>5</v>
      </c>
      <c r="SB309" s="1" t="s">
        <v>745</v>
      </c>
      <c r="SC309" s="1" t="s">
        <v>745</v>
      </c>
      <c r="SE309" s="1" t="s">
        <v>633</v>
      </c>
      <c r="SF309" s="1" t="s">
        <v>747</v>
      </c>
      <c r="SG309" s="1" t="s">
        <v>747</v>
      </c>
      <c r="SH309" s="1" t="s">
        <v>432</v>
      </c>
      <c r="SI309" s="1" t="s">
        <v>432</v>
      </c>
      <c r="SK309" s="1" t="s">
        <v>1047</v>
      </c>
    </row>
    <row r="310" spans="1:509" ht="32" x14ac:dyDescent="0.2">
      <c r="A310" s="1" t="s">
        <v>3561</v>
      </c>
      <c r="B310" s="1">
        <v>10</v>
      </c>
      <c r="C310" s="1">
        <v>5</v>
      </c>
      <c r="D310" s="3">
        <v>46044.653287037036</v>
      </c>
      <c r="E310" s="1">
        <v>5155494</v>
      </c>
      <c r="F310" s="1" t="s">
        <v>428</v>
      </c>
      <c r="H310" s="1" t="s">
        <v>3562</v>
      </c>
      <c r="J310" s="1" t="s">
        <v>3563</v>
      </c>
      <c r="N310" s="1" t="s">
        <v>2997</v>
      </c>
      <c r="O310" s="1" t="s">
        <v>432</v>
      </c>
      <c r="R310" s="1" t="s">
        <v>3563</v>
      </c>
      <c r="S310" s="1" t="s">
        <v>2998</v>
      </c>
      <c r="AB310" s="3">
        <v>46045.352546296293</v>
      </c>
      <c r="AC310" s="3">
        <v>46044.531678240739</v>
      </c>
      <c r="AE310" s="1" t="s">
        <v>3564</v>
      </c>
      <c r="BB310" s="1" t="s">
        <v>3565</v>
      </c>
      <c r="CO310" s="1" t="s">
        <v>435</v>
      </c>
      <c r="CQ310" s="1" t="s">
        <v>432</v>
      </c>
      <c r="CR310" s="1" t="s">
        <v>511</v>
      </c>
      <c r="CS310" s="1" t="s">
        <v>511</v>
      </c>
      <c r="CT310" s="3">
        <v>46044.652881944443</v>
      </c>
      <c r="CU310" s="1" t="s">
        <v>436</v>
      </c>
      <c r="CV310" s="1" t="s">
        <v>512</v>
      </c>
      <c r="CY310" s="1" t="s">
        <v>438</v>
      </c>
      <c r="DP310" s="1" t="s">
        <v>3566</v>
      </c>
      <c r="DU310" s="1" t="s">
        <v>3567</v>
      </c>
      <c r="GZ310" s="1" t="s">
        <v>3566</v>
      </c>
      <c r="HA310" s="1" t="s">
        <v>3567</v>
      </c>
      <c r="NM310" s="1" t="s">
        <v>441</v>
      </c>
      <c r="NN310" s="1">
        <v>5</v>
      </c>
      <c r="NS310" s="1">
        <v>5</v>
      </c>
      <c r="NT310" s="1">
        <v>5</v>
      </c>
      <c r="OA310" s="1">
        <v>5</v>
      </c>
      <c r="OB310" s="1">
        <v>5</v>
      </c>
      <c r="OC310" s="1">
        <v>5</v>
      </c>
      <c r="OD310" s="1" t="s">
        <v>442</v>
      </c>
      <c r="SC310" s="1" t="s">
        <v>2651</v>
      </c>
      <c r="SG310" s="1" t="s">
        <v>2653</v>
      </c>
      <c r="SH310" s="1" t="s">
        <v>438</v>
      </c>
      <c r="SI310" s="1" t="s">
        <v>438</v>
      </c>
      <c r="SK310" s="1" t="s">
        <v>445</v>
      </c>
      <c r="SL310" s="1" t="s">
        <v>1126</v>
      </c>
    </row>
    <row r="311" spans="1:509" ht="32" x14ac:dyDescent="0.2">
      <c r="A311" s="1" t="s">
        <v>3568</v>
      </c>
      <c r="B311" s="1">
        <v>10</v>
      </c>
      <c r="C311" s="1">
        <v>5</v>
      </c>
      <c r="D311" s="3">
        <v>46044.604664351849</v>
      </c>
      <c r="E311" s="1">
        <v>5155306</v>
      </c>
      <c r="F311" s="1" t="s">
        <v>428</v>
      </c>
      <c r="H311" s="1" t="s">
        <v>3569</v>
      </c>
      <c r="J311" s="1" t="s">
        <v>3570</v>
      </c>
      <c r="O311" s="1" t="s">
        <v>432</v>
      </c>
      <c r="R311" s="1" t="s">
        <v>3570</v>
      </c>
      <c r="AB311" s="3">
        <v>46045.382743055554</v>
      </c>
      <c r="AC311" s="3">
        <v>46043.533148148148</v>
      </c>
      <c r="AE311" s="1" t="s">
        <v>3571</v>
      </c>
      <c r="BB311" s="1" t="s">
        <v>3572</v>
      </c>
      <c r="CO311" s="1" t="s">
        <v>435</v>
      </c>
      <c r="CQ311" s="1" t="s">
        <v>432</v>
      </c>
      <c r="CR311" s="1" t="s">
        <v>495</v>
      </c>
      <c r="CS311" s="1" t="s">
        <v>495</v>
      </c>
      <c r="CT311" s="3">
        <v>46044.604525462964</v>
      </c>
      <c r="CU311" s="1" t="s">
        <v>436</v>
      </c>
      <c r="CV311" s="1" t="s">
        <v>512</v>
      </c>
      <c r="CY311" s="1" t="s">
        <v>438</v>
      </c>
      <c r="DP311" s="1" t="s">
        <v>3573</v>
      </c>
      <c r="DU311" s="1" t="s">
        <v>3574</v>
      </c>
      <c r="GZ311" s="1" t="s">
        <v>3573</v>
      </c>
      <c r="HA311" s="1" t="s">
        <v>3574</v>
      </c>
      <c r="NM311" s="1" t="s">
        <v>441</v>
      </c>
      <c r="NN311" s="1">
        <v>4</v>
      </c>
      <c r="NS311" s="1">
        <v>4</v>
      </c>
      <c r="NT311" s="1">
        <v>5</v>
      </c>
      <c r="OA311" s="1">
        <v>5</v>
      </c>
      <c r="OB311" s="1">
        <v>5</v>
      </c>
      <c r="OC311" s="1">
        <v>5</v>
      </c>
      <c r="OD311" s="1">
        <v>4</v>
      </c>
      <c r="SB311" s="1" t="s">
        <v>615</v>
      </c>
      <c r="SC311" s="1" t="s">
        <v>646</v>
      </c>
      <c r="SF311" s="1" t="s">
        <v>844</v>
      </c>
      <c r="SG311" s="1" t="s">
        <v>3092</v>
      </c>
      <c r="SH311" s="1" t="s">
        <v>438</v>
      </c>
      <c r="SI311" s="1" t="s">
        <v>432</v>
      </c>
      <c r="SK311" s="1" t="s">
        <v>500</v>
      </c>
      <c r="SL311" s="1" t="s">
        <v>2947</v>
      </c>
    </row>
    <row r="312" spans="1:509" ht="64" x14ac:dyDescent="0.2">
      <c r="A312" s="1" t="s">
        <v>3575</v>
      </c>
      <c r="B312" s="1">
        <v>10</v>
      </c>
      <c r="C312" s="1">
        <v>5</v>
      </c>
      <c r="D312" s="3">
        <v>46044.522719907407</v>
      </c>
      <c r="E312" s="1">
        <v>5155024</v>
      </c>
      <c r="F312" s="1" t="s">
        <v>428</v>
      </c>
      <c r="H312" s="1" t="s">
        <v>3576</v>
      </c>
      <c r="J312" s="1" t="s">
        <v>3577</v>
      </c>
      <c r="N312" s="1" t="s">
        <v>724</v>
      </c>
      <c r="O312" s="1" t="s">
        <v>432</v>
      </c>
      <c r="R312" s="1" t="s">
        <v>3577</v>
      </c>
      <c r="S312" s="1" t="s">
        <v>725</v>
      </c>
      <c r="AB312" s="3">
        <v>46044.61959490741</v>
      </c>
      <c r="AC312" s="3">
        <v>46044.533460648148</v>
      </c>
      <c r="AE312" s="1" t="s">
        <v>3578</v>
      </c>
      <c r="BB312" s="1" t="s">
        <v>3579</v>
      </c>
      <c r="CO312" s="1" t="s">
        <v>435</v>
      </c>
      <c r="CQ312" s="1" t="s">
        <v>432</v>
      </c>
      <c r="CR312" s="1" t="s">
        <v>495</v>
      </c>
      <c r="CS312" s="1" t="s">
        <v>495</v>
      </c>
      <c r="CT312" s="3">
        <v>46044.521365740744</v>
      </c>
      <c r="CU312" s="1" t="s">
        <v>436</v>
      </c>
      <c r="CV312" s="1" t="s">
        <v>512</v>
      </c>
      <c r="CY312" s="1" t="s">
        <v>438</v>
      </c>
      <c r="DP312" s="1" t="s">
        <v>3580</v>
      </c>
      <c r="DU312" s="1" t="s">
        <v>2431</v>
      </c>
      <c r="GZ312" s="1" t="s">
        <v>3580</v>
      </c>
      <c r="HA312" s="1" t="s">
        <v>2431</v>
      </c>
      <c r="NM312" s="1" t="s">
        <v>441</v>
      </c>
      <c r="NN312" s="1">
        <v>5</v>
      </c>
      <c r="NS312" s="1">
        <v>5</v>
      </c>
      <c r="NT312" s="1">
        <v>5</v>
      </c>
      <c r="OA312" s="1">
        <v>5</v>
      </c>
      <c r="OB312" s="1">
        <v>5</v>
      </c>
      <c r="OC312" s="1">
        <v>5</v>
      </c>
      <c r="OD312" s="1">
        <v>5</v>
      </c>
      <c r="SB312" s="1" t="s">
        <v>1344</v>
      </c>
      <c r="SC312" s="1" t="s">
        <v>1345</v>
      </c>
      <c r="SE312" s="1" t="s">
        <v>633</v>
      </c>
      <c r="SF312" s="1" t="s">
        <v>1346</v>
      </c>
      <c r="SG312" s="1" t="s">
        <v>1347</v>
      </c>
      <c r="SH312" s="1" t="s">
        <v>438</v>
      </c>
      <c r="SI312" s="1" t="s">
        <v>432</v>
      </c>
      <c r="SK312" s="1" t="s">
        <v>919</v>
      </c>
      <c r="SL312" s="1" t="s">
        <v>854</v>
      </c>
      <c r="SM312" s="1" t="s">
        <v>568</v>
      </c>
    </row>
    <row r="313" spans="1:509" ht="48" x14ac:dyDescent="0.2">
      <c r="A313" s="1" t="s">
        <v>3581</v>
      </c>
      <c r="B313" s="1">
        <v>10</v>
      </c>
      <c r="C313" s="1">
        <v>5</v>
      </c>
      <c r="D313" s="3">
        <v>46044.503796296296</v>
      </c>
      <c r="E313" s="1">
        <v>5154957</v>
      </c>
      <c r="F313" s="1" t="s">
        <v>428</v>
      </c>
      <c r="H313" s="1" t="s">
        <v>3582</v>
      </c>
      <c r="J313" s="1" t="s">
        <v>3583</v>
      </c>
      <c r="O313" s="1" t="s">
        <v>432</v>
      </c>
      <c r="R313" s="1" t="s">
        <v>3583</v>
      </c>
      <c r="AB313" s="3">
        <v>46044.618576388886</v>
      </c>
      <c r="AC313" s="3">
        <v>46044.532685185186</v>
      </c>
      <c r="AE313" s="1" t="s">
        <v>3584</v>
      </c>
      <c r="BB313" s="1" t="s">
        <v>3585</v>
      </c>
      <c r="CO313" s="1" t="s">
        <v>435</v>
      </c>
      <c r="CQ313" s="1" t="s">
        <v>432</v>
      </c>
      <c r="CR313" s="1" t="s">
        <v>495</v>
      </c>
      <c r="CS313" s="1" t="s">
        <v>495</v>
      </c>
      <c r="CT313" s="3">
        <v>46044.504131944443</v>
      </c>
      <c r="CU313" s="1" t="s">
        <v>436</v>
      </c>
      <c r="CV313" s="1" t="s">
        <v>512</v>
      </c>
      <c r="CY313" s="1" t="s">
        <v>438</v>
      </c>
      <c r="DP313" s="1" t="s">
        <v>3586</v>
      </c>
      <c r="DU313" s="1" t="s">
        <v>3587</v>
      </c>
      <c r="GZ313" s="1" t="s">
        <v>3586</v>
      </c>
      <c r="HA313" s="1" t="s">
        <v>3587</v>
      </c>
      <c r="NM313" s="1" t="s">
        <v>441</v>
      </c>
      <c r="NN313" s="1">
        <v>5</v>
      </c>
      <c r="NS313" s="1">
        <v>5</v>
      </c>
      <c r="NT313" s="1">
        <v>5</v>
      </c>
      <c r="OA313" s="1">
        <v>5</v>
      </c>
      <c r="OB313" s="1">
        <v>5</v>
      </c>
      <c r="OC313" s="1">
        <v>5</v>
      </c>
      <c r="OD313" s="1">
        <v>4</v>
      </c>
      <c r="SC313" s="1" t="s">
        <v>773</v>
      </c>
      <c r="SG313" s="1" t="s">
        <v>786</v>
      </c>
      <c r="SH313" s="1" t="s">
        <v>438</v>
      </c>
      <c r="SI313" s="1" t="s">
        <v>432</v>
      </c>
      <c r="SK313" s="1" t="s">
        <v>445</v>
      </c>
      <c r="SL313" s="1" t="s">
        <v>2141</v>
      </c>
    </row>
    <row r="314" spans="1:509" ht="80" x14ac:dyDescent="0.2">
      <c r="A314" s="1" t="s">
        <v>3588</v>
      </c>
      <c r="B314" s="1">
        <v>10</v>
      </c>
      <c r="C314" s="1">
        <v>5</v>
      </c>
      <c r="D314" s="3">
        <v>46044.439791666664</v>
      </c>
      <c r="E314" s="1">
        <v>5154708</v>
      </c>
      <c r="F314" s="1" t="s">
        <v>428</v>
      </c>
      <c r="H314" s="1" t="s">
        <v>3589</v>
      </c>
      <c r="J314" s="1" t="s">
        <v>3590</v>
      </c>
      <c r="O314" s="1" t="s">
        <v>432</v>
      </c>
      <c r="R314" s="1" t="s">
        <v>3590</v>
      </c>
      <c r="AB314" s="3">
        <v>46045.324756944443</v>
      </c>
      <c r="AC314" s="3">
        <v>46044.532893518517</v>
      </c>
      <c r="AE314" s="1" t="s">
        <v>3591</v>
      </c>
      <c r="BB314" s="1" t="s">
        <v>3592</v>
      </c>
      <c r="CO314" s="1" t="s">
        <v>435</v>
      </c>
      <c r="CQ314" s="1" t="s">
        <v>432</v>
      </c>
      <c r="CR314" s="1" t="s">
        <v>852</v>
      </c>
      <c r="CS314" s="1" t="s">
        <v>852</v>
      </c>
      <c r="CT314" s="3">
        <v>46044.438946759263</v>
      </c>
      <c r="CU314" s="1" t="s">
        <v>436</v>
      </c>
      <c r="CV314" s="1" t="s">
        <v>512</v>
      </c>
      <c r="CY314" s="1" t="s">
        <v>438</v>
      </c>
      <c r="DP314" s="1" t="s">
        <v>3593</v>
      </c>
      <c r="DU314" s="1" t="s">
        <v>3594</v>
      </c>
      <c r="GZ314" s="1" t="s">
        <v>3593</v>
      </c>
      <c r="HA314" s="1" t="s">
        <v>3594</v>
      </c>
      <c r="NM314" s="1" t="s">
        <v>441</v>
      </c>
      <c r="NN314" s="1">
        <v>5</v>
      </c>
      <c r="NS314" s="1">
        <v>5</v>
      </c>
      <c r="NT314" s="1">
        <v>5</v>
      </c>
      <c r="OA314" s="1">
        <v>5</v>
      </c>
      <c r="OB314" s="1">
        <v>5</v>
      </c>
      <c r="OC314" s="1">
        <v>5</v>
      </c>
      <c r="OD314" s="1">
        <v>5</v>
      </c>
      <c r="SB314" s="1" t="s">
        <v>2521</v>
      </c>
      <c r="SC314" s="1" t="s">
        <v>1332</v>
      </c>
      <c r="SF314" s="1" t="s">
        <v>3595</v>
      </c>
      <c r="SG314" s="1" t="s">
        <v>3596</v>
      </c>
      <c r="SH314" s="1" t="s">
        <v>438</v>
      </c>
      <c r="SI314" s="1" t="s">
        <v>438</v>
      </c>
      <c r="SK314" s="1" t="s">
        <v>672</v>
      </c>
      <c r="SL314" s="1" t="s">
        <v>3597</v>
      </c>
      <c r="SM314" s="1" t="s">
        <v>799</v>
      </c>
    </row>
    <row r="315" spans="1:509" ht="48" x14ac:dyDescent="0.2">
      <c r="A315" s="1" t="s">
        <v>3598</v>
      </c>
      <c r="B315" s="1">
        <v>10</v>
      </c>
      <c r="C315" s="1">
        <v>5</v>
      </c>
      <c r="D315" s="3">
        <v>46044.414907407408</v>
      </c>
      <c r="E315" s="1">
        <v>5154576</v>
      </c>
      <c r="F315" s="1" t="s">
        <v>428</v>
      </c>
      <c r="H315" s="1" t="s">
        <v>3599</v>
      </c>
      <c r="J315" s="1" t="s">
        <v>3600</v>
      </c>
      <c r="O315" s="1" t="s">
        <v>432</v>
      </c>
      <c r="R315" s="1" t="s">
        <v>3600</v>
      </c>
      <c r="AB315" s="3">
        <v>46044.66878472222</v>
      </c>
      <c r="AC315" s="3">
        <v>46044.531701388885</v>
      </c>
      <c r="AE315" s="1" t="s">
        <v>3601</v>
      </c>
      <c r="BB315" s="1" t="s">
        <v>3602</v>
      </c>
      <c r="CO315" s="1" t="s">
        <v>435</v>
      </c>
      <c r="CQ315" s="1" t="s">
        <v>432</v>
      </c>
      <c r="CR315" s="1" t="s">
        <v>691</v>
      </c>
      <c r="CS315" s="1" t="s">
        <v>691</v>
      </c>
      <c r="CT315" s="3">
        <v>46044.414965277778</v>
      </c>
      <c r="CU315" s="1" t="s">
        <v>436</v>
      </c>
      <c r="CV315" s="1" t="s">
        <v>512</v>
      </c>
      <c r="CY315" s="1" t="s">
        <v>438</v>
      </c>
      <c r="DP315" s="1" t="s">
        <v>3603</v>
      </c>
      <c r="GZ315" s="1" t="s">
        <v>3603</v>
      </c>
      <c r="NM315" s="1" t="s">
        <v>441</v>
      </c>
      <c r="NN315" s="1">
        <v>5</v>
      </c>
      <c r="NS315" s="1">
        <v>5</v>
      </c>
      <c r="NT315" s="1">
        <v>5</v>
      </c>
      <c r="OA315" s="1">
        <v>5</v>
      </c>
      <c r="OB315" s="1">
        <v>5</v>
      </c>
      <c r="OC315" s="1">
        <v>5</v>
      </c>
      <c r="OD315" s="1">
        <v>5</v>
      </c>
      <c r="SC315" s="1" t="s">
        <v>758</v>
      </c>
      <c r="SG315" s="1" t="s">
        <v>1719</v>
      </c>
      <c r="SH315" s="1" t="s">
        <v>438</v>
      </c>
      <c r="SI315" s="1" t="s">
        <v>432</v>
      </c>
      <c r="SK315" s="1" t="s">
        <v>486</v>
      </c>
    </row>
    <row r="316" spans="1:509" ht="32" x14ac:dyDescent="0.2">
      <c r="A316" s="1" t="s">
        <v>3604</v>
      </c>
      <c r="B316" s="1">
        <v>10</v>
      </c>
      <c r="C316" s="1">
        <v>5</v>
      </c>
      <c r="D316" s="3">
        <v>46044.38181712963</v>
      </c>
      <c r="E316" s="1">
        <v>5154283</v>
      </c>
      <c r="F316" s="1" t="s">
        <v>428</v>
      </c>
      <c r="H316" s="1" t="s">
        <v>3605</v>
      </c>
      <c r="J316" s="1" t="s">
        <v>3606</v>
      </c>
      <c r="N316" s="1" t="s">
        <v>3607</v>
      </c>
      <c r="O316" s="1" t="s">
        <v>432</v>
      </c>
      <c r="R316" s="1" t="s">
        <v>3606</v>
      </c>
      <c r="S316" s="1" t="s">
        <v>3608</v>
      </c>
      <c r="AB316" s="3">
        <v>46044.410590277781</v>
      </c>
      <c r="AC316" s="3">
        <v>46038.537638888891</v>
      </c>
      <c r="AE316" s="1" t="s">
        <v>3609</v>
      </c>
      <c r="BB316" s="1" t="s">
        <v>3610</v>
      </c>
      <c r="CO316" s="1" t="s">
        <v>435</v>
      </c>
      <c r="CQ316" s="1" t="s">
        <v>432</v>
      </c>
      <c r="CR316" s="1" t="s">
        <v>495</v>
      </c>
      <c r="CS316" s="1" t="s">
        <v>495</v>
      </c>
      <c r="CT316" s="3">
        <v>46044.381874999999</v>
      </c>
      <c r="CU316" s="1" t="s">
        <v>436</v>
      </c>
      <c r="CV316" s="1" t="s">
        <v>512</v>
      </c>
      <c r="CY316" s="1" t="s">
        <v>438</v>
      </c>
      <c r="DP316" s="1" t="s">
        <v>3611</v>
      </c>
      <c r="DU316" s="1" t="s">
        <v>3612</v>
      </c>
      <c r="GZ316" s="1" t="s">
        <v>3611</v>
      </c>
      <c r="HA316" s="1" t="s">
        <v>3612</v>
      </c>
      <c r="NM316" s="1" t="s">
        <v>441</v>
      </c>
      <c r="NN316" s="1">
        <v>5</v>
      </c>
      <c r="NS316" s="1">
        <v>5</v>
      </c>
      <c r="NT316" s="1">
        <v>5</v>
      </c>
      <c r="OA316" s="1">
        <v>5</v>
      </c>
      <c r="OB316" s="1">
        <v>5</v>
      </c>
      <c r="OC316" s="1">
        <v>5</v>
      </c>
      <c r="OD316" s="1">
        <v>5</v>
      </c>
      <c r="SC316" s="1" t="s">
        <v>443</v>
      </c>
      <c r="SG316" s="1" t="s">
        <v>444</v>
      </c>
      <c r="SH316" s="1" t="s">
        <v>438</v>
      </c>
      <c r="SI316" s="1" t="s">
        <v>432</v>
      </c>
      <c r="SK316" s="1" t="s">
        <v>854</v>
      </c>
    </row>
    <row r="317" spans="1:509" ht="48" x14ac:dyDescent="0.2">
      <c r="A317" s="1" t="s">
        <v>3613</v>
      </c>
      <c r="B317" s="1">
        <v>6</v>
      </c>
      <c r="C317" s="1">
        <v>5</v>
      </c>
      <c r="D317" s="3">
        <v>46043.950960648152</v>
      </c>
      <c r="E317" s="1">
        <v>5153859</v>
      </c>
      <c r="F317" s="1" t="s">
        <v>428</v>
      </c>
      <c r="H317" s="1" t="s">
        <v>3614</v>
      </c>
      <c r="J317" s="1" t="s">
        <v>3615</v>
      </c>
      <c r="N317" s="1" t="s">
        <v>1140</v>
      </c>
      <c r="O317" s="1" t="s">
        <v>432</v>
      </c>
      <c r="R317" s="1" t="s">
        <v>3615</v>
      </c>
      <c r="S317" s="1" t="s">
        <v>1141</v>
      </c>
      <c r="AB317" s="3">
        <v>46054.522523148145</v>
      </c>
      <c r="AC317" s="3">
        <v>46043.533252314817</v>
      </c>
      <c r="AE317" s="1" t="s">
        <v>3616</v>
      </c>
      <c r="BB317" s="1" t="s">
        <v>3617</v>
      </c>
      <c r="CO317" s="1" t="s">
        <v>435</v>
      </c>
      <c r="CQ317" s="1" t="s">
        <v>432</v>
      </c>
      <c r="CR317" s="1" t="s">
        <v>3618</v>
      </c>
      <c r="CS317" s="1" t="s">
        <v>729</v>
      </c>
      <c r="CT317" s="3">
        <v>46043.949895833335</v>
      </c>
      <c r="CU317" s="1" t="s">
        <v>1206</v>
      </c>
      <c r="CV317" s="1" t="s">
        <v>512</v>
      </c>
      <c r="CW317" s="3">
        <v>46054.522476851853</v>
      </c>
      <c r="CX317" s="1" t="s">
        <v>1057</v>
      </c>
      <c r="CY317" s="1" t="s">
        <v>438</v>
      </c>
      <c r="DP317" s="1" t="s">
        <v>3619</v>
      </c>
      <c r="DU317" s="1" t="s">
        <v>3620</v>
      </c>
      <c r="GZ317" s="1" t="s">
        <v>3619</v>
      </c>
      <c r="HA317" s="1" t="s">
        <v>3620</v>
      </c>
      <c r="NM317" s="1" t="s">
        <v>441</v>
      </c>
      <c r="NN317" s="1">
        <v>5</v>
      </c>
      <c r="NS317" s="1">
        <v>5</v>
      </c>
      <c r="NT317" s="1">
        <v>5</v>
      </c>
      <c r="OA317" s="1">
        <v>5</v>
      </c>
      <c r="OB317" s="1">
        <v>3</v>
      </c>
      <c r="OC317" s="1">
        <v>5</v>
      </c>
      <c r="OD317" s="1">
        <v>4</v>
      </c>
      <c r="SB317" s="1" t="s">
        <v>1510</v>
      </c>
      <c r="SC317" s="1" t="s">
        <v>3621</v>
      </c>
      <c r="SF317" s="1" t="s">
        <v>3622</v>
      </c>
      <c r="SG317" s="1" t="s">
        <v>3623</v>
      </c>
      <c r="SH317" s="1" t="s">
        <v>438</v>
      </c>
      <c r="SI317" s="1" t="s">
        <v>432</v>
      </c>
      <c r="SK317" s="1" t="s">
        <v>1126</v>
      </c>
      <c r="SL317" s="1" t="s">
        <v>672</v>
      </c>
      <c r="SM317" s="1" t="s">
        <v>540</v>
      </c>
    </row>
    <row r="318" spans="1:509" ht="64" x14ac:dyDescent="0.2">
      <c r="A318" s="1" t="s">
        <v>3624</v>
      </c>
      <c r="B318" s="1">
        <v>10</v>
      </c>
      <c r="C318" s="1">
        <v>5</v>
      </c>
      <c r="D318" s="3">
        <v>46043.899409722224</v>
      </c>
      <c r="E318" s="1">
        <v>5153774</v>
      </c>
      <c r="F318" s="1" t="s">
        <v>428</v>
      </c>
      <c r="H318" s="1" t="s">
        <v>3625</v>
      </c>
      <c r="J318" s="1" t="s">
        <v>3626</v>
      </c>
      <c r="O318" s="1" t="s">
        <v>432</v>
      </c>
      <c r="R318" s="1" t="s">
        <v>3626</v>
      </c>
      <c r="AB318" s="3">
        <v>46044.434641203705</v>
      </c>
      <c r="AC318" s="3">
        <v>46042.534236111111</v>
      </c>
      <c r="AE318" s="1" t="s">
        <v>3627</v>
      </c>
      <c r="BB318" s="1" t="s">
        <v>3628</v>
      </c>
      <c r="CO318" s="1" t="s">
        <v>435</v>
      </c>
      <c r="CQ318" s="1" t="s">
        <v>432</v>
      </c>
      <c r="CR318" s="1" t="s">
        <v>534</v>
      </c>
      <c r="CS318" s="1" t="s">
        <v>534</v>
      </c>
      <c r="CT318" s="3">
        <v>46043.89738425926</v>
      </c>
      <c r="CU318" s="1" t="s">
        <v>436</v>
      </c>
      <c r="CV318" s="1" t="s">
        <v>512</v>
      </c>
      <c r="CY318" s="1" t="s">
        <v>438</v>
      </c>
      <c r="DP318" s="1" t="s">
        <v>3629</v>
      </c>
      <c r="DU318" s="1" t="s">
        <v>3630</v>
      </c>
      <c r="GZ318" s="1" t="s">
        <v>3629</v>
      </c>
      <c r="HA318" s="1" t="s">
        <v>3630</v>
      </c>
      <c r="NM318" s="1" t="s">
        <v>441</v>
      </c>
      <c r="NN318" s="1">
        <v>4</v>
      </c>
      <c r="NS318" s="1">
        <v>5</v>
      </c>
      <c r="NT318" s="1">
        <v>5</v>
      </c>
      <c r="OA318" s="1">
        <v>5</v>
      </c>
      <c r="OB318" s="1">
        <v>5</v>
      </c>
      <c r="OC318" s="1">
        <v>5</v>
      </c>
      <c r="OD318" s="1">
        <v>5</v>
      </c>
      <c r="SB318" s="1" t="s">
        <v>443</v>
      </c>
      <c r="SC318" s="1" t="s">
        <v>3631</v>
      </c>
      <c r="SF318" s="1" t="s">
        <v>444</v>
      </c>
      <c r="SG318" s="1" t="s">
        <v>3632</v>
      </c>
      <c r="SH318" s="1" t="s">
        <v>438</v>
      </c>
      <c r="SI318" s="1" t="s">
        <v>432</v>
      </c>
      <c r="SK318" s="1" t="s">
        <v>568</v>
      </c>
      <c r="SL318" s="1" t="s">
        <v>486</v>
      </c>
    </row>
    <row r="319" spans="1:509" ht="80" x14ac:dyDescent="0.2">
      <c r="A319" s="1" t="s">
        <v>3633</v>
      </c>
      <c r="B319" s="1">
        <v>10</v>
      </c>
      <c r="C319" s="1">
        <v>5</v>
      </c>
      <c r="D319" s="3">
        <v>46043.859375</v>
      </c>
      <c r="E319" s="1">
        <v>5153624</v>
      </c>
      <c r="F319" s="1" t="s">
        <v>428</v>
      </c>
      <c r="H319" s="1" t="s">
        <v>3634</v>
      </c>
      <c r="J319" s="1" t="s">
        <v>3635</v>
      </c>
      <c r="N319" s="1" t="s">
        <v>2621</v>
      </c>
      <c r="O319" s="1" t="s">
        <v>438</v>
      </c>
      <c r="R319" s="1" t="s">
        <v>3635</v>
      </c>
      <c r="S319" s="1" t="s">
        <v>2622</v>
      </c>
      <c r="AB319" s="3">
        <v>46044.446215277778</v>
      </c>
      <c r="AC319" s="3">
        <v>46043.533518518518</v>
      </c>
      <c r="AE319" s="1" t="s">
        <v>3636</v>
      </c>
      <c r="BB319" s="1" t="s">
        <v>3637</v>
      </c>
      <c r="CO319" s="1" t="s">
        <v>435</v>
      </c>
      <c r="CQ319" s="1" t="s">
        <v>432</v>
      </c>
      <c r="CR319" s="1" t="s">
        <v>549</v>
      </c>
      <c r="CS319" s="1" t="s">
        <v>549</v>
      </c>
      <c r="CT319" s="3">
        <v>46043.856400462966</v>
      </c>
      <c r="CU319" s="1" t="s">
        <v>436</v>
      </c>
      <c r="CV319" s="1" t="s">
        <v>512</v>
      </c>
      <c r="CY319" s="1" t="s">
        <v>438</v>
      </c>
      <c r="DP319" s="1" t="s">
        <v>3638</v>
      </c>
      <c r="DU319" s="1" t="s">
        <v>3639</v>
      </c>
      <c r="GZ319" s="1" t="s">
        <v>3638</v>
      </c>
      <c r="HA319" s="1" t="s">
        <v>3639</v>
      </c>
      <c r="NM319" s="1" t="s">
        <v>441</v>
      </c>
      <c r="NN319" s="1">
        <v>4</v>
      </c>
      <c r="NS319" s="1">
        <v>4</v>
      </c>
      <c r="NT319" s="1">
        <v>5</v>
      </c>
      <c r="OA319" s="1">
        <v>5</v>
      </c>
      <c r="OB319" s="1">
        <v>5</v>
      </c>
      <c r="OC319" s="1">
        <v>5</v>
      </c>
      <c r="OD319" s="1">
        <v>4</v>
      </c>
      <c r="SB319" s="1" t="s">
        <v>3640</v>
      </c>
      <c r="SC319" s="1" t="s">
        <v>3641</v>
      </c>
      <c r="SF319" s="1" t="s">
        <v>3642</v>
      </c>
      <c r="SG319" s="1" t="s">
        <v>3643</v>
      </c>
      <c r="SH319" s="1" t="s">
        <v>438</v>
      </c>
      <c r="SI319" s="1" t="s">
        <v>432</v>
      </c>
      <c r="SK319" s="1" t="s">
        <v>672</v>
      </c>
      <c r="SL319" s="1" t="s">
        <v>928</v>
      </c>
    </row>
    <row r="320" spans="1:509" ht="32" x14ac:dyDescent="0.2">
      <c r="A320" s="1" t="s">
        <v>3644</v>
      </c>
      <c r="B320" s="1">
        <v>10</v>
      </c>
      <c r="C320" s="1">
        <v>5</v>
      </c>
      <c r="D320" s="3">
        <v>46043.771249999998</v>
      </c>
      <c r="E320" s="1">
        <v>5153309</v>
      </c>
      <c r="F320" s="1" t="s">
        <v>428</v>
      </c>
      <c r="H320" s="1" t="s">
        <v>3645</v>
      </c>
      <c r="J320" s="1" t="s">
        <v>3646</v>
      </c>
      <c r="N320" s="1" t="s">
        <v>3647</v>
      </c>
      <c r="O320" s="1" t="s">
        <v>432</v>
      </c>
      <c r="R320" s="1" t="s">
        <v>3646</v>
      </c>
      <c r="S320" s="1" t="s">
        <v>3648</v>
      </c>
      <c r="AB320" s="3">
        <v>46044.416180555556</v>
      </c>
      <c r="AC320" s="3">
        <v>46043.639224537037</v>
      </c>
      <c r="AE320" s="1" t="s">
        <v>3649</v>
      </c>
      <c r="BB320" s="1" t="s">
        <v>3650</v>
      </c>
      <c r="CO320" s="1" t="s">
        <v>435</v>
      </c>
      <c r="CQ320" s="1" t="s">
        <v>432</v>
      </c>
      <c r="CR320" s="1" t="s">
        <v>852</v>
      </c>
      <c r="CS320" s="1" t="s">
        <v>852</v>
      </c>
      <c r="CT320" s="3">
        <v>46043.771134259259</v>
      </c>
      <c r="CU320" s="1" t="s">
        <v>436</v>
      </c>
      <c r="CV320" s="1" t="s">
        <v>512</v>
      </c>
      <c r="CY320" s="1" t="s">
        <v>438</v>
      </c>
      <c r="DP320" s="1" t="s">
        <v>3651</v>
      </c>
      <c r="GZ320" s="1" t="s">
        <v>3651</v>
      </c>
      <c r="NM320" s="1" t="s">
        <v>441</v>
      </c>
      <c r="NN320" s="1">
        <v>5</v>
      </c>
      <c r="NS320" s="1">
        <v>5</v>
      </c>
      <c r="NT320" s="1">
        <v>5</v>
      </c>
      <c r="OA320" s="1">
        <v>5</v>
      </c>
      <c r="OB320" s="1">
        <v>5</v>
      </c>
      <c r="OC320" s="1">
        <v>5</v>
      </c>
      <c r="OD320" s="1">
        <v>5</v>
      </c>
      <c r="SB320" s="1" t="s">
        <v>3652</v>
      </c>
      <c r="SC320" s="1" t="s">
        <v>3653</v>
      </c>
      <c r="SF320" s="1" t="s">
        <v>3654</v>
      </c>
      <c r="SG320" s="1" t="s">
        <v>3655</v>
      </c>
      <c r="SH320" s="1" t="s">
        <v>438</v>
      </c>
      <c r="SI320" s="1" t="s">
        <v>438</v>
      </c>
      <c r="SK320" s="1" t="s">
        <v>486</v>
      </c>
    </row>
    <row r="321" spans="1:507" ht="48" x14ac:dyDescent="0.2">
      <c r="A321" s="1" t="s">
        <v>3656</v>
      </c>
      <c r="B321" s="1">
        <v>10</v>
      </c>
      <c r="C321" s="1">
        <v>5</v>
      </c>
      <c r="D321" s="3">
        <v>46043.770196759258</v>
      </c>
      <c r="E321" s="1">
        <v>5153306</v>
      </c>
      <c r="F321" s="1" t="s">
        <v>428</v>
      </c>
      <c r="H321" s="1" t="s">
        <v>3657</v>
      </c>
      <c r="J321" s="1" t="s">
        <v>3658</v>
      </c>
      <c r="N321" s="1" t="s">
        <v>2987</v>
      </c>
      <c r="O321" s="1" t="s">
        <v>432</v>
      </c>
      <c r="R321" s="1" t="s">
        <v>3658</v>
      </c>
      <c r="S321" s="1" t="s">
        <v>2988</v>
      </c>
      <c r="AB321" s="3">
        <v>46044.415925925925</v>
      </c>
      <c r="AC321" s="3">
        <v>46043.531331018516</v>
      </c>
      <c r="AE321" s="1" t="s">
        <v>3659</v>
      </c>
      <c r="BB321" s="1" t="s">
        <v>3660</v>
      </c>
      <c r="CO321" s="1" t="s">
        <v>435</v>
      </c>
      <c r="CQ321" s="1" t="s">
        <v>432</v>
      </c>
      <c r="CR321" s="1" t="s">
        <v>852</v>
      </c>
      <c r="CS321" s="1" t="s">
        <v>852</v>
      </c>
      <c r="CT321" s="3">
        <v>46043.770162037035</v>
      </c>
      <c r="CU321" s="1" t="s">
        <v>436</v>
      </c>
      <c r="CV321" s="1" t="s">
        <v>512</v>
      </c>
      <c r="CY321" s="1" t="s">
        <v>438</v>
      </c>
      <c r="DP321" s="1" t="s">
        <v>3661</v>
      </c>
      <c r="DU321" s="1" t="s">
        <v>3662</v>
      </c>
      <c r="GZ321" s="1" t="s">
        <v>3661</v>
      </c>
      <c r="HA321" s="1" t="s">
        <v>3662</v>
      </c>
      <c r="NM321" s="1" t="s">
        <v>441</v>
      </c>
      <c r="NN321" s="1">
        <v>5</v>
      </c>
      <c r="NS321" s="1">
        <v>5</v>
      </c>
      <c r="NT321" s="1">
        <v>5</v>
      </c>
      <c r="OA321" s="1">
        <v>5</v>
      </c>
      <c r="OB321" s="1">
        <v>5</v>
      </c>
      <c r="OC321" s="1">
        <v>5</v>
      </c>
      <c r="OD321" s="1">
        <v>5</v>
      </c>
      <c r="SB321" s="1" t="s">
        <v>843</v>
      </c>
      <c r="SC321" s="1" t="s">
        <v>646</v>
      </c>
      <c r="SF321" s="1" t="s">
        <v>845</v>
      </c>
      <c r="SG321" s="1" t="s">
        <v>3092</v>
      </c>
      <c r="SH321" s="1" t="s">
        <v>438</v>
      </c>
      <c r="SI321" s="1" t="s">
        <v>438</v>
      </c>
      <c r="SK321" s="1" t="s">
        <v>3663</v>
      </c>
      <c r="SL321" s="1" t="s">
        <v>928</v>
      </c>
    </row>
    <row r="322" spans="1:507" ht="48" x14ac:dyDescent="0.2">
      <c r="A322" s="1" t="s">
        <v>3664</v>
      </c>
      <c r="B322" s="1">
        <v>10</v>
      </c>
      <c r="C322" s="1">
        <v>5</v>
      </c>
      <c r="D322" s="3">
        <v>46043.703148148146</v>
      </c>
      <c r="E322" s="1">
        <v>5153065</v>
      </c>
      <c r="F322" s="1" t="s">
        <v>428</v>
      </c>
      <c r="H322" s="1" t="s">
        <v>3665</v>
      </c>
      <c r="J322" s="1" t="s">
        <v>3666</v>
      </c>
      <c r="N322" s="1" t="s">
        <v>859</v>
      </c>
      <c r="O322" s="1" t="s">
        <v>438</v>
      </c>
      <c r="R322" s="1" t="s">
        <v>3666</v>
      </c>
      <c r="S322" s="1" t="s">
        <v>860</v>
      </c>
      <c r="AB322" s="3">
        <v>46044.343946759262</v>
      </c>
      <c r="AC322" s="3">
        <v>46043.765949074077</v>
      </c>
      <c r="AE322" s="1" t="s">
        <v>3667</v>
      </c>
      <c r="BB322" s="1" t="s">
        <v>3668</v>
      </c>
      <c r="CO322" s="1" t="s">
        <v>435</v>
      </c>
      <c r="CQ322" s="1" t="s">
        <v>432</v>
      </c>
      <c r="CR322" s="1" t="s">
        <v>511</v>
      </c>
      <c r="CS322" s="1" t="s">
        <v>511</v>
      </c>
      <c r="CT322" s="3">
        <v>46043.702627314815</v>
      </c>
      <c r="CU322" s="1" t="s">
        <v>436</v>
      </c>
      <c r="CV322" s="1" t="s">
        <v>512</v>
      </c>
      <c r="CY322" s="1" t="s">
        <v>438</v>
      </c>
      <c r="DP322" s="1" t="s">
        <v>3669</v>
      </c>
      <c r="DU322" s="1" t="s">
        <v>3670</v>
      </c>
      <c r="GZ322" s="1" t="s">
        <v>3669</v>
      </c>
      <c r="HA322" s="1" t="s">
        <v>3670</v>
      </c>
      <c r="NM322" s="1" t="s">
        <v>441</v>
      </c>
      <c r="NN322" s="1">
        <v>5</v>
      </c>
      <c r="NS322" s="1">
        <v>5</v>
      </c>
      <c r="NT322" s="1">
        <v>5</v>
      </c>
      <c r="OA322" s="1">
        <v>5</v>
      </c>
      <c r="OB322" s="1">
        <v>5</v>
      </c>
      <c r="OC322" s="1">
        <v>5</v>
      </c>
      <c r="OD322" s="1">
        <v>5</v>
      </c>
      <c r="SB322" s="1" t="s">
        <v>3671</v>
      </c>
      <c r="SC322" s="1" t="s">
        <v>3672</v>
      </c>
      <c r="SF322" s="1" t="s">
        <v>3673</v>
      </c>
      <c r="SG322" s="1" t="s">
        <v>3674</v>
      </c>
      <c r="SH322" s="1" t="s">
        <v>438</v>
      </c>
      <c r="SI322" s="1" t="s">
        <v>438</v>
      </c>
      <c r="SK322" s="1" t="s">
        <v>568</v>
      </c>
      <c r="SL322" s="1" t="s">
        <v>3675</v>
      </c>
    </row>
    <row r="323" spans="1:507" ht="80" x14ac:dyDescent="0.2">
      <c r="A323" s="1" t="s">
        <v>3676</v>
      </c>
      <c r="B323" s="1">
        <v>10</v>
      </c>
      <c r="C323" s="1">
        <v>5</v>
      </c>
      <c r="D323" s="3">
        <v>46043.694768518515</v>
      </c>
      <c r="E323" s="1">
        <v>5153041</v>
      </c>
      <c r="F323" s="1" t="s">
        <v>428</v>
      </c>
      <c r="H323" s="1" t="s">
        <v>3677</v>
      </c>
      <c r="J323" s="1" t="s">
        <v>3678</v>
      </c>
      <c r="N323" s="1" t="s">
        <v>1724</v>
      </c>
      <c r="O323" s="1" t="s">
        <v>432</v>
      </c>
      <c r="R323" s="1" t="s">
        <v>3678</v>
      </c>
      <c r="S323" s="1" t="s">
        <v>1725</v>
      </c>
      <c r="AB323" s="3">
        <v>46044.342060185183</v>
      </c>
      <c r="AC323" s="3">
        <v>46043.533125000002</v>
      </c>
      <c r="AE323" s="1" t="s">
        <v>3679</v>
      </c>
      <c r="BB323" s="1" t="s">
        <v>3680</v>
      </c>
      <c r="CO323" s="1" t="s">
        <v>435</v>
      </c>
      <c r="CQ323" s="1" t="s">
        <v>432</v>
      </c>
      <c r="CR323" s="1" t="s">
        <v>511</v>
      </c>
      <c r="CS323" s="1" t="s">
        <v>511</v>
      </c>
      <c r="CT323" s="3">
        <v>46043.694050925929</v>
      </c>
      <c r="CU323" s="1" t="s">
        <v>436</v>
      </c>
      <c r="CV323" s="1" t="s">
        <v>512</v>
      </c>
      <c r="CY323" s="1" t="s">
        <v>438</v>
      </c>
      <c r="DP323" s="1" t="s">
        <v>3681</v>
      </c>
      <c r="DU323" s="1" t="s">
        <v>3682</v>
      </c>
      <c r="GZ323" s="1" t="s">
        <v>3681</v>
      </c>
      <c r="HA323" s="1" t="s">
        <v>3682</v>
      </c>
      <c r="NM323" s="1" t="s">
        <v>441</v>
      </c>
      <c r="NN323" s="1">
        <v>5</v>
      </c>
      <c r="NS323" s="1">
        <v>5</v>
      </c>
      <c r="NT323" s="1">
        <v>5</v>
      </c>
      <c r="OA323" s="1">
        <v>5</v>
      </c>
      <c r="OB323" s="1">
        <v>4</v>
      </c>
      <c r="OC323" s="1">
        <v>5</v>
      </c>
      <c r="OD323" s="1">
        <v>4</v>
      </c>
      <c r="SB323" s="1" t="s">
        <v>2963</v>
      </c>
      <c r="SC323" s="1" t="s">
        <v>3683</v>
      </c>
      <c r="SF323" s="1" t="s">
        <v>2964</v>
      </c>
      <c r="SG323" s="1" t="s">
        <v>3684</v>
      </c>
      <c r="SH323" s="1" t="s">
        <v>438</v>
      </c>
      <c r="SI323" s="1" t="s">
        <v>432</v>
      </c>
      <c r="SK323" s="1" t="s">
        <v>445</v>
      </c>
      <c r="SL323" s="1" t="s">
        <v>919</v>
      </c>
      <c r="SM323" s="1" t="s">
        <v>540</v>
      </c>
    </row>
    <row r="324" spans="1:507" ht="32" x14ac:dyDescent="0.2">
      <c r="A324" s="1" t="s">
        <v>3685</v>
      </c>
      <c r="B324" s="1">
        <v>10</v>
      </c>
      <c r="C324" s="1">
        <v>5</v>
      </c>
      <c r="D324" s="3">
        <v>46043.627685185187</v>
      </c>
      <c r="E324" s="1">
        <v>5152817</v>
      </c>
      <c r="F324" s="1" t="s">
        <v>428</v>
      </c>
      <c r="H324" s="1" t="s">
        <v>3686</v>
      </c>
      <c r="J324" s="1" t="s">
        <v>3687</v>
      </c>
      <c r="N324" s="1" t="s">
        <v>3688</v>
      </c>
      <c r="O324" s="1" t="s">
        <v>432</v>
      </c>
      <c r="R324" s="1" t="s">
        <v>3687</v>
      </c>
      <c r="S324" s="1" t="s">
        <v>3689</v>
      </c>
      <c r="AB324" s="3">
        <v>46044.391168981485</v>
      </c>
      <c r="AC324" s="3">
        <v>46043.532476851855</v>
      </c>
      <c r="AE324" s="1" t="s">
        <v>3690</v>
      </c>
      <c r="BB324" s="1" t="s">
        <v>3691</v>
      </c>
      <c r="CO324" s="1" t="s">
        <v>435</v>
      </c>
      <c r="CQ324" s="1" t="s">
        <v>432</v>
      </c>
      <c r="CR324" s="1" t="s">
        <v>691</v>
      </c>
      <c r="CS324" s="1" t="s">
        <v>691</v>
      </c>
      <c r="CT324" s="3">
        <v>46043.627210648148</v>
      </c>
      <c r="CU324" s="1" t="s">
        <v>436</v>
      </c>
      <c r="CV324" s="1" t="s">
        <v>512</v>
      </c>
      <c r="CY324" s="1" t="s">
        <v>438</v>
      </c>
      <c r="DP324" s="1" t="s">
        <v>3692</v>
      </c>
      <c r="GZ324" s="1" t="s">
        <v>3692</v>
      </c>
      <c r="NM324" s="1" t="s">
        <v>441</v>
      </c>
      <c r="NN324" s="1">
        <v>5</v>
      </c>
      <c r="NS324" s="1">
        <v>4</v>
      </c>
      <c r="NT324" s="1">
        <v>5</v>
      </c>
      <c r="OA324" s="1">
        <v>5</v>
      </c>
      <c r="OB324" s="1">
        <v>5</v>
      </c>
      <c r="OC324" s="1">
        <v>5</v>
      </c>
      <c r="OD324" s="1">
        <v>5</v>
      </c>
      <c r="SB324" s="1" t="s">
        <v>2454</v>
      </c>
      <c r="SC324" s="1" t="s">
        <v>2454</v>
      </c>
      <c r="SE324" s="1" t="s">
        <v>484</v>
      </c>
      <c r="SF324" s="1" t="s">
        <v>2455</v>
      </c>
      <c r="SG324" s="1" t="s">
        <v>2455</v>
      </c>
      <c r="SH324" s="1" t="s">
        <v>432</v>
      </c>
      <c r="SI324" s="1" t="s">
        <v>432</v>
      </c>
      <c r="SK324" s="1" t="s">
        <v>486</v>
      </c>
    </row>
    <row r="325" spans="1:507" ht="48" x14ac:dyDescent="0.2">
      <c r="A325" s="1" t="s">
        <v>3693</v>
      </c>
      <c r="B325" s="1">
        <v>10</v>
      </c>
      <c r="C325" s="1">
        <v>4</v>
      </c>
      <c r="D325" s="3">
        <v>46043.614814814813</v>
      </c>
      <c r="E325" s="1">
        <v>5152778</v>
      </c>
      <c r="F325" s="1" t="s">
        <v>428</v>
      </c>
      <c r="H325" s="1" t="s">
        <v>3694</v>
      </c>
      <c r="J325" s="1" t="s">
        <v>3695</v>
      </c>
      <c r="O325" s="1" t="s">
        <v>432</v>
      </c>
      <c r="R325" s="1" t="s">
        <v>3695</v>
      </c>
      <c r="AB325" s="3">
        <v>46044.38590277778</v>
      </c>
      <c r="AC325" s="3">
        <v>46042.851157407407</v>
      </c>
      <c r="AE325" s="1" t="s">
        <v>3696</v>
      </c>
      <c r="BB325" s="1" t="s">
        <v>3697</v>
      </c>
      <c r="CO325" s="1" t="s">
        <v>435</v>
      </c>
      <c r="CQ325" s="1" t="s">
        <v>432</v>
      </c>
      <c r="CR325" s="1" t="s">
        <v>691</v>
      </c>
      <c r="CS325" s="1" t="s">
        <v>691</v>
      </c>
      <c r="CT325" s="3">
        <v>46043.615127314813</v>
      </c>
      <c r="CU325" s="1" t="s">
        <v>436</v>
      </c>
      <c r="CV325" s="1" t="s">
        <v>512</v>
      </c>
      <c r="CY325" s="1" t="s">
        <v>438</v>
      </c>
      <c r="DP325" s="1" t="s">
        <v>3698</v>
      </c>
      <c r="DU325" s="1" t="s">
        <v>3699</v>
      </c>
      <c r="GZ325" s="1" t="s">
        <v>3698</v>
      </c>
      <c r="HA325" s="1" t="s">
        <v>3699</v>
      </c>
      <c r="NM325" s="1" t="s">
        <v>441</v>
      </c>
      <c r="NN325" s="1">
        <v>4</v>
      </c>
      <c r="NS325" s="1">
        <v>5</v>
      </c>
      <c r="NT325" s="1">
        <v>5</v>
      </c>
      <c r="OA325" s="1">
        <v>4</v>
      </c>
      <c r="OB325" s="1">
        <v>5</v>
      </c>
      <c r="OC325" s="1">
        <v>5</v>
      </c>
      <c r="OD325" s="1">
        <v>5</v>
      </c>
      <c r="SB325" s="1" t="s">
        <v>1936</v>
      </c>
      <c r="SC325" s="1" t="s">
        <v>3700</v>
      </c>
      <c r="SF325" s="1" t="s">
        <v>3701</v>
      </c>
      <c r="SG325" s="1" t="s">
        <v>3702</v>
      </c>
      <c r="SH325" s="1" t="s">
        <v>438</v>
      </c>
      <c r="SI325" s="1" t="s">
        <v>432</v>
      </c>
      <c r="SK325" s="1" t="s">
        <v>445</v>
      </c>
      <c r="SL325" s="1" t="s">
        <v>540</v>
      </c>
      <c r="SM325" s="1" t="s">
        <v>2108</v>
      </c>
    </row>
    <row r="326" spans="1:507" ht="32" x14ac:dyDescent="0.2">
      <c r="A326" s="1" t="s">
        <v>3703</v>
      </c>
      <c r="B326" s="1">
        <v>10</v>
      </c>
      <c r="C326" s="1">
        <v>5</v>
      </c>
      <c r="D326" s="3">
        <v>46043.594722222224</v>
      </c>
      <c r="E326" s="1">
        <v>5152703</v>
      </c>
      <c r="F326" s="1" t="s">
        <v>428</v>
      </c>
      <c r="H326" s="1" t="s">
        <v>3704</v>
      </c>
      <c r="J326" s="1" t="s">
        <v>3705</v>
      </c>
      <c r="N326" s="1" t="s">
        <v>1528</v>
      </c>
      <c r="O326" s="1" t="s">
        <v>432</v>
      </c>
      <c r="R326" s="1" t="s">
        <v>3705</v>
      </c>
      <c r="S326" s="1" t="s">
        <v>1529</v>
      </c>
      <c r="AB326" s="3">
        <v>46044.331388888888</v>
      </c>
      <c r="AC326" s="3">
        <v>46043.531666666669</v>
      </c>
      <c r="AE326" s="1" t="s">
        <v>3706</v>
      </c>
      <c r="BB326" s="1" t="s">
        <v>3707</v>
      </c>
      <c r="CO326" s="1" t="s">
        <v>435</v>
      </c>
      <c r="CQ326" s="1" t="s">
        <v>432</v>
      </c>
      <c r="CR326" s="1" t="s">
        <v>852</v>
      </c>
      <c r="CS326" s="1" t="s">
        <v>852</v>
      </c>
      <c r="CT326" s="3">
        <v>46043.595046296294</v>
      </c>
      <c r="CU326" s="1" t="s">
        <v>436</v>
      </c>
      <c r="CV326" s="1" t="s">
        <v>512</v>
      </c>
      <c r="CY326" s="1" t="s">
        <v>438</v>
      </c>
      <c r="DP326" s="1" t="s">
        <v>3708</v>
      </c>
      <c r="GZ326" s="1" t="s">
        <v>3708</v>
      </c>
      <c r="NM326" s="1" t="s">
        <v>441</v>
      </c>
      <c r="NN326" s="1">
        <v>4</v>
      </c>
      <c r="NS326" s="1">
        <v>4</v>
      </c>
      <c r="NT326" s="1">
        <v>5</v>
      </c>
      <c r="OA326" s="1">
        <v>5</v>
      </c>
      <c r="OB326" s="1">
        <v>5</v>
      </c>
      <c r="OC326" s="1">
        <v>5</v>
      </c>
      <c r="OD326" s="1" t="s">
        <v>442</v>
      </c>
      <c r="SB326" s="1" t="s">
        <v>443</v>
      </c>
      <c r="SC326" s="1" t="s">
        <v>443</v>
      </c>
      <c r="SF326" s="1" t="s">
        <v>444</v>
      </c>
      <c r="SG326" s="1" t="s">
        <v>444</v>
      </c>
      <c r="SH326" s="1" t="s">
        <v>432</v>
      </c>
      <c r="SI326" s="1" t="s">
        <v>432</v>
      </c>
      <c r="SK326" s="1" t="s">
        <v>445</v>
      </c>
    </row>
    <row r="327" spans="1:507" ht="32" x14ac:dyDescent="0.2">
      <c r="A327" s="1" t="s">
        <v>3709</v>
      </c>
      <c r="B327" s="1">
        <v>10</v>
      </c>
      <c r="C327" s="1">
        <v>5</v>
      </c>
      <c r="D327" s="3">
        <v>46043.569039351853</v>
      </c>
      <c r="E327" s="1">
        <v>5152621</v>
      </c>
      <c r="F327" s="1" t="s">
        <v>428</v>
      </c>
      <c r="H327" s="1" t="s">
        <v>3710</v>
      </c>
      <c r="J327" s="1" t="s">
        <v>3711</v>
      </c>
      <c r="O327" s="1" t="s">
        <v>432</v>
      </c>
      <c r="R327" s="1" t="s">
        <v>3711</v>
      </c>
      <c r="AB327" s="3">
        <v>46044.327662037038</v>
      </c>
      <c r="AC327" s="3">
        <v>46043.533472222225</v>
      </c>
      <c r="AE327" s="1" t="s">
        <v>3712</v>
      </c>
      <c r="BB327" s="1" t="s">
        <v>3713</v>
      </c>
      <c r="CO327" s="1" t="s">
        <v>435</v>
      </c>
      <c r="CQ327" s="1" t="s">
        <v>432</v>
      </c>
      <c r="CR327" s="1" t="s">
        <v>852</v>
      </c>
      <c r="CS327" s="1" t="s">
        <v>852</v>
      </c>
      <c r="CT327" s="3">
        <v>46043.569490740738</v>
      </c>
      <c r="CU327" s="1" t="s">
        <v>436</v>
      </c>
      <c r="CV327" s="1" t="s">
        <v>512</v>
      </c>
      <c r="CY327" s="1" t="s">
        <v>438</v>
      </c>
      <c r="DP327" s="1" t="s">
        <v>3714</v>
      </c>
      <c r="GZ327" s="1" t="s">
        <v>3714</v>
      </c>
      <c r="NM327" s="1" t="s">
        <v>441</v>
      </c>
      <c r="NN327" s="1">
        <v>5</v>
      </c>
      <c r="NS327" s="1">
        <v>5</v>
      </c>
      <c r="NT327" s="1">
        <v>5</v>
      </c>
      <c r="OA327" s="1">
        <v>5</v>
      </c>
      <c r="OB327" s="1">
        <v>5</v>
      </c>
      <c r="OC327" s="1">
        <v>5</v>
      </c>
      <c r="OD327" s="1">
        <v>5</v>
      </c>
      <c r="SC327" s="1" t="s">
        <v>443</v>
      </c>
      <c r="SG327" s="1" t="s">
        <v>444</v>
      </c>
      <c r="SH327" s="1" t="s">
        <v>438</v>
      </c>
      <c r="SI327" s="1" t="s">
        <v>432</v>
      </c>
      <c r="SK327" s="1" t="s">
        <v>445</v>
      </c>
    </row>
    <row r="328" spans="1:507" ht="112" x14ac:dyDescent="0.2">
      <c r="A328" s="1" t="s">
        <v>3715</v>
      </c>
      <c r="B328" s="1">
        <v>10</v>
      </c>
      <c r="C328" s="1">
        <v>5</v>
      </c>
      <c r="D328" s="3">
        <v>46043.545925925922</v>
      </c>
      <c r="E328" s="1">
        <v>5152504</v>
      </c>
      <c r="F328" s="1" t="s">
        <v>428</v>
      </c>
      <c r="H328" s="1" t="s">
        <v>3716</v>
      </c>
      <c r="J328" s="1" t="s">
        <v>3717</v>
      </c>
      <c r="N328" s="1" t="s">
        <v>3718</v>
      </c>
      <c r="O328" s="1" t="s">
        <v>438</v>
      </c>
      <c r="R328" s="1" t="s">
        <v>3717</v>
      </c>
      <c r="S328" s="1" t="s">
        <v>3719</v>
      </c>
      <c r="AB328" s="3">
        <v>46043.579594907409</v>
      </c>
      <c r="AC328" s="3">
        <v>46043.639247685183</v>
      </c>
      <c r="AE328" s="1" t="s">
        <v>3720</v>
      </c>
      <c r="BB328" s="1" t="s">
        <v>3721</v>
      </c>
      <c r="CO328" s="1" t="s">
        <v>435</v>
      </c>
      <c r="CQ328" s="1" t="s">
        <v>432</v>
      </c>
      <c r="CR328" s="1" t="s">
        <v>495</v>
      </c>
      <c r="CS328" s="1" t="s">
        <v>495</v>
      </c>
      <c r="CT328" s="3">
        <v>46043.537662037037</v>
      </c>
      <c r="CU328" s="1" t="s">
        <v>436</v>
      </c>
      <c r="CV328" s="1" t="s">
        <v>512</v>
      </c>
      <c r="CY328" s="1" t="s">
        <v>438</v>
      </c>
      <c r="DP328" s="1" t="s">
        <v>3722</v>
      </c>
      <c r="DU328" s="1" t="s">
        <v>3723</v>
      </c>
      <c r="GZ328" s="1" t="s">
        <v>3722</v>
      </c>
      <c r="HA328" s="1" t="s">
        <v>3723</v>
      </c>
      <c r="NM328" s="1" t="s">
        <v>441</v>
      </c>
      <c r="NN328" s="1">
        <v>5</v>
      </c>
      <c r="NS328" s="1">
        <v>5</v>
      </c>
      <c r="NT328" s="1">
        <v>5</v>
      </c>
      <c r="OA328" s="1">
        <v>5</v>
      </c>
      <c r="OB328" s="1">
        <v>5</v>
      </c>
      <c r="OC328" s="1">
        <v>5</v>
      </c>
      <c r="OD328" s="1">
        <v>5</v>
      </c>
      <c r="SB328" s="1" t="s">
        <v>443</v>
      </c>
      <c r="SC328" s="1" t="s">
        <v>773</v>
      </c>
      <c r="SF328" s="1" t="s">
        <v>1000</v>
      </c>
      <c r="SG328" s="1" t="s">
        <v>786</v>
      </c>
      <c r="SH328" s="1" t="s">
        <v>438</v>
      </c>
      <c r="SI328" s="1" t="s">
        <v>438</v>
      </c>
      <c r="SK328" s="1" t="s">
        <v>568</v>
      </c>
      <c r="SL328" s="1" t="s">
        <v>540</v>
      </c>
    </row>
    <row r="329" spans="1:507" ht="64" x14ac:dyDescent="0.2">
      <c r="A329" s="1" t="s">
        <v>3724</v>
      </c>
      <c r="B329" s="1">
        <v>10</v>
      </c>
      <c r="C329" s="1">
        <v>5</v>
      </c>
      <c r="D329" s="3">
        <v>46043.516099537039</v>
      </c>
      <c r="E329" s="1">
        <v>5152424</v>
      </c>
      <c r="F329" s="1" t="s">
        <v>428</v>
      </c>
      <c r="H329" s="1" t="s">
        <v>3725</v>
      </c>
      <c r="J329" s="1" t="s">
        <v>3726</v>
      </c>
      <c r="O329" s="1" t="s">
        <v>432</v>
      </c>
      <c r="R329" s="1" t="s">
        <v>3726</v>
      </c>
      <c r="AB329" s="3">
        <v>46043.576620370368</v>
      </c>
      <c r="AC329" s="3">
        <v>46043.532627314817</v>
      </c>
      <c r="AE329" s="1" t="s">
        <v>3727</v>
      </c>
      <c r="BB329" s="1" t="s">
        <v>3728</v>
      </c>
      <c r="CO329" s="1" t="s">
        <v>435</v>
      </c>
      <c r="CQ329" s="1" t="s">
        <v>432</v>
      </c>
      <c r="CR329" s="1" t="s">
        <v>511</v>
      </c>
      <c r="CS329" s="1" t="s">
        <v>511</v>
      </c>
      <c r="CT329" s="3">
        <v>46043.516134259262</v>
      </c>
      <c r="CU329" s="1" t="s">
        <v>436</v>
      </c>
      <c r="CV329" s="1" t="s">
        <v>512</v>
      </c>
      <c r="CY329" s="1" t="s">
        <v>438</v>
      </c>
      <c r="DP329" s="1" t="s">
        <v>3729</v>
      </c>
      <c r="GZ329" s="1" t="s">
        <v>3729</v>
      </c>
      <c r="NM329" s="1" t="s">
        <v>441</v>
      </c>
      <c r="NN329" s="1">
        <v>5</v>
      </c>
      <c r="NS329" s="1">
        <v>5</v>
      </c>
      <c r="NT329" s="1">
        <v>5</v>
      </c>
      <c r="OA329" s="1">
        <v>5</v>
      </c>
      <c r="OB329" s="1">
        <v>5</v>
      </c>
      <c r="OC329" s="1">
        <v>5</v>
      </c>
      <c r="OD329" s="1">
        <v>5</v>
      </c>
      <c r="SB329" s="1" t="s">
        <v>443</v>
      </c>
      <c r="SC329" s="1" t="s">
        <v>3730</v>
      </c>
      <c r="SE329" s="1" t="s">
        <v>484</v>
      </c>
      <c r="SF329" s="1" t="s">
        <v>444</v>
      </c>
      <c r="SG329" s="1" t="s">
        <v>3731</v>
      </c>
      <c r="SH329" s="1" t="s">
        <v>438</v>
      </c>
      <c r="SI329" s="1" t="s">
        <v>432</v>
      </c>
      <c r="SK329" s="1" t="s">
        <v>919</v>
      </c>
      <c r="SL329" s="1" t="s">
        <v>799</v>
      </c>
    </row>
    <row r="330" spans="1:507" ht="32" x14ac:dyDescent="0.2">
      <c r="A330" s="1" t="s">
        <v>3732</v>
      </c>
      <c r="B330" s="1">
        <v>10</v>
      </c>
      <c r="C330" s="1">
        <v>5</v>
      </c>
      <c r="D330" s="3">
        <v>46043.47351851852</v>
      </c>
      <c r="E330" s="1">
        <v>5152260</v>
      </c>
      <c r="F330" s="1" t="s">
        <v>428</v>
      </c>
      <c r="H330" s="1" t="s">
        <v>3733</v>
      </c>
      <c r="J330" s="1" t="s">
        <v>3734</v>
      </c>
      <c r="O330" s="1" t="s">
        <v>432</v>
      </c>
      <c r="R330" s="1" t="s">
        <v>3734</v>
      </c>
      <c r="AB330" s="3">
        <v>46043.582592592589</v>
      </c>
      <c r="AC330" s="3">
        <v>46021.539930555555</v>
      </c>
      <c r="AE330" s="1" t="s">
        <v>3735</v>
      </c>
      <c r="BB330" s="1" t="s">
        <v>3736</v>
      </c>
      <c r="CO330" s="1" t="s">
        <v>435</v>
      </c>
      <c r="CQ330" s="1" t="s">
        <v>432</v>
      </c>
      <c r="CR330" s="1" t="s">
        <v>549</v>
      </c>
      <c r="CS330" s="1" t="s">
        <v>549</v>
      </c>
      <c r="CT330" s="3">
        <v>46043.473773148151</v>
      </c>
      <c r="CU330" s="1" t="s">
        <v>436</v>
      </c>
      <c r="CV330" s="1" t="s">
        <v>512</v>
      </c>
      <c r="CY330" s="1" t="s">
        <v>438</v>
      </c>
      <c r="DP330" s="1" t="s">
        <v>3737</v>
      </c>
      <c r="GZ330" s="1" t="s">
        <v>3737</v>
      </c>
      <c r="NM330" s="1" t="s">
        <v>441</v>
      </c>
      <c r="NN330" s="1">
        <v>4</v>
      </c>
      <c r="NS330" s="1">
        <v>5</v>
      </c>
      <c r="NT330" s="1">
        <v>5</v>
      </c>
      <c r="OA330" s="1">
        <v>5</v>
      </c>
      <c r="OB330" s="1">
        <v>5</v>
      </c>
      <c r="OC330" s="1">
        <v>5</v>
      </c>
      <c r="OD330" s="1">
        <v>5</v>
      </c>
      <c r="SB330" s="1" t="s">
        <v>443</v>
      </c>
      <c r="SC330" s="1" t="s">
        <v>443</v>
      </c>
      <c r="SF330" s="1" t="s">
        <v>444</v>
      </c>
      <c r="SG330" s="1" t="s">
        <v>444</v>
      </c>
      <c r="SH330" s="1" t="s">
        <v>432</v>
      </c>
      <c r="SI330" s="1" t="s">
        <v>432</v>
      </c>
      <c r="SK330" s="1" t="s">
        <v>445</v>
      </c>
    </row>
    <row r="331" spans="1:507" ht="32" x14ac:dyDescent="0.2">
      <c r="A331" s="1" t="s">
        <v>3738</v>
      </c>
      <c r="B331" s="1">
        <v>10</v>
      </c>
      <c r="C331" s="1">
        <v>5</v>
      </c>
      <c r="D331" s="3">
        <v>46043.452650462961</v>
      </c>
      <c r="E331" s="1">
        <v>5152160</v>
      </c>
      <c r="F331" s="1" t="s">
        <v>428</v>
      </c>
      <c r="H331" s="1" t="s">
        <v>3739</v>
      </c>
      <c r="J331" s="1" t="s">
        <v>3740</v>
      </c>
      <c r="O331" s="1" t="s">
        <v>432</v>
      </c>
      <c r="R331" s="1" t="s">
        <v>3740</v>
      </c>
      <c r="AB331" s="3">
        <v>46043.626631944448</v>
      </c>
      <c r="AC331" s="3">
        <v>46043.532511574071</v>
      </c>
      <c r="AE331" s="1" t="s">
        <v>3741</v>
      </c>
      <c r="BB331" s="1" t="s">
        <v>3742</v>
      </c>
      <c r="CO331" s="1" t="s">
        <v>435</v>
      </c>
      <c r="CQ331" s="1" t="s">
        <v>432</v>
      </c>
      <c r="CR331" s="1" t="s">
        <v>1227</v>
      </c>
      <c r="CS331" s="1" t="s">
        <v>1227</v>
      </c>
      <c r="CT331" s="3">
        <v>46043.451909722222</v>
      </c>
      <c r="CU331" s="1" t="s">
        <v>436</v>
      </c>
      <c r="CV331" s="1" t="s">
        <v>512</v>
      </c>
      <c r="CY331" s="1" t="s">
        <v>438</v>
      </c>
      <c r="DP331" s="1" t="s">
        <v>3743</v>
      </c>
      <c r="DU331" s="1" t="s">
        <v>3744</v>
      </c>
      <c r="GZ331" s="1" t="s">
        <v>3743</v>
      </c>
      <c r="HA331" s="1" t="s">
        <v>3744</v>
      </c>
      <c r="NM331" s="1" t="s">
        <v>441</v>
      </c>
      <c r="NN331" s="1">
        <v>4</v>
      </c>
      <c r="NS331" s="1">
        <v>5</v>
      </c>
      <c r="NT331" s="1">
        <v>5</v>
      </c>
      <c r="OA331" s="1">
        <v>5</v>
      </c>
      <c r="OB331" s="1">
        <v>5</v>
      </c>
      <c r="OC331" s="1">
        <v>5</v>
      </c>
      <c r="OD331" s="1">
        <v>5</v>
      </c>
      <c r="SC331" s="1" t="s">
        <v>3745</v>
      </c>
      <c r="SG331" s="1" t="s">
        <v>3746</v>
      </c>
      <c r="SH331" s="1" t="s">
        <v>438</v>
      </c>
      <c r="SI331" s="1" t="s">
        <v>432</v>
      </c>
      <c r="SK331" s="1" t="s">
        <v>2790</v>
      </c>
    </row>
    <row r="332" spans="1:507" ht="192" x14ac:dyDescent="0.2">
      <c r="A332" s="1" t="s">
        <v>3747</v>
      </c>
      <c r="B332" s="1">
        <v>10</v>
      </c>
      <c r="C332" s="1">
        <v>5</v>
      </c>
      <c r="D332" s="3">
        <v>46043.433159722219</v>
      </c>
      <c r="E332" s="1">
        <v>5152013</v>
      </c>
      <c r="F332" s="1" t="s">
        <v>428</v>
      </c>
      <c r="H332" s="1" t="s">
        <v>3748</v>
      </c>
      <c r="J332" s="1" t="s">
        <v>3749</v>
      </c>
      <c r="N332" s="1" t="s">
        <v>3750</v>
      </c>
      <c r="O332" s="1" t="s">
        <v>432</v>
      </c>
      <c r="R332" s="1" t="s">
        <v>3749</v>
      </c>
      <c r="S332" s="1" t="s">
        <v>3751</v>
      </c>
      <c r="AB332" s="3">
        <v>46043.577476851853</v>
      </c>
      <c r="AC332" s="3">
        <v>46043.531111111108</v>
      </c>
      <c r="AE332" s="1" t="s">
        <v>3752</v>
      </c>
      <c r="BB332" s="1" t="s">
        <v>3753</v>
      </c>
      <c r="CO332" s="1" t="s">
        <v>435</v>
      </c>
      <c r="CQ332" s="1" t="s">
        <v>432</v>
      </c>
      <c r="CR332" s="1" t="s">
        <v>1227</v>
      </c>
      <c r="CS332" s="1" t="s">
        <v>1227</v>
      </c>
      <c r="CT332" s="3">
        <v>46043.422986111109</v>
      </c>
      <c r="CU332" s="1" t="s">
        <v>436</v>
      </c>
      <c r="CV332" s="1" t="s">
        <v>512</v>
      </c>
      <c r="CY332" s="1" t="s">
        <v>438</v>
      </c>
      <c r="DP332" s="1" t="s">
        <v>3754</v>
      </c>
      <c r="DU332" s="1" t="s">
        <v>3755</v>
      </c>
      <c r="GZ332" s="1" t="s">
        <v>3754</v>
      </c>
      <c r="HA332" s="1" t="s">
        <v>3755</v>
      </c>
      <c r="NM332" s="1" t="s">
        <v>441</v>
      </c>
      <c r="NN332" s="1">
        <v>5</v>
      </c>
      <c r="NS332" s="1">
        <v>5</v>
      </c>
      <c r="NT332" s="1">
        <v>5</v>
      </c>
      <c r="OA332" s="1">
        <v>5</v>
      </c>
      <c r="OB332" s="1">
        <v>5</v>
      </c>
      <c r="OC332" s="1">
        <v>5</v>
      </c>
      <c r="OD332" s="1">
        <v>5</v>
      </c>
      <c r="SB332" s="1" t="s">
        <v>1592</v>
      </c>
      <c r="SC332" s="1" t="s">
        <v>3756</v>
      </c>
      <c r="SF332" s="1" t="s">
        <v>1593</v>
      </c>
      <c r="SG332" s="1" t="s">
        <v>3757</v>
      </c>
      <c r="SH332" s="1" t="s">
        <v>438</v>
      </c>
      <c r="SI332" s="1" t="s">
        <v>438</v>
      </c>
      <c r="SK332" s="1" t="s">
        <v>1546</v>
      </c>
    </row>
    <row r="333" spans="1:507" ht="32" x14ac:dyDescent="0.2">
      <c r="A333" s="1" t="s">
        <v>3758</v>
      </c>
      <c r="B333" s="1">
        <v>10</v>
      </c>
      <c r="C333" s="1">
        <v>5</v>
      </c>
      <c r="D333" s="3">
        <v>46043.41300925926</v>
      </c>
      <c r="E333" s="1">
        <v>5151939</v>
      </c>
      <c r="F333" s="1" t="s">
        <v>428</v>
      </c>
      <c r="H333" s="1" t="s">
        <v>3759</v>
      </c>
      <c r="J333" s="1" t="s">
        <v>3760</v>
      </c>
      <c r="N333" s="1" t="s">
        <v>1430</v>
      </c>
      <c r="O333" s="1" t="s">
        <v>438</v>
      </c>
      <c r="R333" s="1" t="s">
        <v>3760</v>
      </c>
      <c r="S333" s="1" t="s">
        <v>1431</v>
      </c>
      <c r="AB333" s="3">
        <v>46043.581469907411</v>
      </c>
      <c r="AC333" s="3">
        <v>46043.531307870369</v>
      </c>
      <c r="AE333" s="1" t="s">
        <v>3761</v>
      </c>
      <c r="BB333" s="1" t="s">
        <v>3762</v>
      </c>
      <c r="CO333" s="1" t="s">
        <v>435</v>
      </c>
      <c r="CQ333" s="1" t="s">
        <v>432</v>
      </c>
      <c r="CR333" s="1" t="s">
        <v>691</v>
      </c>
      <c r="CS333" s="1" t="s">
        <v>691</v>
      </c>
      <c r="CT333" s="3">
        <v>46043.412303240744</v>
      </c>
      <c r="CU333" s="1" t="s">
        <v>436</v>
      </c>
      <c r="CV333" s="1" t="s">
        <v>512</v>
      </c>
      <c r="CY333" s="1" t="s">
        <v>438</v>
      </c>
      <c r="DP333" s="1" t="s">
        <v>3763</v>
      </c>
      <c r="DU333" s="1" t="s">
        <v>3764</v>
      </c>
      <c r="GZ333" s="1" t="s">
        <v>3763</v>
      </c>
      <c r="HA333" s="1" t="s">
        <v>3764</v>
      </c>
      <c r="NM333" s="1" t="s">
        <v>441</v>
      </c>
      <c r="NN333" s="1">
        <v>5</v>
      </c>
      <c r="NS333" s="1">
        <v>5</v>
      </c>
      <c r="NT333" s="1">
        <v>5</v>
      </c>
      <c r="OA333" s="1">
        <v>5</v>
      </c>
      <c r="OB333" s="1">
        <v>5</v>
      </c>
      <c r="OC333" s="1">
        <v>5</v>
      </c>
      <c r="OD333" s="1">
        <v>5</v>
      </c>
      <c r="SB333" s="1" t="s">
        <v>951</v>
      </c>
      <c r="SC333" s="1" t="s">
        <v>3765</v>
      </c>
      <c r="SF333" s="1" t="s">
        <v>953</v>
      </c>
      <c r="SG333" s="1" t="s">
        <v>3766</v>
      </c>
      <c r="SH333" s="1" t="s">
        <v>438</v>
      </c>
      <c r="SI333" s="1" t="s">
        <v>432</v>
      </c>
      <c r="SK333" s="1" t="s">
        <v>955</v>
      </c>
      <c r="SL333" s="1" t="s">
        <v>2325</v>
      </c>
    </row>
    <row r="334" spans="1:507" ht="32" x14ac:dyDescent="0.2">
      <c r="A334" s="1" t="s">
        <v>3767</v>
      </c>
      <c r="B334" s="1">
        <v>10</v>
      </c>
      <c r="C334" s="1">
        <v>5</v>
      </c>
      <c r="D334" s="3">
        <v>46042.832256944443</v>
      </c>
      <c r="E334" s="1">
        <v>5150821</v>
      </c>
      <c r="F334" s="1" t="s">
        <v>428</v>
      </c>
      <c r="H334" s="1" t="s">
        <v>3768</v>
      </c>
      <c r="J334" s="1" t="s">
        <v>3769</v>
      </c>
      <c r="N334" s="1" t="s">
        <v>3353</v>
      </c>
      <c r="O334" s="1" t="s">
        <v>438</v>
      </c>
      <c r="R334" s="1" t="s">
        <v>3769</v>
      </c>
      <c r="S334" s="1" t="s">
        <v>3354</v>
      </c>
      <c r="AB334" s="3">
        <v>46043.39738425926</v>
      </c>
      <c r="AC334" s="3">
        <v>46042.808668981481</v>
      </c>
      <c r="AE334" s="1" t="s">
        <v>3770</v>
      </c>
      <c r="BB334" s="1" t="s">
        <v>3771</v>
      </c>
      <c r="CO334" s="1" t="s">
        <v>435</v>
      </c>
      <c r="CQ334" s="1" t="s">
        <v>432</v>
      </c>
      <c r="CR334" s="1" t="s">
        <v>495</v>
      </c>
      <c r="CS334" s="1" t="s">
        <v>495</v>
      </c>
      <c r="CT334" s="3">
        <v>46042.832268518519</v>
      </c>
      <c r="CU334" s="1" t="s">
        <v>436</v>
      </c>
      <c r="CV334" s="1" t="s">
        <v>512</v>
      </c>
      <c r="CY334" s="1" t="s">
        <v>438</v>
      </c>
      <c r="DP334" s="1" t="s">
        <v>3772</v>
      </c>
      <c r="DU334" s="1" t="s">
        <v>3773</v>
      </c>
      <c r="GZ334" s="1" t="s">
        <v>3772</v>
      </c>
      <c r="HA334" s="1" t="s">
        <v>3773</v>
      </c>
      <c r="NM334" s="1" t="s">
        <v>441</v>
      </c>
      <c r="NN334" s="1">
        <v>5</v>
      </c>
      <c r="NS334" s="1">
        <v>4</v>
      </c>
      <c r="NT334" s="1">
        <v>5</v>
      </c>
      <c r="OA334" s="1">
        <v>5</v>
      </c>
      <c r="OB334" s="1">
        <v>5</v>
      </c>
      <c r="OC334" s="1">
        <v>5</v>
      </c>
      <c r="OD334" s="1">
        <v>5</v>
      </c>
      <c r="SC334" s="1" t="s">
        <v>443</v>
      </c>
      <c r="SG334" s="1" t="s">
        <v>444</v>
      </c>
      <c r="SH334" s="1" t="s">
        <v>438</v>
      </c>
      <c r="SI334" s="1" t="s">
        <v>432</v>
      </c>
      <c r="SK334" s="1" t="s">
        <v>445</v>
      </c>
    </row>
    <row r="335" spans="1:507" ht="48" x14ac:dyDescent="0.2">
      <c r="A335" s="1" t="s">
        <v>3774</v>
      </c>
      <c r="B335" s="1">
        <v>10</v>
      </c>
      <c r="C335" s="1">
        <v>5</v>
      </c>
      <c r="D335" s="3">
        <v>46042.784143518518</v>
      </c>
      <c r="E335" s="1">
        <v>5150571</v>
      </c>
      <c r="F335" s="1" t="s">
        <v>428</v>
      </c>
      <c r="H335" s="1" t="s">
        <v>3775</v>
      </c>
      <c r="J335" s="1" t="s">
        <v>3776</v>
      </c>
      <c r="N335" s="1" t="s">
        <v>1551</v>
      </c>
      <c r="O335" s="1" t="s">
        <v>438</v>
      </c>
      <c r="R335" s="1" t="s">
        <v>3776</v>
      </c>
      <c r="S335" s="1" t="s">
        <v>1552</v>
      </c>
      <c r="AB335" s="3">
        <v>46043.410173611112</v>
      </c>
      <c r="AC335" s="3">
        <v>46042.892627314817</v>
      </c>
      <c r="AE335" s="1" t="s">
        <v>3777</v>
      </c>
      <c r="BB335" s="1" t="s">
        <v>3778</v>
      </c>
      <c r="CO335" s="1" t="s">
        <v>435</v>
      </c>
      <c r="CQ335" s="1" t="s">
        <v>432</v>
      </c>
      <c r="CR335" s="1" t="s">
        <v>852</v>
      </c>
      <c r="CS335" s="1" t="s">
        <v>852</v>
      </c>
      <c r="CT335" s="3">
        <v>46042.784305555557</v>
      </c>
      <c r="CU335" s="1" t="s">
        <v>436</v>
      </c>
      <c r="CV335" s="1" t="s">
        <v>512</v>
      </c>
      <c r="CY335" s="1" t="s">
        <v>438</v>
      </c>
      <c r="DP335" s="1" t="s">
        <v>3779</v>
      </c>
      <c r="DU335" s="1" t="s">
        <v>3780</v>
      </c>
      <c r="GZ335" s="1" t="s">
        <v>3779</v>
      </c>
      <c r="HA335" s="1" t="s">
        <v>3780</v>
      </c>
      <c r="NM335" s="1" t="s">
        <v>441</v>
      </c>
      <c r="NN335" s="1">
        <v>5</v>
      </c>
      <c r="NS335" s="1">
        <v>5</v>
      </c>
      <c r="NT335" s="1">
        <v>5</v>
      </c>
      <c r="OA335" s="1">
        <v>5</v>
      </c>
      <c r="OB335" s="1">
        <v>5</v>
      </c>
      <c r="OC335" s="1">
        <v>5</v>
      </c>
      <c r="OD335" s="1">
        <v>4</v>
      </c>
      <c r="SB335" s="1" t="s">
        <v>843</v>
      </c>
      <c r="SC335" s="1" t="s">
        <v>1114</v>
      </c>
      <c r="SF335" s="1" t="s">
        <v>2362</v>
      </c>
      <c r="SG335" s="1" t="s">
        <v>2315</v>
      </c>
      <c r="SH335" s="1" t="s">
        <v>438</v>
      </c>
      <c r="SI335" s="1" t="s">
        <v>432</v>
      </c>
      <c r="SK335" s="1" t="s">
        <v>568</v>
      </c>
      <c r="SL335" s="1" t="s">
        <v>540</v>
      </c>
    </row>
    <row r="336" spans="1:507" ht="32" x14ac:dyDescent="0.2">
      <c r="A336" s="1" t="s">
        <v>3781</v>
      </c>
      <c r="B336" s="1">
        <v>10</v>
      </c>
      <c r="C336" s="1">
        <v>4</v>
      </c>
      <c r="D336" s="3">
        <v>46042.750104166669</v>
      </c>
      <c r="E336" s="1">
        <v>5150461</v>
      </c>
      <c r="F336" s="1" t="s">
        <v>428</v>
      </c>
      <c r="H336" s="1" t="s">
        <v>3782</v>
      </c>
      <c r="J336" s="1" t="s">
        <v>3783</v>
      </c>
      <c r="N336" s="1" t="s">
        <v>3784</v>
      </c>
      <c r="O336" s="1" t="s">
        <v>432</v>
      </c>
      <c r="R336" s="1" t="s">
        <v>3783</v>
      </c>
      <c r="S336" s="1" t="s">
        <v>3785</v>
      </c>
      <c r="AB336" s="3">
        <v>46043.40457175926</v>
      </c>
      <c r="AC336" s="3">
        <v>46042.533402777779</v>
      </c>
      <c r="AE336" s="1" t="s">
        <v>3786</v>
      </c>
      <c r="BB336" s="1" t="s">
        <v>3787</v>
      </c>
      <c r="CO336" s="1" t="s">
        <v>435</v>
      </c>
      <c r="CQ336" s="1" t="s">
        <v>432</v>
      </c>
      <c r="CR336" s="1" t="s">
        <v>691</v>
      </c>
      <c r="CS336" s="1" t="s">
        <v>691</v>
      </c>
      <c r="CT336" s="3">
        <v>46042.749710648146</v>
      </c>
      <c r="CU336" s="1" t="s">
        <v>436</v>
      </c>
      <c r="CV336" s="1" t="s">
        <v>512</v>
      </c>
      <c r="CY336" s="1" t="s">
        <v>438</v>
      </c>
      <c r="DP336" s="1" t="s">
        <v>3788</v>
      </c>
      <c r="DU336" s="1" t="s">
        <v>3789</v>
      </c>
      <c r="GZ336" s="1" t="s">
        <v>3788</v>
      </c>
      <c r="HA336" s="1" t="s">
        <v>3789</v>
      </c>
      <c r="NM336" s="1" t="s">
        <v>441</v>
      </c>
      <c r="NN336" s="1">
        <v>4</v>
      </c>
      <c r="NS336" s="1">
        <v>5</v>
      </c>
      <c r="NT336" s="1">
        <v>5</v>
      </c>
      <c r="OA336" s="1">
        <v>4</v>
      </c>
      <c r="OB336" s="1">
        <v>4</v>
      </c>
      <c r="OC336" s="1">
        <v>4</v>
      </c>
      <c r="OD336" s="1">
        <v>3</v>
      </c>
      <c r="SB336" s="1" t="s">
        <v>443</v>
      </c>
      <c r="SC336" s="1" t="s">
        <v>646</v>
      </c>
      <c r="SF336" s="1" t="s">
        <v>444</v>
      </c>
      <c r="SG336" s="1" t="s">
        <v>647</v>
      </c>
      <c r="SH336" s="1" t="s">
        <v>438</v>
      </c>
      <c r="SI336" s="1" t="s">
        <v>432</v>
      </c>
      <c r="SK336" s="1" t="s">
        <v>445</v>
      </c>
      <c r="SL336" s="1" t="s">
        <v>620</v>
      </c>
    </row>
    <row r="337" spans="1:508" ht="48" x14ac:dyDescent="0.2">
      <c r="A337" s="1" t="s">
        <v>3790</v>
      </c>
      <c r="B337" s="1">
        <v>10</v>
      </c>
      <c r="C337" s="1">
        <v>5</v>
      </c>
      <c r="D337" s="3">
        <v>46042.655127314814</v>
      </c>
      <c r="E337" s="1">
        <v>5150151</v>
      </c>
      <c r="F337" s="1" t="s">
        <v>428</v>
      </c>
      <c r="H337" s="1" t="s">
        <v>3791</v>
      </c>
      <c r="J337" s="1" t="s">
        <v>3792</v>
      </c>
      <c r="N337" s="1" t="s">
        <v>3793</v>
      </c>
      <c r="O337" s="1" t="s">
        <v>432</v>
      </c>
      <c r="R337" s="1" t="s">
        <v>3792</v>
      </c>
      <c r="S337" s="1" t="s">
        <v>3794</v>
      </c>
      <c r="AB337" s="3">
        <v>46042.664340277777</v>
      </c>
      <c r="AC337" s="3">
        <v>46042.535162037035</v>
      </c>
      <c r="AE337" s="1" t="s">
        <v>3795</v>
      </c>
      <c r="BB337" s="1" t="s">
        <v>3796</v>
      </c>
      <c r="CO337" s="1" t="s">
        <v>435</v>
      </c>
      <c r="CQ337" s="1" t="s">
        <v>432</v>
      </c>
      <c r="CR337" s="1" t="s">
        <v>1227</v>
      </c>
      <c r="CS337" s="1" t="s">
        <v>1227</v>
      </c>
      <c r="CT337" s="3">
        <v>46042.656793981485</v>
      </c>
      <c r="CU337" s="1" t="s">
        <v>436</v>
      </c>
      <c r="CV337" s="1" t="s">
        <v>512</v>
      </c>
      <c r="CY337" s="1" t="s">
        <v>438</v>
      </c>
      <c r="DP337" s="1" t="s">
        <v>3797</v>
      </c>
      <c r="DU337" s="1" t="s">
        <v>442</v>
      </c>
      <c r="GZ337" s="1" t="s">
        <v>3797</v>
      </c>
      <c r="HA337" s="1" t="s">
        <v>442</v>
      </c>
      <c r="NM337" s="1" t="s">
        <v>441</v>
      </c>
      <c r="NN337" s="1">
        <v>5</v>
      </c>
      <c r="NS337" s="1">
        <v>5</v>
      </c>
      <c r="NT337" s="1">
        <v>5</v>
      </c>
      <c r="OA337" s="1">
        <v>5</v>
      </c>
      <c r="OB337" s="1">
        <v>5</v>
      </c>
      <c r="OC337" s="1">
        <v>5</v>
      </c>
      <c r="OD337" s="1">
        <v>5</v>
      </c>
      <c r="SB337" s="1" t="s">
        <v>443</v>
      </c>
      <c r="SC337" s="1" t="s">
        <v>443</v>
      </c>
      <c r="SE337" s="1" t="s">
        <v>484</v>
      </c>
      <c r="SF337" s="1" t="s">
        <v>444</v>
      </c>
      <c r="SG337" s="1" t="s">
        <v>444</v>
      </c>
      <c r="SH337" s="1" t="s">
        <v>432</v>
      </c>
      <c r="SI337" s="1" t="s">
        <v>432</v>
      </c>
      <c r="SK337" s="1" t="s">
        <v>568</v>
      </c>
    </row>
    <row r="338" spans="1:508" ht="32" x14ac:dyDescent="0.2">
      <c r="A338" s="1" t="s">
        <v>3798</v>
      </c>
      <c r="B338" s="1">
        <v>10</v>
      </c>
      <c r="C338" s="1">
        <v>5</v>
      </c>
      <c r="D338" s="3">
        <v>46042.652245370373</v>
      </c>
      <c r="E338" s="1">
        <v>5150140</v>
      </c>
      <c r="F338" s="1" t="s">
        <v>428</v>
      </c>
      <c r="H338" s="1" t="s">
        <v>3799</v>
      </c>
      <c r="J338" s="1" t="s">
        <v>3800</v>
      </c>
      <c r="O338" s="1" t="s">
        <v>432</v>
      </c>
      <c r="R338" s="1" t="s">
        <v>3800</v>
      </c>
      <c r="AB338" s="3">
        <v>46042.66510416667</v>
      </c>
      <c r="AC338" s="3">
        <v>46042.535219907404</v>
      </c>
      <c r="AE338" s="1" t="s">
        <v>3801</v>
      </c>
      <c r="BB338" s="1" t="s">
        <v>3802</v>
      </c>
      <c r="CO338" s="1" t="s">
        <v>435</v>
      </c>
      <c r="CQ338" s="1" t="s">
        <v>432</v>
      </c>
      <c r="CR338" s="1" t="s">
        <v>1227</v>
      </c>
      <c r="CS338" s="1" t="s">
        <v>1227</v>
      </c>
      <c r="CT338" s="3">
        <v>46042.652673611112</v>
      </c>
      <c r="CU338" s="1" t="s">
        <v>436</v>
      </c>
      <c r="CV338" s="1" t="s">
        <v>512</v>
      </c>
      <c r="CY338" s="1" t="s">
        <v>438</v>
      </c>
      <c r="DP338" s="1" t="s">
        <v>3803</v>
      </c>
      <c r="DU338" s="1" t="s">
        <v>3804</v>
      </c>
      <c r="GZ338" s="1" t="s">
        <v>3803</v>
      </c>
      <c r="HA338" s="1" t="s">
        <v>3804</v>
      </c>
      <c r="NM338" s="1" t="s">
        <v>441</v>
      </c>
      <c r="NN338" s="1">
        <v>5</v>
      </c>
      <c r="NS338" s="1">
        <v>5</v>
      </c>
      <c r="NT338" s="1">
        <v>5</v>
      </c>
      <c r="OA338" s="1">
        <v>5</v>
      </c>
      <c r="OB338" s="1">
        <v>5</v>
      </c>
      <c r="OC338" s="1">
        <v>5</v>
      </c>
      <c r="OD338" s="1">
        <v>5</v>
      </c>
      <c r="SB338" s="1" t="s">
        <v>443</v>
      </c>
      <c r="SC338" s="1" t="s">
        <v>1696</v>
      </c>
      <c r="SF338" s="1" t="s">
        <v>444</v>
      </c>
      <c r="SG338" s="1" t="s">
        <v>1938</v>
      </c>
      <c r="SH338" s="1" t="s">
        <v>438</v>
      </c>
      <c r="SI338" s="1" t="s">
        <v>432</v>
      </c>
      <c r="SK338" s="1" t="s">
        <v>919</v>
      </c>
    </row>
    <row r="339" spans="1:508" ht="48" x14ac:dyDescent="0.2">
      <c r="A339" s="1" t="s">
        <v>3805</v>
      </c>
      <c r="B339" s="1">
        <v>9</v>
      </c>
      <c r="C339" s="1">
        <v>5</v>
      </c>
      <c r="D339" s="3">
        <v>46042.521087962959</v>
      </c>
      <c r="E339" s="1">
        <v>5149555</v>
      </c>
      <c r="F339" s="1" t="s">
        <v>428</v>
      </c>
      <c r="H339" s="1" t="s">
        <v>3806</v>
      </c>
      <c r="J339" s="1" t="s">
        <v>3807</v>
      </c>
      <c r="N339" s="1" t="s">
        <v>724</v>
      </c>
      <c r="O339" s="1" t="s">
        <v>432</v>
      </c>
      <c r="R339" s="1" t="s">
        <v>3807</v>
      </c>
      <c r="S339" s="1" t="s">
        <v>725</v>
      </c>
      <c r="AB339" s="3">
        <v>46042.586284722223</v>
      </c>
      <c r="AC339" s="3">
        <v>46042.533738425926</v>
      </c>
      <c r="AE339" s="1" t="s">
        <v>3808</v>
      </c>
      <c r="BB339" s="1" t="s">
        <v>3809</v>
      </c>
      <c r="CO339" s="1" t="s">
        <v>435</v>
      </c>
      <c r="CQ339" s="1" t="s">
        <v>432</v>
      </c>
      <c r="CR339" s="1" t="s">
        <v>511</v>
      </c>
      <c r="CS339" s="1" t="s">
        <v>511</v>
      </c>
      <c r="CT339" s="3">
        <v>46042.521192129629</v>
      </c>
      <c r="CU339" s="1" t="s">
        <v>436</v>
      </c>
      <c r="CV339" s="1" t="s">
        <v>512</v>
      </c>
      <c r="CY339" s="1" t="s">
        <v>438</v>
      </c>
      <c r="DP339" s="1" t="s">
        <v>3810</v>
      </c>
      <c r="DU339" s="1" t="s">
        <v>3811</v>
      </c>
      <c r="GZ339" s="1" t="s">
        <v>3810</v>
      </c>
      <c r="HA339" s="1" t="s">
        <v>3811</v>
      </c>
      <c r="NM339" s="1" t="s">
        <v>441</v>
      </c>
      <c r="NN339" s="1">
        <v>3</v>
      </c>
      <c r="NS339" s="1">
        <v>4</v>
      </c>
      <c r="NT339" s="1">
        <v>5</v>
      </c>
      <c r="OA339" s="1">
        <v>4</v>
      </c>
      <c r="OB339" s="1">
        <v>5</v>
      </c>
      <c r="OC339" s="1">
        <v>5</v>
      </c>
      <c r="OD339" s="1">
        <v>5</v>
      </c>
      <c r="SB339" s="1" t="s">
        <v>1622</v>
      </c>
      <c r="SC339" s="1" t="s">
        <v>646</v>
      </c>
      <c r="SF339" s="1" t="s">
        <v>1623</v>
      </c>
      <c r="SG339" s="1" t="s">
        <v>909</v>
      </c>
      <c r="SH339" s="1" t="s">
        <v>438</v>
      </c>
      <c r="SI339" s="1" t="s">
        <v>432</v>
      </c>
      <c r="SK339" s="1" t="s">
        <v>445</v>
      </c>
      <c r="SL339" s="1" t="s">
        <v>620</v>
      </c>
      <c r="SM339" s="1" t="s">
        <v>866</v>
      </c>
    </row>
    <row r="340" spans="1:508" ht="48" x14ac:dyDescent="0.2">
      <c r="A340" s="1" t="s">
        <v>3812</v>
      </c>
      <c r="B340" s="1">
        <v>10</v>
      </c>
      <c r="C340" s="1">
        <v>5</v>
      </c>
      <c r="D340" s="3">
        <v>46042.515659722223</v>
      </c>
      <c r="E340" s="1">
        <v>5149520</v>
      </c>
      <c r="F340" s="1" t="s">
        <v>428</v>
      </c>
      <c r="H340" s="1" t="s">
        <v>3813</v>
      </c>
      <c r="J340" s="1" t="s">
        <v>3814</v>
      </c>
      <c r="N340" s="1" t="s">
        <v>1758</v>
      </c>
      <c r="O340" s="1" t="s">
        <v>438</v>
      </c>
      <c r="R340" s="1" t="s">
        <v>3814</v>
      </c>
      <c r="S340" s="1" t="s">
        <v>1759</v>
      </c>
      <c r="AB340" s="3">
        <v>46042.585081018522</v>
      </c>
      <c r="AC340" s="3">
        <v>46042.638032407405</v>
      </c>
      <c r="AE340" s="1" t="s">
        <v>3815</v>
      </c>
      <c r="BB340" s="1" t="s">
        <v>3816</v>
      </c>
      <c r="CO340" s="1" t="s">
        <v>435</v>
      </c>
      <c r="CQ340" s="1" t="s">
        <v>432</v>
      </c>
      <c r="CR340" s="1" t="s">
        <v>511</v>
      </c>
      <c r="CS340" s="1" t="s">
        <v>511</v>
      </c>
      <c r="CT340" s="3">
        <v>46042.515532407408</v>
      </c>
      <c r="CU340" s="1" t="s">
        <v>436</v>
      </c>
      <c r="CV340" s="1" t="s">
        <v>512</v>
      </c>
      <c r="CY340" s="1" t="s">
        <v>438</v>
      </c>
      <c r="DP340" s="1" t="s">
        <v>3817</v>
      </c>
      <c r="DU340" s="1" t="s">
        <v>1218</v>
      </c>
      <c r="GZ340" s="1" t="s">
        <v>3817</v>
      </c>
      <c r="HA340" s="1" t="s">
        <v>1218</v>
      </c>
      <c r="NM340" s="1" t="s">
        <v>441</v>
      </c>
      <c r="NN340" s="1">
        <v>4</v>
      </c>
      <c r="NS340" s="1">
        <v>5</v>
      </c>
      <c r="NT340" s="1">
        <v>5</v>
      </c>
      <c r="OA340" s="1">
        <v>5</v>
      </c>
      <c r="OB340" s="1">
        <v>5</v>
      </c>
      <c r="OC340" s="1">
        <v>5</v>
      </c>
      <c r="OD340" s="1">
        <v>5</v>
      </c>
      <c r="SB340" s="1" t="s">
        <v>745</v>
      </c>
      <c r="SC340" s="1" t="s">
        <v>3818</v>
      </c>
      <c r="SF340" s="1" t="s">
        <v>747</v>
      </c>
      <c r="SG340" s="1" t="s">
        <v>3819</v>
      </c>
      <c r="SH340" s="1" t="s">
        <v>438</v>
      </c>
      <c r="SI340" s="1" t="s">
        <v>432</v>
      </c>
      <c r="SK340" s="1" t="s">
        <v>445</v>
      </c>
      <c r="SL340" s="1" t="s">
        <v>1746</v>
      </c>
    </row>
    <row r="341" spans="1:508" ht="48" x14ac:dyDescent="0.2">
      <c r="A341" s="1" t="s">
        <v>3820</v>
      </c>
      <c r="B341" s="1">
        <v>9</v>
      </c>
      <c r="C341" s="1">
        <v>4</v>
      </c>
      <c r="D341" s="3">
        <v>46042.488402777781</v>
      </c>
      <c r="E341" s="1">
        <v>5149416</v>
      </c>
      <c r="F341" s="1" t="s">
        <v>428</v>
      </c>
      <c r="H341" s="1" t="s">
        <v>3821</v>
      </c>
      <c r="J341" s="1" t="s">
        <v>3822</v>
      </c>
      <c r="N341" s="1" t="s">
        <v>3823</v>
      </c>
      <c r="O341" s="1" t="s">
        <v>432</v>
      </c>
      <c r="R341" s="1" t="s">
        <v>3822</v>
      </c>
      <c r="S341" s="1" t="s">
        <v>3824</v>
      </c>
      <c r="AB341" s="3">
        <v>46042.589826388888</v>
      </c>
      <c r="AC341" s="3">
        <v>46022.765046296299</v>
      </c>
      <c r="AE341" s="1" t="s">
        <v>3825</v>
      </c>
      <c r="BB341" s="1" t="s">
        <v>3826</v>
      </c>
      <c r="CO341" s="1" t="s">
        <v>435</v>
      </c>
      <c r="CQ341" s="1" t="s">
        <v>432</v>
      </c>
      <c r="CR341" s="1" t="s">
        <v>549</v>
      </c>
      <c r="CS341" s="1" t="s">
        <v>549</v>
      </c>
      <c r="CT341" s="3">
        <v>46042.488032407404</v>
      </c>
      <c r="CU341" s="1" t="s">
        <v>436</v>
      </c>
      <c r="CV341" s="1" t="s">
        <v>512</v>
      </c>
      <c r="CY341" s="1" t="s">
        <v>438</v>
      </c>
      <c r="DP341" s="1" t="s">
        <v>3827</v>
      </c>
      <c r="DU341" s="1" t="s">
        <v>3828</v>
      </c>
      <c r="GZ341" s="1" t="s">
        <v>3827</v>
      </c>
      <c r="HA341" s="1" t="s">
        <v>3828</v>
      </c>
      <c r="NM341" s="1" t="s">
        <v>441</v>
      </c>
      <c r="NN341" s="1">
        <v>3</v>
      </c>
      <c r="NS341" s="1">
        <v>4</v>
      </c>
      <c r="NT341" s="1">
        <v>5</v>
      </c>
      <c r="OA341" s="1">
        <v>4</v>
      </c>
      <c r="OB341" s="1">
        <v>4</v>
      </c>
      <c r="OC341" s="1">
        <v>4</v>
      </c>
      <c r="OD341" s="1">
        <v>2</v>
      </c>
      <c r="SC341" s="1" t="s">
        <v>796</v>
      </c>
      <c r="SG341" s="1" t="s">
        <v>1686</v>
      </c>
      <c r="SH341" s="1" t="s">
        <v>438</v>
      </c>
      <c r="SI341" s="1" t="s">
        <v>438</v>
      </c>
      <c r="SK341" s="1" t="s">
        <v>619</v>
      </c>
      <c r="SL341" s="1" t="s">
        <v>540</v>
      </c>
    </row>
    <row r="342" spans="1:508" ht="80" x14ac:dyDescent="0.2">
      <c r="A342" s="1" t="s">
        <v>3829</v>
      </c>
      <c r="B342" s="1">
        <v>10</v>
      </c>
      <c r="C342" s="1">
        <v>5</v>
      </c>
      <c r="D342" s="3">
        <v>46042.435069444444</v>
      </c>
      <c r="E342" s="1">
        <v>5149164</v>
      </c>
      <c r="F342" s="1" t="s">
        <v>428</v>
      </c>
      <c r="H342" s="1" t="s">
        <v>3830</v>
      </c>
      <c r="J342" s="1" t="s">
        <v>3831</v>
      </c>
      <c r="N342" s="1" t="s">
        <v>1201</v>
      </c>
      <c r="O342" s="1" t="s">
        <v>432</v>
      </c>
      <c r="R342" s="1" t="s">
        <v>3831</v>
      </c>
      <c r="S342" s="1" t="s">
        <v>1202</v>
      </c>
      <c r="AB342" s="3">
        <v>46042.67428240741</v>
      </c>
      <c r="AC342" s="3">
        <v>46042.534768518519</v>
      </c>
      <c r="AE342" s="1" t="s">
        <v>3832</v>
      </c>
      <c r="BB342" s="1" t="s">
        <v>3833</v>
      </c>
      <c r="CO342" s="1" t="s">
        <v>435</v>
      </c>
      <c r="CQ342" s="1" t="s">
        <v>432</v>
      </c>
      <c r="CR342" s="1" t="s">
        <v>691</v>
      </c>
      <c r="CS342" s="1" t="s">
        <v>691</v>
      </c>
      <c r="CT342" s="3">
        <v>46042.432210648149</v>
      </c>
      <c r="CU342" s="1" t="s">
        <v>436</v>
      </c>
      <c r="CV342" s="1" t="s">
        <v>512</v>
      </c>
      <c r="CY342" s="1" t="s">
        <v>438</v>
      </c>
      <c r="DP342" s="1" t="s">
        <v>3834</v>
      </c>
      <c r="DU342" s="1" t="s">
        <v>3835</v>
      </c>
      <c r="GZ342" s="1" t="s">
        <v>3834</v>
      </c>
      <c r="HA342" s="1" t="s">
        <v>3835</v>
      </c>
      <c r="NM342" s="1" t="s">
        <v>441</v>
      </c>
      <c r="NN342" s="1">
        <v>3</v>
      </c>
      <c r="NS342" s="1">
        <v>5</v>
      </c>
      <c r="NT342" s="1">
        <v>5</v>
      </c>
      <c r="OA342" s="1">
        <v>4</v>
      </c>
      <c r="OB342" s="1">
        <v>4</v>
      </c>
      <c r="OC342" s="1">
        <v>5</v>
      </c>
      <c r="OD342" s="1">
        <v>4</v>
      </c>
      <c r="SB342" s="1" t="s">
        <v>3836</v>
      </c>
      <c r="SC342" s="1" t="s">
        <v>646</v>
      </c>
      <c r="SF342" s="1" t="s">
        <v>3837</v>
      </c>
      <c r="SG342" s="1" t="s">
        <v>647</v>
      </c>
      <c r="SH342" s="1" t="s">
        <v>438</v>
      </c>
      <c r="SI342" s="1" t="s">
        <v>432</v>
      </c>
      <c r="SK342" s="1" t="s">
        <v>620</v>
      </c>
    </row>
    <row r="343" spans="1:508" ht="32" x14ac:dyDescent="0.2">
      <c r="A343" s="1" t="s">
        <v>3838</v>
      </c>
      <c r="B343" s="1">
        <v>10</v>
      </c>
      <c r="C343" s="1">
        <v>5</v>
      </c>
      <c r="D343" s="3">
        <v>46042.424525462964</v>
      </c>
      <c r="E343" s="1">
        <v>5149116</v>
      </c>
      <c r="F343" s="1" t="s">
        <v>428</v>
      </c>
      <c r="H343" s="1" t="s">
        <v>3839</v>
      </c>
      <c r="J343" s="1" t="s">
        <v>3840</v>
      </c>
      <c r="N343" s="1" t="s">
        <v>3841</v>
      </c>
      <c r="O343" s="1" t="s">
        <v>438</v>
      </c>
      <c r="R343" s="1" t="s">
        <v>3840</v>
      </c>
      <c r="S343" s="1" t="s">
        <v>3842</v>
      </c>
      <c r="AB343" s="3">
        <v>46042.468518518515</v>
      </c>
      <c r="AC343" s="3">
        <v>46042.533229166664</v>
      </c>
      <c r="AE343" s="1" t="s">
        <v>3843</v>
      </c>
      <c r="BB343" s="1" t="s">
        <v>3844</v>
      </c>
      <c r="CO343" s="1" t="s">
        <v>435</v>
      </c>
      <c r="CQ343" s="1" t="s">
        <v>432</v>
      </c>
      <c r="CR343" s="1" t="s">
        <v>561</v>
      </c>
      <c r="CS343" s="1" t="s">
        <v>561</v>
      </c>
      <c r="CT343" s="3">
        <v>46042.424398148149</v>
      </c>
      <c r="CU343" s="1" t="s">
        <v>436</v>
      </c>
      <c r="CV343" s="1" t="s">
        <v>512</v>
      </c>
      <c r="CY343" s="1" t="s">
        <v>438</v>
      </c>
      <c r="DP343" s="1" t="s">
        <v>3845</v>
      </c>
      <c r="GZ343" s="1" t="s">
        <v>3845</v>
      </c>
      <c r="NM343" s="1" t="s">
        <v>441</v>
      </c>
      <c r="NN343" s="1">
        <v>5</v>
      </c>
      <c r="NS343" s="1">
        <v>5</v>
      </c>
      <c r="NT343" s="1">
        <v>5</v>
      </c>
      <c r="OA343" s="1">
        <v>5</v>
      </c>
      <c r="OB343" s="1">
        <v>5</v>
      </c>
      <c r="OC343" s="1">
        <v>5</v>
      </c>
      <c r="OD343" s="1">
        <v>5</v>
      </c>
      <c r="SC343" s="1" t="s">
        <v>1696</v>
      </c>
      <c r="SG343" s="1" t="s">
        <v>1938</v>
      </c>
      <c r="SH343" s="1" t="s">
        <v>438</v>
      </c>
      <c r="SI343" s="1" t="s">
        <v>432</v>
      </c>
      <c r="SK343" s="1" t="s">
        <v>2293</v>
      </c>
    </row>
    <row r="344" spans="1:508" ht="80" x14ac:dyDescent="0.2">
      <c r="A344" s="1" t="s">
        <v>3846</v>
      </c>
      <c r="B344" s="1">
        <v>10</v>
      </c>
      <c r="C344" s="1">
        <v>5</v>
      </c>
      <c r="D344" s="3">
        <v>46042.420659722222</v>
      </c>
      <c r="E344" s="1">
        <v>5149096</v>
      </c>
      <c r="F344" s="1" t="s">
        <v>428</v>
      </c>
      <c r="H344" s="1" t="s">
        <v>3847</v>
      </c>
      <c r="J344" s="1" t="s">
        <v>3848</v>
      </c>
      <c r="N344" s="1" t="s">
        <v>3849</v>
      </c>
      <c r="O344" s="1" t="s">
        <v>432</v>
      </c>
      <c r="R344" s="1" t="s">
        <v>3848</v>
      </c>
      <c r="S344" s="1" t="s">
        <v>3850</v>
      </c>
      <c r="AB344" s="3">
        <v>46042.669062499997</v>
      </c>
      <c r="AC344" s="3">
        <v>46042.534155092595</v>
      </c>
      <c r="AE344" s="1" t="s">
        <v>3851</v>
      </c>
      <c r="BB344" s="1" t="s">
        <v>3852</v>
      </c>
      <c r="CO344" s="1" t="s">
        <v>435</v>
      </c>
      <c r="CQ344" s="1" t="s">
        <v>432</v>
      </c>
      <c r="CR344" s="1" t="s">
        <v>691</v>
      </c>
      <c r="CS344" s="1" t="s">
        <v>691</v>
      </c>
      <c r="CT344" s="3">
        <v>46042.420729166668</v>
      </c>
      <c r="CU344" s="1" t="s">
        <v>436</v>
      </c>
      <c r="CV344" s="1" t="s">
        <v>512</v>
      </c>
      <c r="CY344" s="1" t="s">
        <v>438</v>
      </c>
      <c r="DP344" s="1" t="s">
        <v>3853</v>
      </c>
      <c r="DU344" s="1" t="s">
        <v>3854</v>
      </c>
      <c r="GZ344" s="1" t="s">
        <v>3853</v>
      </c>
      <c r="HA344" s="1" t="s">
        <v>3854</v>
      </c>
      <c r="NM344" s="1" t="s">
        <v>441</v>
      </c>
      <c r="NN344" s="1">
        <v>4</v>
      </c>
      <c r="NS344" s="1">
        <v>3</v>
      </c>
      <c r="NT344" s="1">
        <v>3</v>
      </c>
      <c r="OA344" s="1">
        <v>5</v>
      </c>
      <c r="OB344" s="1" t="s">
        <v>442</v>
      </c>
      <c r="OC344" s="1">
        <v>5</v>
      </c>
      <c r="OD344" s="1">
        <v>5</v>
      </c>
      <c r="SC344" s="1" t="s">
        <v>3855</v>
      </c>
      <c r="SG344" s="1" t="s">
        <v>3856</v>
      </c>
      <c r="SH344" s="1" t="s">
        <v>438</v>
      </c>
      <c r="SI344" s="1" t="s">
        <v>438</v>
      </c>
      <c r="SK344" s="1" t="s">
        <v>928</v>
      </c>
      <c r="SL344" s="1" t="s">
        <v>3857</v>
      </c>
    </row>
    <row r="345" spans="1:508" ht="96" x14ac:dyDescent="0.2">
      <c r="A345" s="1" t="s">
        <v>3858</v>
      </c>
      <c r="B345" s="1">
        <v>10</v>
      </c>
      <c r="C345" s="1">
        <v>5</v>
      </c>
      <c r="D345" s="3">
        <v>46042.42046296296</v>
      </c>
      <c r="E345" s="1">
        <v>5149086</v>
      </c>
      <c r="F345" s="1" t="s">
        <v>428</v>
      </c>
      <c r="H345" s="1" t="s">
        <v>3859</v>
      </c>
      <c r="J345" s="1" t="s">
        <v>3860</v>
      </c>
      <c r="O345" s="1" t="s">
        <v>432</v>
      </c>
      <c r="R345" s="1" t="s">
        <v>3860</v>
      </c>
      <c r="AB345" s="3">
        <v>46042.66810185185</v>
      </c>
      <c r="AC345" s="3">
        <v>46042.534120370372</v>
      </c>
      <c r="AE345" s="1" t="s">
        <v>3861</v>
      </c>
      <c r="BB345" s="1" t="s">
        <v>3862</v>
      </c>
      <c r="CO345" s="1" t="s">
        <v>435</v>
      </c>
      <c r="CQ345" s="1" t="s">
        <v>432</v>
      </c>
      <c r="CR345" s="1" t="s">
        <v>691</v>
      </c>
      <c r="CS345" s="1" t="s">
        <v>691</v>
      </c>
      <c r="CT345" s="3">
        <v>46042.418437499997</v>
      </c>
      <c r="CU345" s="1" t="s">
        <v>436</v>
      </c>
      <c r="CV345" s="1" t="s">
        <v>512</v>
      </c>
      <c r="CY345" s="1" t="s">
        <v>438</v>
      </c>
      <c r="DP345" s="1" t="s">
        <v>3863</v>
      </c>
      <c r="DU345" s="1" t="s">
        <v>3864</v>
      </c>
      <c r="GZ345" s="1" t="s">
        <v>3863</v>
      </c>
      <c r="HA345" s="1" t="s">
        <v>3864</v>
      </c>
      <c r="NM345" s="1" t="s">
        <v>441</v>
      </c>
      <c r="NN345" s="1">
        <v>5</v>
      </c>
      <c r="NS345" s="1">
        <v>5</v>
      </c>
      <c r="NT345" s="1">
        <v>5</v>
      </c>
      <c r="OA345" s="1">
        <v>5</v>
      </c>
      <c r="OB345" s="1">
        <v>5</v>
      </c>
      <c r="OC345" s="1">
        <v>5</v>
      </c>
      <c r="OD345" s="1" t="s">
        <v>442</v>
      </c>
      <c r="SB345" s="1" t="s">
        <v>987</v>
      </c>
      <c r="SC345" s="1" t="s">
        <v>3865</v>
      </c>
      <c r="SE345" s="1" t="s">
        <v>3866</v>
      </c>
      <c r="SF345" s="1" t="s">
        <v>988</v>
      </c>
      <c r="SG345" s="1" t="s">
        <v>3867</v>
      </c>
      <c r="SH345" s="1" t="s">
        <v>438</v>
      </c>
      <c r="SI345" s="1" t="s">
        <v>432</v>
      </c>
      <c r="SK345" s="1" t="s">
        <v>486</v>
      </c>
      <c r="SL345" s="1" t="s">
        <v>2108</v>
      </c>
      <c r="SM345" s="1" t="s">
        <v>1746</v>
      </c>
    </row>
    <row r="346" spans="1:508" ht="48" x14ac:dyDescent="0.2">
      <c r="A346" s="1" t="s">
        <v>3868</v>
      </c>
      <c r="B346" s="1">
        <v>10</v>
      </c>
      <c r="C346" s="1">
        <v>5</v>
      </c>
      <c r="D346" s="3">
        <v>46042.414768518516</v>
      </c>
      <c r="E346" s="1">
        <v>5149065</v>
      </c>
      <c r="F346" s="1" t="s">
        <v>428</v>
      </c>
      <c r="H346" s="1" t="s">
        <v>3869</v>
      </c>
      <c r="J346" s="1" t="s">
        <v>3870</v>
      </c>
      <c r="N346" s="1" t="s">
        <v>640</v>
      </c>
      <c r="O346" s="1" t="s">
        <v>438</v>
      </c>
      <c r="R346" s="1" t="s">
        <v>3870</v>
      </c>
      <c r="S346" s="1" t="s">
        <v>641</v>
      </c>
      <c r="AB346" s="3">
        <v>46042.467916666668</v>
      </c>
      <c r="AC346" s="3">
        <v>46042.535057870373</v>
      </c>
      <c r="AE346" s="1" t="s">
        <v>3871</v>
      </c>
      <c r="BB346" s="1" t="s">
        <v>3872</v>
      </c>
      <c r="CO346" s="1" t="s">
        <v>435</v>
      </c>
      <c r="CQ346" s="1" t="s">
        <v>432</v>
      </c>
      <c r="CR346" s="1" t="s">
        <v>561</v>
      </c>
      <c r="CS346" s="1" t="s">
        <v>561</v>
      </c>
      <c r="CT346" s="3">
        <v>46042.414687500001</v>
      </c>
      <c r="CU346" s="1" t="s">
        <v>436</v>
      </c>
      <c r="CV346" s="1" t="s">
        <v>512</v>
      </c>
      <c r="CY346" s="1" t="s">
        <v>438</v>
      </c>
      <c r="DP346" s="1" t="s">
        <v>3873</v>
      </c>
      <c r="DU346" s="1" t="s">
        <v>1174</v>
      </c>
      <c r="GZ346" s="1" t="s">
        <v>3873</v>
      </c>
      <c r="HA346" s="1" t="s">
        <v>1174</v>
      </c>
      <c r="NM346" s="1" t="s">
        <v>441</v>
      </c>
      <c r="NN346" s="1">
        <v>4</v>
      </c>
      <c r="NS346" s="1">
        <v>5</v>
      </c>
      <c r="NT346" s="1">
        <v>5</v>
      </c>
      <c r="OA346" s="1">
        <v>5</v>
      </c>
      <c r="OB346" s="1">
        <v>5</v>
      </c>
      <c r="OC346" s="1">
        <v>5</v>
      </c>
      <c r="OD346" s="1">
        <v>5</v>
      </c>
      <c r="SC346" s="1" t="s">
        <v>443</v>
      </c>
      <c r="SG346" s="1" t="s">
        <v>444</v>
      </c>
      <c r="SH346" s="1" t="s">
        <v>438</v>
      </c>
      <c r="SI346" s="1" t="s">
        <v>438</v>
      </c>
      <c r="SK346" s="1" t="s">
        <v>568</v>
      </c>
    </row>
    <row r="347" spans="1:508" ht="64" x14ac:dyDescent="0.2">
      <c r="A347" s="1" t="s">
        <v>3874</v>
      </c>
      <c r="B347" s="1">
        <v>10</v>
      </c>
      <c r="C347" s="1">
        <v>5</v>
      </c>
      <c r="D347" s="3">
        <v>46042.414594907408</v>
      </c>
      <c r="E347" s="1">
        <v>5149064</v>
      </c>
      <c r="F347" s="1" t="s">
        <v>428</v>
      </c>
      <c r="H347" s="1" t="s">
        <v>3875</v>
      </c>
      <c r="J347" s="1" t="s">
        <v>3876</v>
      </c>
      <c r="O347" s="1" t="s">
        <v>432</v>
      </c>
      <c r="R347" s="1" t="s">
        <v>3876</v>
      </c>
      <c r="AB347" s="3">
        <v>46042.666932870372</v>
      </c>
      <c r="AC347" s="3">
        <v>46042.534328703703</v>
      </c>
      <c r="AE347" s="1" t="s">
        <v>3877</v>
      </c>
      <c r="BB347" s="1" t="s">
        <v>3878</v>
      </c>
      <c r="CO347" s="1" t="s">
        <v>435</v>
      </c>
      <c r="CQ347" s="1" t="s">
        <v>432</v>
      </c>
      <c r="CR347" s="1" t="s">
        <v>691</v>
      </c>
      <c r="CS347" s="1" t="s">
        <v>691</v>
      </c>
      <c r="CT347" s="3">
        <v>46042.414687500001</v>
      </c>
      <c r="CU347" s="1" t="s">
        <v>436</v>
      </c>
      <c r="CV347" s="1" t="s">
        <v>512</v>
      </c>
      <c r="CY347" s="1" t="s">
        <v>438</v>
      </c>
      <c r="DP347" s="1" t="s">
        <v>3879</v>
      </c>
      <c r="DU347" s="1" t="s">
        <v>3880</v>
      </c>
      <c r="GZ347" s="1" t="s">
        <v>3879</v>
      </c>
      <c r="HA347" s="1" t="s">
        <v>3880</v>
      </c>
      <c r="NM347" s="1" t="s">
        <v>441</v>
      </c>
      <c r="NN347" s="1">
        <v>5</v>
      </c>
      <c r="NS347" s="1">
        <v>5</v>
      </c>
      <c r="NT347" s="1">
        <v>5</v>
      </c>
      <c r="OA347" s="1">
        <v>5</v>
      </c>
      <c r="OB347" s="1">
        <v>5</v>
      </c>
      <c r="OC347" s="1">
        <v>5</v>
      </c>
      <c r="OD347" s="1">
        <v>5</v>
      </c>
      <c r="SB347" s="1" t="s">
        <v>615</v>
      </c>
      <c r="SC347" s="1" t="s">
        <v>3881</v>
      </c>
      <c r="SF347" s="1" t="s">
        <v>1500</v>
      </c>
      <c r="SG347" s="1" t="s">
        <v>3882</v>
      </c>
      <c r="SH347" s="1" t="s">
        <v>438</v>
      </c>
      <c r="SI347" s="1" t="s">
        <v>432</v>
      </c>
      <c r="SK347" s="1" t="s">
        <v>1546</v>
      </c>
      <c r="SL347" s="1" t="s">
        <v>620</v>
      </c>
    </row>
    <row r="348" spans="1:508" ht="80" x14ac:dyDescent="0.2">
      <c r="A348" s="1" t="s">
        <v>3883</v>
      </c>
      <c r="B348" s="1">
        <v>10</v>
      </c>
      <c r="C348" s="1">
        <v>5</v>
      </c>
      <c r="D348" s="3">
        <v>46042.381898148145</v>
      </c>
      <c r="E348" s="1">
        <v>5148846</v>
      </c>
      <c r="F348" s="1" t="s">
        <v>428</v>
      </c>
      <c r="H348" s="1" t="s">
        <v>3884</v>
      </c>
      <c r="J348" s="1" t="s">
        <v>3885</v>
      </c>
      <c r="N348" s="1" t="s">
        <v>625</v>
      </c>
      <c r="O348" s="1" t="s">
        <v>432</v>
      </c>
      <c r="R348" s="1" t="s">
        <v>3885</v>
      </c>
      <c r="S348" s="1" t="s">
        <v>626</v>
      </c>
      <c r="AB348" s="3">
        <v>46048.517777777779</v>
      </c>
      <c r="AC348" s="3">
        <v>46041.538726851853</v>
      </c>
      <c r="AE348" s="1" t="s">
        <v>3886</v>
      </c>
      <c r="BB348" s="1" t="s">
        <v>3887</v>
      </c>
      <c r="CO348" s="1" t="s">
        <v>435</v>
      </c>
      <c r="CQ348" s="1" t="s">
        <v>432</v>
      </c>
      <c r="CR348" s="1" t="s">
        <v>3888</v>
      </c>
      <c r="CS348" s="1" t="s">
        <v>729</v>
      </c>
      <c r="CT348" s="3">
        <v>46042.380474537036</v>
      </c>
      <c r="CU348" s="1" t="s">
        <v>436</v>
      </c>
      <c r="CV348" s="1" t="s">
        <v>512</v>
      </c>
      <c r="CY348" s="1" t="s">
        <v>438</v>
      </c>
      <c r="DP348" s="1" t="s">
        <v>3889</v>
      </c>
      <c r="DU348" s="1" t="s">
        <v>3890</v>
      </c>
      <c r="GZ348" s="1" t="s">
        <v>3889</v>
      </c>
      <c r="HA348" s="1" t="s">
        <v>3890</v>
      </c>
      <c r="NM348" s="1" t="s">
        <v>441</v>
      </c>
      <c r="NN348" s="1">
        <v>4</v>
      </c>
      <c r="NS348" s="1">
        <v>5</v>
      </c>
      <c r="NT348" s="1">
        <v>5</v>
      </c>
      <c r="OA348" s="1">
        <v>4</v>
      </c>
      <c r="OB348" s="1">
        <v>4</v>
      </c>
      <c r="OC348" s="1">
        <v>4</v>
      </c>
      <c r="OD348" s="1">
        <v>4</v>
      </c>
      <c r="SB348" s="1" t="s">
        <v>3891</v>
      </c>
      <c r="SC348" s="1" t="s">
        <v>704</v>
      </c>
      <c r="SF348" s="1" t="s">
        <v>3892</v>
      </c>
      <c r="SG348" s="1" t="s">
        <v>706</v>
      </c>
      <c r="SH348" s="1" t="s">
        <v>438</v>
      </c>
      <c r="SI348" s="1" t="s">
        <v>438</v>
      </c>
      <c r="SK348" s="1" t="s">
        <v>760</v>
      </c>
    </row>
    <row r="349" spans="1:508" ht="48" x14ac:dyDescent="0.2">
      <c r="A349" s="1" t="s">
        <v>3893</v>
      </c>
      <c r="B349" s="1">
        <v>10</v>
      </c>
      <c r="C349" s="1">
        <v>5</v>
      </c>
      <c r="D349" s="3">
        <v>46041.75503472222</v>
      </c>
      <c r="E349" s="1">
        <v>5147979</v>
      </c>
      <c r="F349" s="1" t="s">
        <v>428</v>
      </c>
      <c r="H349" s="1" t="s">
        <v>3894</v>
      </c>
      <c r="J349" s="1" t="s">
        <v>3895</v>
      </c>
      <c r="N349" s="1" t="s">
        <v>2243</v>
      </c>
      <c r="O349" s="1" t="s">
        <v>438</v>
      </c>
      <c r="R349" s="1" t="s">
        <v>3895</v>
      </c>
      <c r="S349" s="1" t="s">
        <v>2244</v>
      </c>
      <c r="AB349" s="3">
        <v>46042.389710648145</v>
      </c>
      <c r="AC349" s="3">
        <v>46041.849826388891</v>
      </c>
      <c r="AE349" s="1" t="s">
        <v>3896</v>
      </c>
      <c r="BB349" s="1" t="s">
        <v>3897</v>
      </c>
      <c r="CO349" s="1" t="s">
        <v>435</v>
      </c>
      <c r="CQ349" s="1" t="s">
        <v>432</v>
      </c>
      <c r="CR349" s="1" t="s">
        <v>534</v>
      </c>
      <c r="CS349" s="1" t="s">
        <v>534</v>
      </c>
      <c r="CT349" s="3">
        <v>46041.754340277781</v>
      </c>
      <c r="CU349" s="1" t="s">
        <v>436</v>
      </c>
      <c r="CV349" s="1" t="s">
        <v>512</v>
      </c>
      <c r="CY349" s="1" t="s">
        <v>438</v>
      </c>
      <c r="DP349" s="1" t="s">
        <v>3898</v>
      </c>
      <c r="DU349" s="1" t="s">
        <v>938</v>
      </c>
      <c r="GZ349" s="1" t="s">
        <v>3898</v>
      </c>
      <c r="HA349" s="1" t="s">
        <v>938</v>
      </c>
      <c r="NM349" s="1" t="s">
        <v>441</v>
      </c>
      <c r="NN349" s="1" t="s">
        <v>442</v>
      </c>
      <c r="NS349" s="1">
        <v>5</v>
      </c>
      <c r="NT349" s="1">
        <v>5</v>
      </c>
      <c r="OA349" s="1" t="s">
        <v>442</v>
      </c>
      <c r="OB349" s="1" t="s">
        <v>442</v>
      </c>
      <c r="OC349" s="1" t="s">
        <v>442</v>
      </c>
      <c r="OD349" s="1" t="s">
        <v>442</v>
      </c>
      <c r="SB349" s="1" t="s">
        <v>2844</v>
      </c>
      <c r="SC349" s="1" t="s">
        <v>2844</v>
      </c>
      <c r="SF349" s="1" t="s">
        <v>2845</v>
      </c>
      <c r="SG349" s="1" t="s">
        <v>2845</v>
      </c>
      <c r="SH349" s="1" t="s">
        <v>432</v>
      </c>
      <c r="SI349" s="1" t="s">
        <v>432</v>
      </c>
      <c r="SK349" s="1" t="s">
        <v>1546</v>
      </c>
    </row>
    <row r="350" spans="1:508" ht="32" x14ac:dyDescent="0.2">
      <c r="A350" s="1" t="s">
        <v>3899</v>
      </c>
      <c r="B350" s="1">
        <v>10</v>
      </c>
      <c r="C350" s="1">
        <v>5</v>
      </c>
      <c r="D350" s="3">
        <v>46041.745613425926</v>
      </c>
      <c r="E350" s="1">
        <v>5147882</v>
      </c>
      <c r="F350" s="1" t="s">
        <v>428</v>
      </c>
      <c r="H350" s="1" t="s">
        <v>3900</v>
      </c>
      <c r="J350" s="1" t="s">
        <v>3901</v>
      </c>
      <c r="N350" s="1" t="s">
        <v>1076</v>
      </c>
      <c r="O350" s="1" t="s">
        <v>432</v>
      </c>
      <c r="R350" s="1" t="s">
        <v>3901</v>
      </c>
      <c r="S350" s="1" t="s">
        <v>1077</v>
      </c>
      <c r="AB350" s="3">
        <v>46042.387141203704</v>
      </c>
      <c r="AC350" s="3">
        <v>46041.678831018522</v>
      </c>
      <c r="AE350" s="1" t="s">
        <v>3902</v>
      </c>
      <c r="BB350" s="1" t="s">
        <v>3903</v>
      </c>
      <c r="CO350" s="1" t="s">
        <v>435</v>
      </c>
      <c r="CQ350" s="1" t="s">
        <v>432</v>
      </c>
      <c r="CR350" s="1" t="s">
        <v>549</v>
      </c>
      <c r="CS350" s="1" t="s">
        <v>549</v>
      </c>
      <c r="CT350" s="3">
        <v>46041.743159722224</v>
      </c>
      <c r="CU350" s="1" t="s">
        <v>436</v>
      </c>
      <c r="CV350" s="1" t="s">
        <v>512</v>
      </c>
      <c r="CY350" s="1" t="s">
        <v>438</v>
      </c>
      <c r="DP350" s="1" t="s">
        <v>3904</v>
      </c>
      <c r="DU350" s="1" t="s">
        <v>442</v>
      </c>
      <c r="GZ350" s="1" t="s">
        <v>3904</v>
      </c>
      <c r="HA350" s="1" t="s">
        <v>442</v>
      </c>
      <c r="NM350" s="1" t="s">
        <v>441</v>
      </c>
      <c r="NN350" s="1">
        <v>5</v>
      </c>
      <c r="NS350" s="1">
        <v>5</v>
      </c>
      <c r="NT350" s="1">
        <v>5</v>
      </c>
      <c r="OA350" s="1">
        <v>5</v>
      </c>
      <c r="OB350" s="1">
        <v>5</v>
      </c>
      <c r="OC350" s="1">
        <v>5</v>
      </c>
      <c r="OD350" s="1">
        <v>5</v>
      </c>
      <c r="SC350" s="1" t="s">
        <v>443</v>
      </c>
      <c r="SG350" s="1" t="s">
        <v>444</v>
      </c>
      <c r="SH350" s="1" t="s">
        <v>438</v>
      </c>
      <c r="SI350" s="1" t="s">
        <v>432</v>
      </c>
      <c r="SK350" s="1" t="s">
        <v>1989</v>
      </c>
      <c r="SL350" s="1" t="s">
        <v>3905</v>
      </c>
    </row>
    <row r="351" spans="1:508" ht="80" x14ac:dyDescent="0.2">
      <c r="A351" s="1" t="s">
        <v>3906</v>
      </c>
      <c r="B351" s="1">
        <v>8</v>
      </c>
      <c r="C351" s="1">
        <v>3</v>
      </c>
      <c r="D351" s="3">
        <v>46041.724479166667</v>
      </c>
      <c r="E351" s="1">
        <v>5147799</v>
      </c>
      <c r="F351" s="1" t="s">
        <v>428</v>
      </c>
      <c r="H351" s="1" t="s">
        <v>3907</v>
      </c>
      <c r="J351" s="1" t="s">
        <v>3908</v>
      </c>
      <c r="N351" s="1" t="s">
        <v>687</v>
      </c>
      <c r="O351" s="1" t="s">
        <v>432</v>
      </c>
      <c r="R351" s="1" t="s">
        <v>3908</v>
      </c>
      <c r="S351" s="1" t="s">
        <v>688</v>
      </c>
      <c r="AB351" s="3">
        <v>46054.449270833335</v>
      </c>
      <c r="AC351" s="3">
        <v>46041.595231481479</v>
      </c>
      <c r="AE351" s="1" t="s">
        <v>3909</v>
      </c>
      <c r="BB351" s="1" t="s">
        <v>3910</v>
      </c>
      <c r="CO351" s="1" t="s">
        <v>435</v>
      </c>
      <c r="CQ351" s="1" t="s">
        <v>432</v>
      </c>
      <c r="CR351" s="1" t="s">
        <v>3306</v>
      </c>
      <c r="CS351" s="1" t="s">
        <v>729</v>
      </c>
      <c r="CT351" s="3">
        <v>46041.722094907411</v>
      </c>
      <c r="CU351" s="1" t="s">
        <v>524</v>
      </c>
      <c r="CV351" s="1" t="s">
        <v>512</v>
      </c>
      <c r="CW351" s="3">
        <v>46054.449224537035</v>
      </c>
      <c r="CX351" s="1" t="s">
        <v>1057</v>
      </c>
      <c r="CY351" s="1" t="s">
        <v>438</v>
      </c>
      <c r="DP351" s="1" t="s">
        <v>3911</v>
      </c>
      <c r="DU351" s="1" t="s">
        <v>3912</v>
      </c>
      <c r="GZ351" s="1" t="s">
        <v>3911</v>
      </c>
      <c r="HA351" s="1" t="s">
        <v>3912</v>
      </c>
      <c r="NM351" s="1" t="s">
        <v>441</v>
      </c>
      <c r="NN351" s="1">
        <v>4</v>
      </c>
      <c r="NS351" s="1">
        <v>4</v>
      </c>
      <c r="NT351" s="1">
        <v>4</v>
      </c>
      <c r="OA351" s="1">
        <v>2</v>
      </c>
      <c r="OB351" s="1">
        <v>4</v>
      </c>
      <c r="OC351" s="1">
        <v>3</v>
      </c>
      <c r="OD351" s="1">
        <v>3</v>
      </c>
      <c r="SB351" s="1" t="s">
        <v>1804</v>
      </c>
      <c r="SC351" s="1" t="s">
        <v>773</v>
      </c>
      <c r="SF351" s="1" t="s">
        <v>1805</v>
      </c>
      <c r="SG351" s="1" t="s">
        <v>775</v>
      </c>
      <c r="SH351" s="1" t="s">
        <v>438</v>
      </c>
      <c r="SI351" s="1" t="s">
        <v>432</v>
      </c>
      <c r="SK351" s="1" t="s">
        <v>1166</v>
      </c>
      <c r="SL351" s="1" t="s">
        <v>3913</v>
      </c>
      <c r="SM351" s="1" t="s">
        <v>787</v>
      </c>
      <c r="SN351" s="1" t="s">
        <v>1807</v>
      </c>
    </row>
    <row r="352" spans="1:508" ht="48" x14ac:dyDescent="0.2">
      <c r="A352" s="1" t="s">
        <v>3914</v>
      </c>
      <c r="B352" s="1">
        <v>10</v>
      </c>
      <c r="C352" s="1">
        <v>5</v>
      </c>
      <c r="D352" s="3">
        <v>46041.650601851848</v>
      </c>
      <c r="E352" s="1">
        <v>5147530</v>
      </c>
      <c r="F352" s="1" t="s">
        <v>428</v>
      </c>
      <c r="H352" s="1" t="s">
        <v>3915</v>
      </c>
      <c r="J352" s="1" t="s">
        <v>3916</v>
      </c>
      <c r="N352" s="1" t="s">
        <v>3917</v>
      </c>
      <c r="O352" s="1" t="s">
        <v>438</v>
      </c>
      <c r="R352" s="1" t="s">
        <v>3916</v>
      </c>
      <c r="S352" s="1" t="s">
        <v>3918</v>
      </c>
      <c r="AB352" s="3">
        <v>46042.374131944445</v>
      </c>
      <c r="AC352" s="3">
        <v>46041.762187499997</v>
      </c>
      <c r="AE352" s="1" t="s">
        <v>3919</v>
      </c>
      <c r="BB352" s="1" t="s">
        <v>3920</v>
      </c>
      <c r="CO352" s="1" t="s">
        <v>435</v>
      </c>
      <c r="CQ352" s="1" t="s">
        <v>432</v>
      </c>
      <c r="CR352" s="1" t="s">
        <v>852</v>
      </c>
      <c r="CS352" s="1" t="s">
        <v>852</v>
      </c>
      <c r="CT352" s="3">
        <v>46041.650925925926</v>
      </c>
      <c r="CU352" s="1" t="s">
        <v>436</v>
      </c>
      <c r="CV352" s="1" t="s">
        <v>512</v>
      </c>
      <c r="CY352" s="1" t="s">
        <v>438</v>
      </c>
      <c r="DP352" s="1" t="s">
        <v>3921</v>
      </c>
      <c r="DU352" s="1" t="s">
        <v>440</v>
      </c>
      <c r="GZ352" s="1" t="s">
        <v>3921</v>
      </c>
      <c r="HA352" s="1" t="s">
        <v>440</v>
      </c>
      <c r="NM352" s="1" t="s">
        <v>441</v>
      </c>
      <c r="NN352" s="1">
        <v>5</v>
      </c>
      <c r="NS352" s="1">
        <v>5</v>
      </c>
      <c r="NT352" s="1">
        <v>5</v>
      </c>
      <c r="OA352" s="1">
        <v>5</v>
      </c>
      <c r="OB352" s="1" t="s">
        <v>442</v>
      </c>
      <c r="OC352" s="1">
        <v>5</v>
      </c>
      <c r="OD352" s="1" t="s">
        <v>442</v>
      </c>
      <c r="SB352" s="1" t="s">
        <v>3922</v>
      </c>
      <c r="SC352" s="1" t="s">
        <v>602</v>
      </c>
      <c r="SF352" s="1" t="s">
        <v>3923</v>
      </c>
      <c r="SG352" s="1" t="s">
        <v>3924</v>
      </c>
      <c r="SH352" s="1" t="s">
        <v>438</v>
      </c>
      <c r="SI352" s="1" t="s">
        <v>438</v>
      </c>
      <c r="SK352" s="1" t="s">
        <v>568</v>
      </c>
    </row>
    <row r="353" spans="1:509" ht="32" x14ac:dyDescent="0.2">
      <c r="A353" s="1" t="s">
        <v>3925</v>
      </c>
      <c r="B353" s="1">
        <v>9</v>
      </c>
      <c r="C353" s="1">
        <v>5</v>
      </c>
      <c r="D353" s="3">
        <v>46041.505636574075</v>
      </c>
      <c r="E353" s="1">
        <v>5146977</v>
      </c>
      <c r="F353" s="1" t="s">
        <v>428</v>
      </c>
      <c r="H353" s="1" t="s">
        <v>3926</v>
      </c>
      <c r="J353" s="1" t="s">
        <v>3927</v>
      </c>
      <c r="N353" s="1" t="s">
        <v>2072</v>
      </c>
      <c r="O353" s="1" t="s">
        <v>432</v>
      </c>
      <c r="R353" s="1" t="s">
        <v>3927</v>
      </c>
      <c r="S353" s="1" t="s">
        <v>2073</v>
      </c>
      <c r="AB353" s="3">
        <v>46041.545914351853</v>
      </c>
      <c r="AC353" s="3">
        <v>46041.538148148145</v>
      </c>
      <c r="AE353" s="1" t="s">
        <v>3928</v>
      </c>
      <c r="BB353" s="1" t="s">
        <v>3929</v>
      </c>
      <c r="CO353" s="1" t="s">
        <v>435</v>
      </c>
      <c r="CQ353" s="1" t="s">
        <v>432</v>
      </c>
      <c r="CR353" s="1" t="s">
        <v>561</v>
      </c>
      <c r="CS353" s="1" t="s">
        <v>561</v>
      </c>
      <c r="CT353" s="3">
        <v>46041.505844907406</v>
      </c>
      <c r="CU353" s="1" t="s">
        <v>436</v>
      </c>
      <c r="CV353" s="1" t="s">
        <v>512</v>
      </c>
      <c r="CY353" s="1" t="s">
        <v>438</v>
      </c>
      <c r="DP353" s="1" t="s">
        <v>3930</v>
      </c>
      <c r="DU353" s="1" t="s">
        <v>3931</v>
      </c>
      <c r="GZ353" s="1" t="s">
        <v>3930</v>
      </c>
      <c r="HA353" s="1" t="s">
        <v>3931</v>
      </c>
      <c r="NM353" s="1" t="s">
        <v>441</v>
      </c>
      <c r="NN353" s="1">
        <v>5</v>
      </c>
      <c r="NS353" s="1">
        <v>5</v>
      </c>
      <c r="NT353" s="1">
        <v>5</v>
      </c>
      <c r="OA353" s="1">
        <v>4</v>
      </c>
      <c r="OB353" s="1">
        <v>5</v>
      </c>
      <c r="OC353" s="1">
        <v>5</v>
      </c>
      <c r="OD353" s="1">
        <v>4</v>
      </c>
      <c r="SB353" s="1" t="s">
        <v>2963</v>
      </c>
      <c r="SC353" s="1" t="s">
        <v>796</v>
      </c>
      <c r="SF353" s="1" t="s">
        <v>2964</v>
      </c>
      <c r="SG353" s="1" t="s">
        <v>1686</v>
      </c>
      <c r="SH353" s="1" t="s">
        <v>438</v>
      </c>
      <c r="SI353" s="1" t="s">
        <v>432</v>
      </c>
      <c r="SK353" s="1" t="s">
        <v>672</v>
      </c>
      <c r="SL353" s="1" t="s">
        <v>787</v>
      </c>
    </row>
    <row r="354" spans="1:509" ht="64" x14ac:dyDescent="0.2">
      <c r="A354" s="1" t="s">
        <v>3932</v>
      </c>
      <c r="B354" s="1">
        <v>10</v>
      </c>
      <c r="C354" s="1">
        <v>5</v>
      </c>
      <c r="D354" s="3">
        <v>46041.473078703704</v>
      </c>
      <c r="E354" s="1">
        <v>5146807</v>
      </c>
      <c r="F354" s="1" t="s">
        <v>428</v>
      </c>
      <c r="H354" s="1" t="s">
        <v>3933</v>
      </c>
      <c r="J354" s="1" t="s">
        <v>3934</v>
      </c>
      <c r="N354" s="1" t="s">
        <v>3935</v>
      </c>
      <c r="O354" s="1" t="s">
        <v>438</v>
      </c>
      <c r="R354" s="1" t="s">
        <v>3934</v>
      </c>
      <c r="S354" s="1" t="s">
        <v>3936</v>
      </c>
      <c r="AB354" s="3">
        <v>46041.551712962966</v>
      </c>
      <c r="AC354" s="3">
        <v>46041.537997685184</v>
      </c>
      <c r="AE354" s="1" t="s">
        <v>3937</v>
      </c>
      <c r="BB354" s="1" t="s">
        <v>3938</v>
      </c>
      <c r="CO354" s="1" t="s">
        <v>435</v>
      </c>
      <c r="CQ354" s="1" t="s">
        <v>432</v>
      </c>
      <c r="CR354" s="1" t="s">
        <v>561</v>
      </c>
      <c r="CS354" s="1" t="s">
        <v>561</v>
      </c>
      <c r="CT354" s="3">
        <v>46041.471701388888</v>
      </c>
      <c r="CU354" s="1" t="s">
        <v>436</v>
      </c>
      <c r="CV354" s="1" t="s">
        <v>512</v>
      </c>
      <c r="CY354" s="1" t="s">
        <v>438</v>
      </c>
      <c r="DP354" s="1" t="s">
        <v>3939</v>
      </c>
      <c r="DU354" s="1" t="s">
        <v>682</v>
      </c>
      <c r="GZ354" s="1" t="s">
        <v>3939</v>
      </c>
      <c r="HA354" s="1" t="s">
        <v>682</v>
      </c>
      <c r="NM354" s="1" t="s">
        <v>441</v>
      </c>
      <c r="NN354" s="1">
        <v>5</v>
      </c>
      <c r="NS354" s="1">
        <v>5</v>
      </c>
      <c r="NT354" s="1">
        <v>5</v>
      </c>
      <c r="OA354" s="1">
        <v>5</v>
      </c>
      <c r="OB354" s="1">
        <v>5</v>
      </c>
      <c r="OC354" s="1">
        <v>5</v>
      </c>
      <c r="OD354" s="1">
        <v>5</v>
      </c>
      <c r="SB354" s="1" t="s">
        <v>1936</v>
      </c>
      <c r="SC354" s="1" t="s">
        <v>646</v>
      </c>
      <c r="SF354" s="1" t="s">
        <v>3940</v>
      </c>
      <c r="SG354" s="1" t="s">
        <v>1254</v>
      </c>
      <c r="SH354" s="1" t="s">
        <v>438</v>
      </c>
      <c r="SI354" s="1" t="s">
        <v>438</v>
      </c>
      <c r="SK354" s="1" t="s">
        <v>2293</v>
      </c>
    </row>
    <row r="355" spans="1:509" ht="64" x14ac:dyDescent="0.2">
      <c r="A355" s="1" t="s">
        <v>3941</v>
      </c>
      <c r="B355" s="1">
        <v>10</v>
      </c>
      <c r="C355" s="1">
        <v>5</v>
      </c>
      <c r="D355" s="3">
        <v>46039.646203703705</v>
      </c>
      <c r="E355" s="1">
        <v>5143868</v>
      </c>
      <c r="F355" s="1" t="s">
        <v>428</v>
      </c>
      <c r="H355" s="1" t="s">
        <v>3942</v>
      </c>
      <c r="J355" s="1" t="s">
        <v>3943</v>
      </c>
      <c r="N355" s="1" t="s">
        <v>3944</v>
      </c>
      <c r="O355" s="1" t="s">
        <v>438</v>
      </c>
      <c r="R355" s="1" t="s">
        <v>3943</v>
      </c>
      <c r="S355" s="1" t="s">
        <v>3945</v>
      </c>
      <c r="AB355" s="3">
        <v>46041.391967592594</v>
      </c>
      <c r="AC355" s="3">
        <v>46036.809849537036</v>
      </c>
      <c r="AE355" s="1" t="s">
        <v>3946</v>
      </c>
      <c r="BB355" s="1" t="s">
        <v>3947</v>
      </c>
      <c r="CO355" s="1" t="s">
        <v>435</v>
      </c>
      <c r="CQ355" s="1" t="s">
        <v>432</v>
      </c>
      <c r="CR355" s="1" t="s">
        <v>534</v>
      </c>
      <c r="CS355" s="1" t="s">
        <v>534</v>
      </c>
      <c r="CT355" s="3">
        <v>46039.64271990741</v>
      </c>
      <c r="CU355" s="1" t="s">
        <v>436</v>
      </c>
      <c r="CV355" s="1" t="s">
        <v>512</v>
      </c>
      <c r="CY355" s="1" t="s">
        <v>438</v>
      </c>
      <c r="DP355" s="1" t="s">
        <v>3948</v>
      </c>
      <c r="DU355" s="1" t="s">
        <v>3949</v>
      </c>
      <c r="GZ355" s="1" t="s">
        <v>3948</v>
      </c>
      <c r="HA355" s="1" t="s">
        <v>3949</v>
      </c>
      <c r="NM355" s="1" t="s">
        <v>441</v>
      </c>
      <c r="NN355" s="1">
        <v>4</v>
      </c>
      <c r="NS355" s="1">
        <v>4</v>
      </c>
      <c r="NT355" s="1">
        <v>5</v>
      </c>
      <c r="OA355" s="1">
        <v>4</v>
      </c>
      <c r="OB355" s="1">
        <v>4</v>
      </c>
      <c r="OC355" s="1">
        <v>4</v>
      </c>
      <c r="OD355" s="1">
        <v>5</v>
      </c>
      <c r="SC355" s="1" t="s">
        <v>2454</v>
      </c>
      <c r="SG355" s="1" t="s">
        <v>3950</v>
      </c>
      <c r="SH355" s="1" t="s">
        <v>438</v>
      </c>
      <c r="SI355" s="1" t="s">
        <v>432</v>
      </c>
      <c r="SK355" s="1" t="s">
        <v>3112</v>
      </c>
      <c r="SL355" s="1" t="s">
        <v>3951</v>
      </c>
    </row>
    <row r="356" spans="1:509" ht="48" x14ac:dyDescent="0.2">
      <c r="A356" s="1" t="s">
        <v>3952</v>
      </c>
      <c r="B356" s="1">
        <v>10</v>
      </c>
      <c r="C356" s="1">
        <v>5</v>
      </c>
      <c r="D356" s="3">
        <v>46039.476689814815</v>
      </c>
      <c r="E356" s="1">
        <v>5143767</v>
      </c>
      <c r="F356" s="1" t="s">
        <v>428</v>
      </c>
      <c r="H356" s="1" t="s">
        <v>3953</v>
      </c>
      <c r="J356" s="1" t="s">
        <v>3954</v>
      </c>
      <c r="N356" s="1" t="s">
        <v>3793</v>
      </c>
      <c r="O356" s="1" t="s">
        <v>432</v>
      </c>
      <c r="R356" s="1" t="s">
        <v>3954</v>
      </c>
      <c r="S356" s="1" t="s">
        <v>3794</v>
      </c>
      <c r="AB356" s="3">
        <v>46041.393182870372</v>
      </c>
      <c r="AC356" s="3">
        <v>46038.540219907409</v>
      </c>
      <c r="AE356" s="1" t="s">
        <v>3955</v>
      </c>
      <c r="BB356" s="1" t="s">
        <v>3956</v>
      </c>
      <c r="CO356" s="1" t="s">
        <v>435</v>
      </c>
      <c r="CQ356" s="1" t="s">
        <v>432</v>
      </c>
      <c r="CR356" s="1" t="s">
        <v>534</v>
      </c>
      <c r="CS356" s="1" t="s">
        <v>534</v>
      </c>
      <c r="CT356" s="3">
        <v>46039.475555555553</v>
      </c>
      <c r="CU356" s="1" t="s">
        <v>436</v>
      </c>
      <c r="CV356" s="1" t="s">
        <v>512</v>
      </c>
      <c r="CY356" s="1" t="s">
        <v>438</v>
      </c>
      <c r="DP356" s="1" t="s">
        <v>3957</v>
      </c>
      <c r="DU356" s="1" t="s">
        <v>3958</v>
      </c>
      <c r="GZ356" s="1" t="s">
        <v>3957</v>
      </c>
      <c r="HA356" s="1" t="s">
        <v>3958</v>
      </c>
      <c r="NM356" s="1" t="s">
        <v>441</v>
      </c>
      <c r="NN356" s="1">
        <v>4</v>
      </c>
      <c r="NS356" s="1">
        <v>5</v>
      </c>
      <c r="NT356" s="1">
        <v>5</v>
      </c>
      <c r="OA356" s="1">
        <v>5</v>
      </c>
      <c r="OB356" s="1">
        <v>5</v>
      </c>
      <c r="OC356" s="1">
        <v>5</v>
      </c>
      <c r="OD356" s="1">
        <v>5</v>
      </c>
      <c r="SB356" s="1" t="s">
        <v>443</v>
      </c>
      <c r="SC356" s="1" t="s">
        <v>3959</v>
      </c>
      <c r="SF356" s="1" t="s">
        <v>444</v>
      </c>
      <c r="SG356" s="1" t="s">
        <v>3960</v>
      </c>
      <c r="SH356" s="1" t="s">
        <v>438</v>
      </c>
      <c r="SI356" s="1" t="s">
        <v>432</v>
      </c>
      <c r="SK356" s="1" t="s">
        <v>445</v>
      </c>
      <c r="SL356" s="1" t="s">
        <v>2547</v>
      </c>
    </row>
    <row r="357" spans="1:509" ht="64" x14ac:dyDescent="0.2">
      <c r="A357" s="1" t="s">
        <v>3961</v>
      </c>
      <c r="B357" s="1">
        <v>10</v>
      </c>
      <c r="C357" s="1">
        <v>5</v>
      </c>
      <c r="D357" s="3">
        <v>46039.36146990741</v>
      </c>
      <c r="E357" s="1">
        <v>5143694</v>
      </c>
      <c r="F357" s="1" t="s">
        <v>428</v>
      </c>
      <c r="H357" s="1" t="s">
        <v>3962</v>
      </c>
      <c r="J357" s="1" t="s">
        <v>3963</v>
      </c>
      <c r="O357" s="1" t="s">
        <v>432</v>
      </c>
      <c r="R357" s="1" t="s">
        <v>3963</v>
      </c>
      <c r="AB357" s="3">
        <v>46041.388275462959</v>
      </c>
      <c r="AC357" s="3">
        <v>46034.764826388891</v>
      </c>
      <c r="AE357" s="1" t="s">
        <v>3964</v>
      </c>
      <c r="BB357" s="1" t="s">
        <v>3965</v>
      </c>
      <c r="CO357" s="1" t="s">
        <v>435</v>
      </c>
      <c r="CQ357" s="1" t="s">
        <v>432</v>
      </c>
      <c r="CR357" s="1" t="s">
        <v>1227</v>
      </c>
      <c r="CS357" s="1" t="s">
        <v>1227</v>
      </c>
      <c r="CT357" s="3">
        <v>46039.361377314817</v>
      </c>
      <c r="CU357" s="1" t="s">
        <v>436</v>
      </c>
      <c r="CV357" s="1" t="s">
        <v>512</v>
      </c>
      <c r="CY357" s="1" t="s">
        <v>438</v>
      </c>
      <c r="DP357" s="1" t="s">
        <v>3966</v>
      </c>
      <c r="DU357" s="1" t="s">
        <v>2189</v>
      </c>
      <c r="GZ357" s="1" t="s">
        <v>3966</v>
      </c>
      <c r="HA357" s="1" t="s">
        <v>2189</v>
      </c>
      <c r="NM357" s="1" t="s">
        <v>441</v>
      </c>
      <c r="NN357" s="1">
        <v>5</v>
      </c>
      <c r="NS357" s="1">
        <v>5</v>
      </c>
      <c r="NT357" s="1">
        <v>5</v>
      </c>
      <c r="OA357" s="1">
        <v>5</v>
      </c>
      <c r="OB357" s="1">
        <v>5</v>
      </c>
      <c r="OC357" s="1">
        <v>5</v>
      </c>
      <c r="OD357" s="1">
        <v>5</v>
      </c>
      <c r="SB357" s="1" t="s">
        <v>3967</v>
      </c>
      <c r="SC357" s="1" t="s">
        <v>716</v>
      </c>
      <c r="SE357" s="1" t="s">
        <v>484</v>
      </c>
      <c r="SF357" s="1" t="s">
        <v>3968</v>
      </c>
      <c r="SG357" s="1" t="s">
        <v>718</v>
      </c>
      <c r="SH357" s="1" t="s">
        <v>438</v>
      </c>
      <c r="SI357" s="1" t="s">
        <v>432</v>
      </c>
      <c r="SK357" s="1" t="s">
        <v>1126</v>
      </c>
    </row>
    <row r="358" spans="1:509" ht="32" x14ac:dyDescent="0.2">
      <c r="A358" s="1" t="s">
        <v>3969</v>
      </c>
      <c r="B358" s="1">
        <v>10</v>
      </c>
      <c r="C358" s="1">
        <v>5</v>
      </c>
      <c r="D358" s="3">
        <v>46039.239178240743</v>
      </c>
      <c r="E358" s="1">
        <v>5143640</v>
      </c>
      <c r="F358" s="1" t="s">
        <v>428</v>
      </c>
      <c r="H358" s="1" t="s">
        <v>3970</v>
      </c>
      <c r="J358" s="1" t="s">
        <v>3971</v>
      </c>
      <c r="N358" s="1" t="s">
        <v>3972</v>
      </c>
      <c r="O358" s="1" t="s">
        <v>438</v>
      </c>
      <c r="R358" s="1" t="s">
        <v>3971</v>
      </c>
      <c r="S358" s="1" t="s">
        <v>3973</v>
      </c>
      <c r="AB358" s="3">
        <v>46041.479629629626</v>
      </c>
      <c r="AC358" s="3">
        <v>46038.539236111108</v>
      </c>
      <c r="AE358" s="1" t="s">
        <v>3974</v>
      </c>
      <c r="BB358" s="1" t="s">
        <v>3975</v>
      </c>
      <c r="CO358" s="1" t="s">
        <v>435</v>
      </c>
      <c r="CQ358" s="1" t="s">
        <v>432</v>
      </c>
      <c r="CR358" s="1" t="s">
        <v>561</v>
      </c>
      <c r="CS358" s="1" t="s">
        <v>561</v>
      </c>
      <c r="CT358" s="3">
        <v>46039.237256944441</v>
      </c>
      <c r="CU358" s="1" t="s">
        <v>436</v>
      </c>
      <c r="CV358" s="1" t="s">
        <v>512</v>
      </c>
      <c r="CY358" s="1" t="s">
        <v>438</v>
      </c>
      <c r="DP358" s="1" t="s">
        <v>3976</v>
      </c>
      <c r="DU358" s="1" t="s">
        <v>3977</v>
      </c>
      <c r="GZ358" s="1" t="s">
        <v>3976</v>
      </c>
      <c r="HA358" s="1" t="s">
        <v>3977</v>
      </c>
      <c r="NM358" s="1" t="s">
        <v>441</v>
      </c>
      <c r="NN358" s="1">
        <v>5</v>
      </c>
      <c r="NS358" s="1">
        <v>5</v>
      </c>
      <c r="NT358" s="1">
        <v>5</v>
      </c>
      <c r="OA358" s="1">
        <v>5</v>
      </c>
      <c r="OB358" s="1">
        <v>5</v>
      </c>
      <c r="OC358" s="1">
        <v>5</v>
      </c>
      <c r="OD358" s="1">
        <v>5</v>
      </c>
      <c r="SC358" s="1" t="s">
        <v>443</v>
      </c>
      <c r="SG358" s="1" t="s">
        <v>444</v>
      </c>
      <c r="SH358" s="1" t="s">
        <v>438</v>
      </c>
      <c r="SI358" s="1" t="s">
        <v>438</v>
      </c>
      <c r="SK358" s="1" t="s">
        <v>445</v>
      </c>
    </row>
    <row r="359" spans="1:509" ht="32" x14ac:dyDescent="0.2">
      <c r="A359" s="1" t="s">
        <v>3518</v>
      </c>
      <c r="B359" s="1">
        <v>8</v>
      </c>
      <c r="C359" s="1">
        <v>5</v>
      </c>
      <c r="D359" s="3">
        <v>46038.554178240738</v>
      </c>
      <c r="E359" s="1">
        <v>5142795</v>
      </c>
      <c r="F359" s="1" t="s">
        <v>428</v>
      </c>
      <c r="H359" s="1" t="s">
        <v>3519</v>
      </c>
      <c r="J359" s="1" t="s">
        <v>3978</v>
      </c>
      <c r="N359" s="1" t="s">
        <v>2703</v>
      </c>
      <c r="O359" s="1" t="s">
        <v>432</v>
      </c>
      <c r="R359" s="1" t="s">
        <v>3978</v>
      </c>
      <c r="S359" s="1" t="s">
        <v>2704</v>
      </c>
      <c r="AB359" s="3">
        <v>46041.378437500003</v>
      </c>
      <c r="AC359" s="3">
        <v>46038.537546296298</v>
      </c>
      <c r="AE359" s="1" t="s">
        <v>3979</v>
      </c>
      <c r="BB359" s="1" t="s">
        <v>3980</v>
      </c>
      <c r="CO359" s="1" t="s">
        <v>435</v>
      </c>
      <c r="CQ359" s="1" t="s">
        <v>432</v>
      </c>
      <c r="CR359" s="1" t="s">
        <v>852</v>
      </c>
      <c r="CS359" s="1" t="s">
        <v>852</v>
      </c>
      <c r="CT359" s="3">
        <v>46038.553865740738</v>
      </c>
      <c r="CU359" s="1" t="s">
        <v>524</v>
      </c>
      <c r="CV359" s="1" t="s">
        <v>512</v>
      </c>
      <c r="CY359" s="1" t="s">
        <v>438</v>
      </c>
      <c r="DP359" s="1" t="s">
        <v>3981</v>
      </c>
      <c r="GZ359" s="1" t="s">
        <v>3981</v>
      </c>
      <c r="NM359" s="1" t="s">
        <v>441</v>
      </c>
      <c r="NN359" s="1">
        <v>4</v>
      </c>
      <c r="NS359" s="1">
        <v>5</v>
      </c>
      <c r="NT359" s="1">
        <v>5</v>
      </c>
      <c r="OA359" s="1">
        <v>5</v>
      </c>
      <c r="OB359" s="1">
        <v>4</v>
      </c>
      <c r="OC359" s="1">
        <v>5</v>
      </c>
      <c r="OD359" s="1">
        <v>4</v>
      </c>
      <c r="SB359" s="1" t="s">
        <v>615</v>
      </c>
      <c r="SC359" s="1" t="s">
        <v>646</v>
      </c>
      <c r="SF359" s="1" t="s">
        <v>844</v>
      </c>
      <c r="SG359" s="1" t="s">
        <v>1254</v>
      </c>
      <c r="SH359" s="1" t="s">
        <v>438</v>
      </c>
      <c r="SI359" s="1" t="s">
        <v>432</v>
      </c>
      <c r="SK359" s="1" t="s">
        <v>1372</v>
      </c>
      <c r="SL359" s="1" t="s">
        <v>1166</v>
      </c>
    </row>
    <row r="360" spans="1:509" ht="32" x14ac:dyDescent="0.2">
      <c r="A360" s="1" t="s">
        <v>3982</v>
      </c>
      <c r="B360" s="1">
        <v>10</v>
      </c>
      <c r="C360" s="1">
        <v>5</v>
      </c>
      <c r="D360" s="3">
        <v>46038.54896990741</v>
      </c>
      <c r="E360" s="1">
        <v>5142759</v>
      </c>
      <c r="F360" s="1" t="s">
        <v>428</v>
      </c>
      <c r="H360" s="1" t="s">
        <v>3983</v>
      </c>
      <c r="J360" s="1" t="s">
        <v>3984</v>
      </c>
      <c r="N360" s="1" t="s">
        <v>1704</v>
      </c>
      <c r="O360" s="1" t="s">
        <v>438</v>
      </c>
      <c r="R360" s="1" t="s">
        <v>3984</v>
      </c>
      <c r="S360" s="1" t="s">
        <v>1705</v>
      </c>
      <c r="AB360" s="3">
        <v>46041.397800925923</v>
      </c>
      <c r="AC360" s="3">
        <v>46038.539155092592</v>
      </c>
      <c r="AE360" s="1" t="s">
        <v>3985</v>
      </c>
      <c r="BB360" s="1" t="s">
        <v>3986</v>
      </c>
      <c r="CO360" s="1" t="s">
        <v>435</v>
      </c>
      <c r="CQ360" s="1" t="s">
        <v>432</v>
      </c>
      <c r="CR360" s="1" t="s">
        <v>511</v>
      </c>
      <c r="CS360" s="1" t="s">
        <v>511</v>
      </c>
      <c r="CT360" s="3">
        <v>46038.543923611112</v>
      </c>
      <c r="CU360" s="1" t="s">
        <v>436</v>
      </c>
      <c r="CV360" s="1" t="s">
        <v>512</v>
      </c>
      <c r="CY360" s="1" t="s">
        <v>438</v>
      </c>
      <c r="DP360" s="1" t="s">
        <v>3987</v>
      </c>
      <c r="GZ360" s="1" t="s">
        <v>3987</v>
      </c>
      <c r="NM360" s="1" t="s">
        <v>441</v>
      </c>
      <c r="NN360" s="1">
        <v>5</v>
      </c>
      <c r="NS360" s="1">
        <v>5</v>
      </c>
      <c r="NT360" s="1">
        <v>5</v>
      </c>
      <c r="OA360" s="1">
        <v>5</v>
      </c>
      <c r="OB360" s="1">
        <v>5</v>
      </c>
      <c r="OC360" s="1">
        <v>5</v>
      </c>
      <c r="OD360" s="1">
        <v>5</v>
      </c>
      <c r="SC360" s="1" t="s">
        <v>1572</v>
      </c>
      <c r="SG360" s="1" t="s">
        <v>1573</v>
      </c>
      <c r="SH360" s="1" t="s">
        <v>438</v>
      </c>
      <c r="SI360" s="1" t="s">
        <v>432</v>
      </c>
      <c r="SK360" s="1" t="s">
        <v>486</v>
      </c>
    </row>
    <row r="361" spans="1:509" ht="32" x14ac:dyDescent="0.2">
      <c r="A361" s="1" t="s">
        <v>3988</v>
      </c>
      <c r="B361" s="1">
        <v>8</v>
      </c>
      <c r="C361" s="1">
        <v>5</v>
      </c>
      <c r="D361" s="3">
        <v>46038.544409722221</v>
      </c>
      <c r="E361" s="1">
        <v>5142758</v>
      </c>
      <c r="F361" s="1" t="s">
        <v>428</v>
      </c>
      <c r="H361" s="1" t="s">
        <v>3989</v>
      </c>
      <c r="J361" s="1" t="s">
        <v>3990</v>
      </c>
      <c r="N361" s="1" t="s">
        <v>3991</v>
      </c>
      <c r="O361" s="1" t="s">
        <v>432</v>
      </c>
      <c r="R361" s="1" t="s">
        <v>3990</v>
      </c>
      <c r="S361" s="1" t="s">
        <v>3992</v>
      </c>
      <c r="AB361" s="3">
        <v>46041.396793981483</v>
      </c>
      <c r="AC361" s="3">
        <v>46038.53806712963</v>
      </c>
      <c r="AE361" s="1" t="s">
        <v>3993</v>
      </c>
      <c r="BB361" s="1" t="s">
        <v>3994</v>
      </c>
      <c r="CO361" s="1" t="s">
        <v>435</v>
      </c>
      <c r="CQ361" s="1" t="s">
        <v>432</v>
      </c>
      <c r="CR361" s="1" t="s">
        <v>511</v>
      </c>
      <c r="CS361" s="1" t="s">
        <v>511</v>
      </c>
      <c r="CT361" s="3">
        <v>46038.543923611112</v>
      </c>
      <c r="CU361" s="1" t="s">
        <v>524</v>
      </c>
      <c r="CV361" s="1" t="s">
        <v>512</v>
      </c>
      <c r="CY361" s="1" t="s">
        <v>438</v>
      </c>
      <c r="DP361" s="1" t="s">
        <v>3995</v>
      </c>
      <c r="DU361" s="1" t="s">
        <v>440</v>
      </c>
      <c r="GZ361" s="1" t="s">
        <v>3995</v>
      </c>
      <c r="HA361" s="1" t="s">
        <v>440</v>
      </c>
      <c r="NM361" s="1" t="s">
        <v>441</v>
      </c>
      <c r="NN361" s="1">
        <v>4</v>
      </c>
      <c r="NS361" s="1">
        <v>5</v>
      </c>
      <c r="NT361" s="1">
        <v>5</v>
      </c>
      <c r="OA361" s="1">
        <v>5</v>
      </c>
      <c r="OB361" s="1">
        <v>5</v>
      </c>
      <c r="OC361" s="1">
        <v>5</v>
      </c>
      <c r="OD361" s="1">
        <v>4</v>
      </c>
      <c r="SC361" s="1" t="s">
        <v>443</v>
      </c>
      <c r="SG361" s="1" t="s">
        <v>444</v>
      </c>
      <c r="SH361" s="1" t="s">
        <v>438</v>
      </c>
      <c r="SI361" s="1" t="s">
        <v>432</v>
      </c>
      <c r="SK361" s="1" t="s">
        <v>445</v>
      </c>
    </row>
    <row r="362" spans="1:509" ht="80" x14ac:dyDescent="0.2">
      <c r="A362" s="1" t="s">
        <v>3996</v>
      </c>
      <c r="B362" s="1">
        <v>10</v>
      </c>
      <c r="C362" s="1">
        <v>5</v>
      </c>
      <c r="D362" s="3">
        <v>46038.521458333336</v>
      </c>
      <c r="E362" s="1">
        <v>5142665</v>
      </c>
      <c r="F362" s="1" t="s">
        <v>428</v>
      </c>
      <c r="H362" s="1" t="s">
        <v>3997</v>
      </c>
      <c r="J362" s="1" t="s">
        <v>3998</v>
      </c>
      <c r="O362" s="1" t="s">
        <v>432</v>
      </c>
      <c r="R362" s="1" t="s">
        <v>3998</v>
      </c>
      <c r="AB362" s="3">
        <v>46041.39303240741</v>
      </c>
      <c r="AC362" s="3">
        <v>46035.537916666668</v>
      </c>
      <c r="AE362" s="1" t="s">
        <v>3999</v>
      </c>
      <c r="BB362" s="1" t="s">
        <v>4000</v>
      </c>
      <c r="CO362" s="1" t="s">
        <v>435</v>
      </c>
      <c r="CQ362" s="1" t="s">
        <v>432</v>
      </c>
      <c r="CR362" s="1" t="s">
        <v>511</v>
      </c>
      <c r="CS362" s="1" t="s">
        <v>511</v>
      </c>
      <c r="CT362" s="3">
        <v>46038.520451388889</v>
      </c>
      <c r="CU362" s="1" t="s">
        <v>436</v>
      </c>
      <c r="CV362" s="1" t="s">
        <v>512</v>
      </c>
      <c r="CY362" s="1" t="s">
        <v>438</v>
      </c>
      <c r="DP362" s="1" t="s">
        <v>4001</v>
      </c>
      <c r="DU362" s="1" t="s">
        <v>4002</v>
      </c>
      <c r="GZ362" s="1" t="s">
        <v>4001</v>
      </c>
      <c r="HA362" s="1" t="s">
        <v>4002</v>
      </c>
      <c r="NM362" s="1" t="s">
        <v>441</v>
      </c>
      <c r="NN362" s="1">
        <v>5</v>
      </c>
      <c r="NS362" s="1">
        <v>5</v>
      </c>
      <c r="NT362" s="1">
        <v>5</v>
      </c>
      <c r="OA362" s="1">
        <v>5</v>
      </c>
      <c r="OB362" s="1">
        <v>5</v>
      </c>
      <c r="OC362" s="1">
        <v>5</v>
      </c>
      <c r="OD362" s="1">
        <v>5</v>
      </c>
      <c r="SB362" s="1" t="s">
        <v>443</v>
      </c>
      <c r="SC362" s="1" t="s">
        <v>4003</v>
      </c>
      <c r="SF362" s="1" t="s">
        <v>444</v>
      </c>
      <c r="SG362" s="1" t="s">
        <v>4004</v>
      </c>
      <c r="SH362" s="1" t="s">
        <v>438</v>
      </c>
      <c r="SI362" s="1" t="s">
        <v>438</v>
      </c>
      <c r="SK362" s="1" t="s">
        <v>568</v>
      </c>
      <c r="SL362" s="1" t="s">
        <v>1126</v>
      </c>
      <c r="SM362" s="1" t="s">
        <v>799</v>
      </c>
      <c r="SN362" s="1" t="s">
        <v>2108</v>
      </c>
      <c r="SO362" s="1" t="s">
        <v>540</v>
      </c>
    </row>
    <row r="363" spans="1:509" ht="48" x14ac:dyDescent="0.2">
      <c r="A363" s="1" t="s">
        <v>4005</v>
      </c>
      <c r="B363" s="1">
        <v>8</v>
      </c>
      <c r="C363" s="1">
        <v>4</v>
      </c>
      <c r="D363" s="3">
        <v>46038.44734953704</v>
      </c>
      <c r="E363" s="1">
        <v>5142176</v>
      </c>
      <c r="F363" s="1" t="s">
        <v>428</v>
      </c>
      <c r="H363" s="1" t="s">
        <v>4006</v>
      </c>
      <c r="J363" s="1" t="s">
        <v>4007</v>
      </c>
      <c r="N363" s="1" t="s">
        <v>4008</v>
      </c>
      <c r="O363" s="1" t="s">
        <v>432</v>
      </c>
      <c r="R363" s="1" t="s">
        <v>4007</v>
      </c>
      <c r="S363" s="1" t="s">
        <v>4009</v>
      </c>
      <c r="AB363" s="3">
        <v>46041.354421296295</v>
      </c>
      <c r="AC363" s="3">
        <v>46038.53800925926</v>
      </c>
      <c r="AE363" s="1" t="s">
        <v>4010</v>
      </c>
      <c r="BB363" s="1" t="s">
        <v>4011</v>
      </c>
      <c r="CO363" s="1" t="s">
        <v>435</v>
      </c>
      <c r="CQ363" s="1" t="s">
        <v>432</v>
      </c>
      <c r="CR363" s="1" t="s">
        <v>511</v>
      </c>
      <c r="CS363" s="1" t="s">
        <v>511</v>
      </c>
      <c r="CT363" s="3">
        <v>46038.42864583333</v>
      </c>
      <c r="CU363" s="1" t="s">
        <v>524</v>
      </c>
      <c r="CV363" s="1" t="s">
        <v>512</v>
      </c>
      <c r="CY363" s="1" t="s">
        <v>438</v>
      </c>
      <c r="DP363" s="1" t="s">
        <v>1947</v>
      </c>
      <c r="DU363" s="1" t="s">
        <v>874</v>
      </c>
      <c r="GZ363" s="1" t="s">
        <v>1947</v>
      </c>
      <c r="HA363" s="1" t="s">
        <v>874</v>
      </c>
      <c r="NM363" s="1" t="s">
        <v>441</v>
      </c>
      <c r="NN363" s="1">
        <v>4</v>
      </c>
      <c r="NS363" s="1">
        <v>3</v>
      </c>
      <c r="NT363" s="1">
        <v>4</v>
      </c>
      <c r="OA363" s="1">
        <v>4</v>
      </c>
      <c r="OB363" s="1">
        <v>4</v>
      </c>
      <c r="OC363" s="1">
        <v>4</v>
      </c>
      <c r="OD363" s="1">
        <v>4</v>
      </c>
      <c r="SC363" s="1" t="s">
        <v>443</v>
      </c>
      <c r="SG363" s="1" t="s">
        <v>444</v>
      </c>
      <c r="SH363" s="1" t="s">
        <v>438</v>
      </c>
      <c r="SI363" s="1" t="s">
        <v>432</v>
      </c>
      <c r="SK363" s="1" t="s">
        <v>568</v>
      </c>
    </row>
    <row r="364" spans="1:509" ht="48" x14ac:dyDescent="0.2">
      <c r="A364" s="1" t="s">
        <v>4012</v>
      </c>
      <c r="B364" s="1">
        <v>6</v>
      </c>
      <c r="C364" s="1">
        <v>4</v>
      </c>
      <c r="D364" s="3">
        <v>46038.444432870368</v>
      </c>
      <c r="E364" s="1">
        <v>5142312</v>
      </c>
      <c r="F364" s="1" t="s">
        <v>428</v>
      </c>
      <c r="H364" s="1" t="s">
        <v>4013</v>
      </c>
      <c r="J364" s="1" t="s">
        <v>4014</v>
      </c>
      <c r="O364" s="1" t="s">
        <v>432</v>
      </c>
      <c r="R364" s="1" t="s">
        <v>4014</v>
      </c>
      <c r="AB364" s="3">
        <v>46048.484282407408</v>
      </c>
      <c r="AC364" s="3">
        <v>46038.539097222223</v>
      </c>
      <c r="AE364" s="1" t="s">
        <v>4015</v>
      </c>
      <c r="BB364" s="1" t="s">
        <v>4016</v>
      </c>
      <c r="CO364" s="1" t="s">
        <v>435</v>
      </c>
      <c r="CQ364" s="1" t="s">
        <v>432</v>
      </c>
      <c r="CR364" s="1" t="s">
        <v>4017</v>
      </c>
      <c r="CS364" s="1" t="s">
        <v>729</v>
      </c>
      <c r="CT364" s="3">
        <v>46038.441689814812</v>
      </c>
      <c r="CU364" s="1" t="s">
        <v>1206</v>
      </c>
      <c r="CV364" s="1" t="s">
        <v>512</v>
      </c>
      <c r="CW364" s="3">
        <v>46048.484224537038</v>
      </c>
      <c r="CX364" s="1" t="s">
        <v>1057</v>
      </c>
      <c r="CY364" s="1" t="s">
        <v>438</v>
      </c>
      <c r="DP364" s="1" t="s">
        <v>4018</v>
      </c>
      <c r="DU364" s="1" t="s">
        <v>4019</v>
      </c>
      <c r="GZ364" s="1" t="s">
        <v>4018</v>
      </c>
      <c r="HA364" s="1" t="s">
        <v>4019</v>
      </c>
      <c r="NM364" s="1" t="s">
        <v>441</v>
      </c>
      <c r="NN364" s="1">
        <v>3</v>
      </c>
      <c r="NS364" s="1">
        <v>3</v>
      </c>
      <c r="NT364" s="1">
        <v>5</v>
      </c>
      <c r="OA364" s="1">
        <v>4</v>
      </c>
      <c r="OB364" s="1">
        <v>3</v>
      </c>
      <c r="OC364" s="1">
        <v>4</v>
      </c>
      <c r="OD364" s="1">
        <v>3</v>
      </c>
      <c r="SB364" s="1" t="s">
        <v>443</v>
      </c>
      <c r="SC364" s="1" t="s">
        <v>773</v>
      </c>
      <c r="SF364" s="1" t="s">
        <v>444</v>
      </c>
      <c r="SG364" s="1" t="s">
        <v>786</v>
      </c>
      <c r="SH364" s="1" t="s">
        <v>438</v>
      </c>
      <c r="SI364" s="1" t="s">
        <v>438</v>
      </c>
      <c r="SK364" s="1" t="s">
        <v>568</v>
      </c>
      <c r="SL364" s="1" t="s">
        <v>787</v>
      </c>
    </row>
    <row r="365" spans="1:509" ht="48" x14ac:dyDescent="0.2">
      <c r="A365" s="1" t="s">
        <v>4020</v>
      </c>
      <c r="B365" s="1">
        <v>10</v>
      </c>
      <c r="C365" s="1">
        <v>5</v>
      </c>
      <c r="D365" s="3">
        <v>46038.425034722219</v>
      </c>
      <c r="E365" s="1">
        <v>5142140</v>
      </c>
      <c r="F365" s="1" t="s">
        <v>428</v>
      </c>
      <c r="H365" s="1" t="s">
        <v>4021</v>
      </c>
      <c r="J365" s="1" t="s">
        <v>4022</v>
      </c>
      <c r="N365" s="1" t="s">
        <v>4023</v>
      </c>
      <c r="O365" s="1" t="s">
        <v>432</v>
      </c>
      <c r="R365" s="1" t="s">
        <v>4022</v>
      </c>
      <c r="S365" s="1" t="s">
        <v>4024</v>
      </c>
      <c r="AB365" s="3">
        <v>46041.344930555555</v>
      </c>
      <c r="AC365" s="3">
        <v>46038.537951388891</v>
      </c>
      <c r="AE365" s="1" t="s">
        <v>4025</v>
      </c>
      <c r="BB365" s="1" t="s">
        <v>4026</v>
      </c>
      <c r="CO365" s="1" t="s">
        <v>435</v>
      </c>
      <c r="CQ365" s="1" t="s">
        <v>432</v>
      </c>
      <c r="CR365" s="1" t="s">
        <v>511</v>
      </c>
      <c r="CS365" s="1" t="s">
        <v>511</v>
      </c>
      <c r="CT365" s="3">
        <v>46038.424629629626</v>
      </c>
      <c r="CU365" s="1" t="s">
        <v>436</v>
      </c>
      <c r="CV365" s="1" t="s">
        <v>512</v>
      </c>
      <c r="CY365" s="1" t="s">
        <v>438</v>
      </c>
      <c r="DP365" s="1" t="s">
        <v>4027</v>
      </c>
      <c r="DU365" s="1" t="s">
        <v>4028</v>
      </c>
      <c r="GZ365" s="1" t="s">
        <v>4027</v>
      </c>
      <c r="HA365" s="1" t="s">
        <v>4028</v>
      </c>
      <c r="NM365" s="1" t="s">
        <v>441</v>
      </c>
      <c r="NN365" s="1">
        <v>5</v>
      </c>
      <c r="NS365" s="1">
        <v>5</v>
      </c>
      <c r="NT365" s="1">
        <v>5</v>
      </c>
      <c r="OA365" s="1">
        <v>5</v>
      </c>
      <c r="OB365" s="1">
        <v>5</v>
      </c>
      <c r="OC365" s="1">
        <v>5</v>
      </c>
      <c r="OD365" s="1">
        <v>4</v>
      </c>
      <c r="SB365" s="1" t="s">
        <v>732</v>
      </c>
      <c r="SC365" s="1" t="s">
        <v>4029</v>
      </c>
      <c r="SF365" s="1" t="s">
        <v>4030</v>
      </c>
      <c r="SG365" s="1" t="s">
        <v>4031</v>
      </c>
      <c r="SH365" s="1" t="s">
        <v>438</v>
      </c>
      <c r="SI365" s="1" t="s">
        <v>438</v>
      </c>
      <c r="SK365" s="1" t="s">
        <v>1126</v>
      </c>
      <c r="SL365" s="1" t="s">
        <v>3597</v>
      </c>
    </row>
    <row r="366" spans="1:509" ht="64" x14ac:dyDescent="0.2">
      <c r="A366" s="1" t="s">
        <v>4032</v>
      </c>
      <c r="B366" s="1">
        <v>10</v>
      </c>
      <c r="C366" s="1">
        <v>5</v>
      </c>
      <c r="D366" s="3">
        <v>46037.910474537035</v>
      </c>
      <c r="E366" s="1">
        <v>5141405</v>
      </c>
      <c r="F366" s="1" t="s">
        <v>428</v>
      </c>
      <c r="H366" s="1" t="s">
        <v>4033</v>
      </c>
      <c r="J366" s="1" t="s">
        <v>4034</v>
      </c>
      <c r="O366" s="1" t="s">
        <v>432</v>
      </c>
      <c r="R366" s="1" t="s">
        <v>4034</v>
      </c>
      <c r="AB366" s="3">
        <v>46038.374861111108</v>
      </c>
      <c r="AC366" s="3">
        <v>46030.530092592591</v>
      </c>
      <c r="AE366" s="1" t="s">
        <v>4035</v>
      </c>
      <c r="BB366" s="1" t="s">
        <v>4036</v>
      </c>
      <c r="CO366" s="1" t="s">
        <v>435</v>
      </c>
      <c r="CQ366" s="1" t="s">
        <v>432</v>
      </c>
      <c r="CR366" s="1" t="s">
        <v>549</v>
      </c>
      <c r="CS366" s="1" t="s">
        <v>549</v>
      </c>
      <c r="CT366" s="3">
        <v>46037.905868055554</v>
      </c>
      <c r="CU366" s="1" t="s">
        <v>436</v>
      </c>
      <c r="CV366" s="1" t="s">
        <v>512</v>
      </c>
      <c r="CY366" s="1" t="s">
        <v>438</v>
      </c>
      <c r="DP366" s="1" t="s">
        <v>4037</v>
      </c>
      <c r="DU366" s="1" t="s">
        <v>4038</v>
      </c>
      <c r="GZ366" s="1" t="s">
        <v>4037</v>
      </c>
      <c r="HA366" s="1" t="s">
        <v>4038</v>
      </c>
      <c r="NM366" s="1" t="s">
        <v>441</v>
      </c>
      <c r="NN366" s="1">
        <v>5</v>
      </c>
      <c r="NS366" s="1">
        <v>5</v>
      </c>
      <c r="NT366" s="1">
        <v>5</v>
      </c>
      <c r="OA366" s="1">
        <v>5</v>
      </c>
      <c r="OB366" s="1">
        <v>5</v>
      </c>
      <c r="OC366" s="1">
        <v>5</v>
      </c>
      <c r="OD366" s="1">
        <v>5</v>
      </c>
      <c r="SB366" s="1" t="s">
        <v>443</v>
      </c>
      <c r="SC366" s="1" t="s">
        <v>999</v>
      </c>
      <c r="SF366" s="1" t="s">
        <v>444</v>
      </c>
      <c r="SG366" s="1" t="s">
        <v>2128</v>
      </c>
      <c r="SH366" s="1" t="s">
        <v>438</v>
      </c>
      <c r="SI366" s="1" t="s">
        <v>438</v>
      </c>
      <c r="SK366" s="1" t="s">
        <v>445</v>
      </c>
      <c r="SL366" s="1" t="s">
        <v>580</v>
      </c>
    </row>
    <row r="367" spans="1:509" ht="48" x14ac:dyDescent="0.2">
      <c r="A367" s="1" t="s">
        <v>4039</v>
      </c>
      <c r="B367" s="1">
        <v>10</v>
      </c>
      <c r="C367" s="1">
        <v>5</v>
      </c>
      <c r="D367" s="3">
        <v>46037.847314814811</v>
      </c>
      <c r="E367" s="1">
        <v>5141261</v>
      </c>
      <c r="F367" s="1" t="s">
        <v>428</v>
      </c>
      <c r="H367" s="1" t="s">
        <v>4040</v>
      </c>
      <c r="J367" s="1" t="s">
        <v>4041</v>
      </c>
      <c r="N367" s="1" t="s">
        <v>4042</v>
      </c>
      <c r="O367" s="1" t="s">
        <v>432</v>
      </c>
      <c r="R367" s="1" t="s">
        <v>4041</v>
      </c>
      <c r="S367" s="1" t="s">
        <v>4043</v>
      </c>
      <c r="AB367" s="3">
        <v>46038.393935185188</v>
      </c>
      <c r="AC367" s="3">
        <v>46037.76494212963</v>
      </c>
      <c r="AE367" s="1" t="s">
        <v>4044</v>
      </c>
      <c r="BB367" s="1" t="s">
        <v>4045</v>
      </c>
      <c r="CO367" s="1" t="s">
        <v>435</v>
      </c>
      <c r="CQ367" s="1" t="s">
        <v>432</v>
      </c>
      <c r="CR367" s="1" t="s">
        <v>561</v>
      </c>
      <c r="CS367" s="1" t="s">
        <v>561</v>
      </c>
      <c r="CT367" s="3">
        <v>46037.845034722224</v>
      </c>
      <c r="CU367" s="1" t="s">
        <v>436</v>
      </c>
      <c r="CV367" s="1" t="s">
        <v>512</v>
      </c>
      <c r="CY367" s="1" t="s">
        <v>438</v>
      </c>
      <c r="DP367" s="1" t="s">
        <v>4046</v>
      </c>
      <c r="DU367" s="1" t="s">
        <v>4047</v>
      </c>
      <c r="GZ367" s="1" t="s">
        <v>4046</v>
      </c>
      <c r="HA367" s="1" t="s">
        <v>4047</v>
      </c>
      <c r="NM367" s="1" t="s">
        <v>441</v>
      </c>
      <c r="NN367" s="1">
        <v>4</v>
      </c>
      <c r="NS367" s="1">
        <v>5</v>
      </c>
      <c r="NT367" s="1">
        <v>5</v>
      </c>
      <c r="OA367" s="1">
        <v>5</v>
      </c>
      <c r="OB367" s="1">
        <v>5</v>
      </c>
      <c r="OC367" s="1">
        <v>5</v>
      </c>
      <c r="OD367" s="1">
        <v>5</v>
      </c>
      <c r="SB367" s="1" t="s">
        <v>3408</v>
      </c>
      <c r="SC367" s="1" t="s">
        <v>4048</v>
      </c>
      <c r="SF367" s="1" t="s">
        <v>4049</v>
      </c>
      <c r="SG367" s="1" t="s">
        <v>4050</v>
      </c>
      <c r="SH367" s="1" t="s">
        <v>438</v>
      </c>
      <c r="SI367" s="1" t="s">
        <v>432</v>
      </c>
      <c r="SK367" s="1" t="s">
        <v>760</v>
      </c>
      <c r="SL367" s="1" t="s">
        <v>486</v>
      </c>
      <c r="SM367" s="1" t="s">
        <v>1166</v>
      </c>
    </row>
    <row r="368" spans="1:509" ht="240" x14ac:dyDescent="0.2">
      <c r="A368" s="1" t="s">
        <v>4051</v>
      </c>
      <c r="B368" s="1">
        <v>10</v>
      </c>
      <c r="C368" s="1">
        <v>5</v>
      </c>
      <c r="D368" s="3">
        <v>46037.644432870373</v>
      </c>
      <c r="E368" s="1">
        <v>5140566</v>
      </c>
      <c r="F368" s="1" t="s">
        <v>428</v>
      </c>
      <c r="H368" s="1" t="s">
        <v>4052</v>
      </c>
      <c r="J368" s="1" t="s">
        <v>4053</v>
      </c>
      <c r="N368" s="1" t="s">
        <v>4054</v>
      </c>
      <c r="O368" s="1" t="s">
        <v>438</v>
      </c>
      <c r="R368" s="1" t="s">
        <v>4053</v>
      </c>
      <c r="S368" s="1" t="s">
        <v>4055</v>
      </c>
      <c r="AB368" s="3">
        <v>46038.365856481483</v>
      </c>
      <c r="AC368" s="3">
        <v>46037.536493055559</v>
      </c>
      <c r="AE368" s="1" t="s">
        <v>4056</v>
      </c>
      <c r="BB368" s="1" t="s">
        <v>4057</v>
      </c>
      <c r="CO368" s="1" t="s">
        <v>435</v>
      </c>
      <c r="CQ368" s="1" t="s">
        <v>432</v>
      </c>
      <c r="CR368" s="1" t="s">
        <v>852</v>
      </c>
      <c r="CS368" s="1" t="s">
        <v>852</v>
      </c>
      <c r="CT368" s="3">
        <v>46037.640381944446</v>
      </c>
      <c r="CU368" s="1" t="s">
        <v>436</v>
      </c>
      <c r="CV368" s="1" t="s">
        <v>512</v>
      </c>
      <c r="CY368" s="1" t="s">
        <v>438</v>
      </c>
      <c r="DP368" s="1" t="s">
        <v>4058</v>
      </c>
      <c r="GZ368" s="1" t="s">
        <v>4058</v>
      </c>
      <c r="NM368" s="1" t="s">
        <v>441</v>
      </c>
      <c r="NN368" s="1">
        <v>5</v>
      </c>
      <c r="NS368" s="1">
        <v>5</v>
      </c>
      <c r="NT368" s="1">
        <v>5</v>
      </c>
      <c r="OA368" s="1">
        <v>5</v>
      </c>
      <c r="OB368" s="1">
        <v>5</v>
      </c>
      <c r="OC368" s="1">
        <v>5</v>
      </c>
      <c r="OD368" s="1">
        <v>5</v>
      </c>
      <c r="SB368" s="1" t="s">
        <v>1344</v>
      </c>
      <c r="SC368" s="1" t="s">
        <v>4059</v>
      </c>
      <c r="SF368" s="1" t="s">
        <v>1346</v>
      </c>
      <c r="SG368" s="1" t="s">
        <v>4060</v>
      </c>
      <c r="SH368" s="1" t="s">
        <v>438</v>
      </c>
      <c r="SI368" s="1" t="s">
        <v>438</v>
      </c>
      <c r="SK368" s="1" t="s">
        <v>919</v>
      </c>
      <c r="SL368" s="1" t="s">
        <v>4061</v>
      </c>
    </row>
    <row r="369" spans="1:508" ht="32" x14ac:dyDescent="0.2">
      <c r="A369" s="1" t="s">
        <v>4062</v>
      </c>
      <c r="B369" s="1">
        <v>10</v>
      </c>
      <c r="C369" s="1">
        <v>5</v>
      </c>
      <c r="D369" s="3">
        <v>46037.604074074072</v>
      </c>
      <c r="E369" s="1">
        <v>5140439</v>
      </c>
      <c r="F369" s="1" t="s">
        <v>428</v>
      </c>
      <c r="H369" s="1" t="s">
        <v>4063</v>
      </c>
      <c r="J369" s="1" t="s">
        <v>4064</v>
      </c>
      <c r="N369" s="1" t="s">
        <v>4065</v>
      </c>
      <c r="O369" s="1" t="s">
        <v>432</v>
      </c>
      <c r="R369" s="1" t="s">
        <v>4064</v>
      </c>
      <c r="S369" s="1" t="s">
        <v>4066</v>
      </c>
      <c r="AB369" s="3">
        <v>46038.450173611112</v>
      </c>
      <c r="AC369" s="3">
        <v>46037.72446759259</v>
      </c>
      <c r="AE369" s="1" t="s">
        <v>4067</v>
      </c>
      <c r="BB369" s="1" t="s">
        <v>4068</v>
      </c>
      <c r="CO369" s="1" t="s">
        <v>435</v>
      </c>
      <c r="CQ369" s="1" t="s">
        <v>432</v>
      </c>
      <c r="CR369" s="1" t="s">
        <v>511</v>
      </c>
      <c r="CS369" s="1" t="s">
        <v>511</v>
      </c>
      <c r="CT369" s="3">
        <v>46037.604050925926</v>
      </c>
      <c r="CU369" s="1" t="s">
        <v>436</v>
      </c>
      <c r="CV369" s="1" t="s">
        <v>512</v>
      </c>
      <c r="CY369" s="1" t="s">
        <v>438</v>
      </c>
      <c r="DP369" s="1" t="s">
        <v>4069</v>
      </c>
      <c r="DU369" s="1" t="s">
        <v>682</v>
      </c>
      <c r="GZ369" s="1" t="s">
        <v>4069</v>
      </c>
      <c r="HA369" s="1" t="s">
        <v>682</v>
      </c>
      <c r="NM369" s="1" t="s">
        <v>441</v>
      </c>
      <c r="NN369" s="1">
        <v>5</v>
      </c>
      <c r="NS369" s="1">
        <v>5</v>
      </c>
      <c r="NT369" s="1">
        <v>5</v>
      </c>
      <c r="OA369" s="1">
        <v>5</v>
      </c>
      <c r="OB369" s="1">
        <v>5</v>
      </c>
      <c r="OC369" s="1">
        <v>5</v>
      </c>
      <c r="OD369" s="1">
        <v>5</v>
      </c>
      <c r="SC369" s="1" t="s">
        <v>443</v>
      </c>
      <c r="SG369" s="1" t="s">
        <v>444</v>
      </c>
      <c r="SH369" s="1" t="s">
        <v>438</v>
      </c>
      <c r="SI369" s="1" t="s">
        <v>432</v>
      </c>
      <c r="SK369" s="1" t="s">
        <v>854</v>
      </c>
    </row>
    <row r="370" spans="1:508" ht="32" x14ac:dyDescent="0.2">
      <c r="A370" s="1" t="s">
        <v>4070</v>
      </c>
      <c r="B370" s="1">
        <v>10</v>
      </c>
      <c r="C370" s="1">
        <v>5</v>
      </c>
      <c r="D370" s="3">
        <v>46037.567627314813</v>
      </c>
      <c r="E370" s="1">
        <v>5140325</v>
      </c>
      <c r="F370" s="1" t="s">
        <v>428</v>
      </c>
      <c r="H370" s="1" t="s">
        <v>4071</v>
      </c>
      <c r="J370" s="1" t="s">
        <v>4072</v>
      </c>
      <c r="N370" s="1" t="s">
        <v>4073</v>
      </c>
      <c r="O370" s="1" t="s">
        <v>438</v>
      </c>
      <c r="R370" s="1" t="s">
        <v>4072</v>
      </c>
      <c r="S370" s="1" t="s">
        <v>4074</v>
      </c>
      <c r="AB370" s="3">
        <v>46038.418773148151</v>
      </c>
      <c r="AC370" s="3">
        <v>46037.599305555559</v>
      </c>
      <c r="AE370" s="1" t="s">
        <v>4075</v>
      </c>
      <c r="BB370" s="1" t="s">
        <v>4076</v>
      </c>
      <c r="CO370" s="1" t="s">
        <v>435</v>
      </c>
      <c r="CQ370" s="1" t="s">
        <v>432</v>
      </c>
      <c r="CR370" s="1" t="s">
        <v>511</v>
      </c>
      <c r="CS370" s="1" t="s">
        <v>511</v>
      </c>
      <c r="CT370" s="3">
        <v>46037.56659722222</v>
      </c>
      <c r="CU370" s="1" t="s">
        <v>436</v>
      </c>
      <c r="CV370" s="1" t="s">
        <v>512</v>
      </c>
      <c r="CY370" s="1" t="s">
        <v>438</v>
      </c>
      <c r="DP370" s="1" t="s">
        <v>4077</v>
      </c>
      <c r="DU370" s="1" t="s">
        <v>482</v>
      </c>
      <c r="GZ370" s="1" t="s">
        <v>4077</v>
      </c>
      <c r="HA370" s="1" t="s">
        <v>482</v>
      </c>
      <c r="NM370" s="1" t="s">
        <v>441</v>
      </c>
      <c r="NN370" s="1">
        <v>4</v>
      </c>
      <c r="NS370" s="1">
        <v>5</v>
      </c>
      <c r="NT370" s="1">
        <v>5</v>
      </c>
      <c r="OA370" s="1">
        <v>5</v>
      </c>
      <c r="OB370" s="1">
        <v>5</v>
      </c>
      <c r="OC370" s="1">
        <v>5</v>
      </c>
      <c r="OD370" s="1">
        <v>5</v>
      </c>
      <c r="SB370" s="1" t="s">
        <v>4078</v>
      </c>
      <c r="SC370" s="1" t="s">
        <v>4078</v>
      </c>
      <c r="SF370" s="1" t="s">
        <v>4079</v>
      </c>
      <c r="SG370" s="1" t="s">
        <v>4079</v>
      </c>
      <c r="SH370" s="1" t="s">
        <v>432</v>
      </c>
      <c r="SI370" s="1" t="s">
        <v>432</v>
      </c>
      <c r="SK370" s="1" t="s">
        <v>1561</v>
      </c>
    </row>
    <row r="371" spans="1:508" ht="80" x14ac:dyDescent="0.2">
      <c r="A371" s="1" t="s">
        <v>4080</v>
      </c>
      <c r="B371" s="1">
        <v>8</v>
      </c>
      <c r="C371" s="1">
        <v>4</v>
      </c>
      <c r="D371" s="3">
        <v>46037.539826388886</v>
      </c>
      <c r="E371" s="1">
        <v>5140217</v>
      </c>
      <c r="F371" s="1" t="s">
        <v>428</v>
      </c>
      <c r="H371" s="1" t="s">
        <v>4081</v>
      </c>
      <c r="J371" s="1" t="s">
        <v>4082</v>
      </c>
      <c r="O371" s="1" t="s">
        <v>432</v>
      </c>
      <c r="R371" s="1" t="s">
        <v>4082</v>
      </c>
      <c r="AB371" s="3">
        <v>46045.504189814812</v>
      </c>
      <c r="AC371" s="3">
        <v>46037.599259259259</v>
      </c>
      <c r="AE371" s="1" t="s">
        <v>4083</v>
      </c>
      <c r="BB371" s="1" t="s">
        <v>4084</v>
      </c>
      <c r="CO371" s="1" t="s">
        <v>435</v>
      </c>
      <c r="CQ371" s="1" t="s">
        <v>432</v>
      </c>
      <c r="CR371" s="1" t="s">
        <v>2066</v>
      </c>
      <c r="CS371" s="1" t="s">
        <v>729</v>
      </c>
      <c r="CT371" s="3">
        <v>46037.5390625</v>
      </c>
      <c r="CU371" s="1" t="s">
        <v>524</v>
      </c>
      <c r="CV371" s="1" t="s">
        <v>512</v>
      </c>
      <c r="CW371" s="3">
        <v>46045.504131944443</v>
      </c>
      <c r="CX371" s="1" t="s">
        <v>1057</v>
      </c>
      <c r="CY371" s="1" t="s">
        <v>438</v>
      </c>
      <c r="DP371" s="1" t="s">
        <v>4085</v>
      </c>
      <c r="DU371" s="1" t="s">
        <v>4086</v>
      </c>
      <c r="GZ371" s="1" t="s">
        <v>4085</v>
      </c>
      <c r="HA371" s="1" t="s">
        <v>4086</v>
      </c>
      <c r="NM371" s="1" t="s">
        <v>441</v>
      </c>
      <c r="NN371" s="1">
        <v>3</v>
      </c>
      <c r="NS371" s="1">
        <v>4</v>
      </c>
      <c r="NT371" s="1">
        <v>4</v>
      </c>
      <c r="OA371" s="1">
        <v>4</v>
      </c>
      <c r="OB371" s="1">
        <v>5</v>
      </c>
      <c r="OC371" s="1">
        <v>4</v>
      </c>
      <c r="OD371" s="1" t="s">
        <v>442</v>
      </c>
      <c r="SB371" s="1" t="s">
        <v>4087</v>
      </c>
      <c r="SC371" s="1" t="s">
        <v>4088</v>
      </c>
      <c r="SE371" s="1" t="s">
        <v>484</v>
      </c>
      <c r="SF371" s="1" t="s">
        <v>4089</v>
      </c>
      <c r="SG371" s="1" t="s">
        <v>4090</v>
      </c>
      <c r="SH371" s="1" t="s">
        <v>438</v>
      </c>
      <c r="SI371" s="1" t="s">
        <v>438</v>
      </c>
      <c r="SK371" s="1" t="s">
        <v>486</v>
      </c>
      <c r="SL371" s="1" t="s">
        <v>3663</v>
      </c>
      <c r="SM371" s="1" t="s">
        <v>4091</v>
      </c>
    </row>
    <row r="372" spans="1:508" ht="48" x14ac:dyDescent="0.2">
      <c r="A372" s="1" t="s">
        <v>4092</v>
      </c>
      <c r="B372" s="1">
        <v>10</v>
      </c>
      <c r="C372" s="1">
        <v>5</v>
      </c>
      <c r="D372" s="3">
        <v>46037.503807870373</v>
      </c>
      <c r="E372" s="1">
        <v>5140051</v>
      </c>
      <c r="F372" s="1" t="s">
        <v>428</v>
      </c>
      <c r="H372" s="1" t="s">
        <v>4093</v>
      </c>
      <c r="J372" s="1" t="s">
        <v>4094</v>
      </c>
      <c r="N372" s="1" t="s">
        <v>4095</v>
      </c>
      <c r="O372" s="1" t="s">
        <v>432</v>
      </c>
      <c r="R372" s="1" t="s">
        <v>4094</v>
      </c>
      <c r="S372" s="1" t="s">
        <v>4096</v>
      </c>
      <c r="AB372" s="3">
        <v>46037.626099537039</v>
      </c>
      <c r="AC372" s="3">
        <v>46037.599328703705</v>
      </c>
      <c r="AE372" s="1" t="s">
        <v>4097</v>
      </c>
      <c r="BB372" s="1" t="s">
        <v>4098</v>
      </c>
      <c r="CO372" s="1" t="s">
        <v>435</v>
      </c>
      <c r="CQ372" s="1" t="s">
        <v>432</v>
      </c>
      <c r="CR372" s="1" t="s">
        <v>495</v>
      </c>
      <c r="CS372" s="1" t="s">
        <v>495</v>
      </c>
      <c r="CT372" s="3">
        <v>46037.50277777778</v>
      </c>
      <c r="CU372" s="1" t="s">
        <v>436</v>
      </c>
      <c r="CV372" s="1" t="s">
        <v>512</v>
      </c>
      <c r="CY372" s="1" t="s">
        <v>438</v>
      </c>
      <c r="DP372" s="1" t="s">
        <v>4099</v>
      </c>
      <c r="DU372" s="1" t="s">
        <v>4100</v>
      </c>
      <c r="GZ372" s="1" t="s">
        <v>4099</v>
      </c>
      <c r="HA372" s="1" t="s">
        <v>4100</v>
      </c>
      <c r="NM372" s="1" t="s">
        <v>441</v>
      </c>
      <c r="NN372" s="1">
        <v>5</v>
      </c>
      <c r="NS372" s="1">
        <v>5</v>
      </c>
      <c r="NT372" s="1">
        <v>5</v>
      </c>
      <c r="OA372" s="1">
        <v>5</v>
      </c>
      <c r="OB372" s="1">
        <v>5</v>
      </c>
      <c r="OC372" s="1">
        <v>5</v>
      </c>
      <c r="OD372" s="1">
        <v>5</v>
      </c>
      <c r="SC372" s="1" t="s">
        <v>2508</v>
      </c>
      <c r="SG372" s="1" t="s">
        <v>4101</v>
      </c>
      <c r="SH372" s="1" t="s">
        <v>438</v>
      </c>
      <c r="SI372" s="1" t="s">
        <v>438</v>
      </c>
      <c r="SK372" s="1" t="s">
        <v>1546</v>
      </c>
      <c r="SL372" s="1" t="s">
        <v>540</v>
      </c>
    </row>
    <row r="373" spans="1:508" ht="48" x14ac:dyDescent="0.2">
      <c r="A373" s="1" t="s">
        <v>4102</v>
      </c>
      <c r="B373" s="1">
        <v>5</v>
      </c>
      <c r="C373" s="1">
        <v>3</v>
      </c>
      <c r="D373" s="3">
        <v>46037.492303240739</v>
      </c>
      <c r="E373" s="1">
        <v>5140000</v>
      </c>
      <c r="F373" s="1" t="s">
        <v>428</v>
      </c>
      <c r="H373" s="1" t="s">
        <v>4103</v>
      </c>
      <c r="J373" s="1" t="s">
        <v>4104</v>
      </c>
      <c r="N373" s="1" t="s">
        <v>1994</v>
      </c>
      <c r="O373" s="1" t="s">
        <v>432</v>
      </c>
      <c r="R373" s="1" t="s">
        <v>4104</v>
      </c>
      <c r="S373" s="1" t="s">
        <v>1995</v>
      </c>
      <c r="AB373" s="3">
        <v>46048.486527777779</v>
      </c>
      <c r="AC373" s="3">
        <v>46037.537175925929</v>
      </c>
      <c r="AE373" s="1" t="s">
        <v>4105</v>
      </c>
      <c r="BB373" s="1" t="s">
        <v>4106</v>
      </c>
      <c r="CO373" s="1" t="s">
        <v>435</v>
      </c>
      <c r="CQ373" s="1" t="s">
        <v>432</v>
      </c>
      <c r="CR373" s="1" t="s">
        <v>728</v>
      </c>
      <c r="CS373" s="1" t="s">
        <v>729</v>
      </c>
      <c r="CT373" s="3">
        <v>46037.491736111115</v>
      </c>
      <c r="CU373" s="1" t="s">
        <v>1206</v>
      </c>
      <c r="CV373" s="1" t="s">
        <v>512</v>
      </c>
      <c r="CW373" s="3">
        <v>46048.486481481479</v>
      </c>
      <c r="CX373" s="1" t="s">
        <v>1057</v>
      </c>
      <c r="CY373" s="1" t="s">
        <v>438</v>
      </c>
      <c r="DP373" s="1" t="s">
        <v>4107</v>
      </c>
      <c r="DU373" s="1" t="s">
        <v>4108</v>
      </c>
      <c r="GZ373" s="1" t="s">
        <v>4107</v>
      </c>
      <c r="HA373" s="1" t="s">
        <v>4108</v>
      </c>
      <c r="NM373" s="1" t="s">
        <v>441</v>
      </c>
      <c r="NN373" s="1">
        <v>3</v>
      </c>
      <c r="NS373" s="1">
        <v>3</v>
      </c>
      <c r="NT373" s="1">
        <v>3</v>
      </c>
      <c r="OA373" s="1">
        <v>3</v>
      </c>
      <c r="OB373" s="1">
        <v>3</v>
      </c>
      <c r="OC373" s="1">
        <v>3</v>
      </c>
      <c r="OD373" s="1">
        <v>1</v>
      </c>
      <c r="SB373" s="1" t="s">
        <v>483</v>
      </c>
      <c r="SC373" s="1" t="s">
        <v>4109</v>
      </c>
      <c r="SF373" s="1" t="s">
        <v>485</v>
      </c>
      <c r="SG373" s="1" t="s">
        <v>4110</v>
      </c>
      <c r="SH373" s="1" t="s">
        <v>438</v>
      </c>
      <c r="SI373" s="1" t="s">
        <v>432</v>
      </c>
      <c r="SK373" s="1" t="s">
        <v>1546</v>
      </c>
      <c r="SL373" s="1" t="s">
        <v>787</v>
      </c>
    </row>
    <row r="374" spans="1:508" ht="144" x14ac:dyDescent="0.2">
      <c r="A374" s="1" t="s">
        <v>4111</v>
      </c>
      <c r="B374" s="1">
        <v>2</v>
      </c>
      <c r="C374" s="1">
        <v>2</v>
      </c>
      <c r="D374" s="3">
        <v>46037.450578703705</v>
      </c>
      <c r="E374" s="1">
        <v>5139833</v>
      </c>
      <c r="F374" s="1" t="s">
        <v>428</v>
      </c>
      <c r="H374" s="1" t="s">
        <v>4112</v>
      </c>
      <c r="J374" s="1" t="s">
        <v>4113</v>
      </c>
      <c r="N374" s="1" t="s">
        <v>4114</v>
      </c>
      <c r="O374" s="1" t="s">
        <v>438</v>
      </c>
      <c r="R374" s="1" t="s">
        <v>4113</v>
      </c>
      <c r="S374" s="1" t="s">
        <v>4115</v>
      </c>
      <c r="AB374" s="3">
        <v>46048.471851851849</v>
      </c>
      <c r="AC374" s="3">
        <v>46037.538136574076</v>
      </c>
      <c r="AE374" s="1" t="s">
        <v>4116</v>
      </c>
      <c r="BB374" s="1" t="s">
        <v>4117</v>
      </c>
      <c r="CO374" s="1" t="s">
        <v>435</v>
      </c>
      <c r="CQ374" s="1" t="s">
        <v>432</v>
      </c>
      <c r="CR374" s="1" t="s">
        <v>728</v>
      </c>
      <c r="CS374" s="1" t="s">
        <v>729</v>
      </c>
      <c r="CT374" s="3">
        <v>46037.448599537034</v>
      </c>
      <c r="CU374" s="1" t="s">
        <v>1206</v>
      </c>
      <c r="CV374" s="1" t="s">
        <v>512</v>
      </c>
      <c r="CW374" s="3">
        <v>46048.47148148148</v>
      </c>
      <c r="CX374" s="1" t="s">
        <v>1057</v>
      </c>
      <c r="CY374" s="1" t="s">
        <v>438</v>
      </c>
      <c r="DP374" s="1" t="s">
        <v>4118</v>
      </c>
      <c r="DU374" s="1" t="s">
        <v>4119</v>
      </c>
      <c r="GZ374" s="1" t="s">
        <v>4118</v>
      </c>
      <c r="HA374" s="1" t="s">
        <v>4119</v>
      </c>
      <c r="NM374" s="1" t="s">
        <v>441</v>
      </c>
      <c r="NN374" s="1">
        <v>2</v>
      </c>
      <c r="NS374" s="1">
        <v>3</v>
      </c>
      <c r="NT374" s="1">
        <v>5</v>
      </c>
      <c r="OA374" s="1">
        <v>2</v>
      </c>
      <c r="OB374" s="1">
        <v>4</v>
      </c>
      <c r="OC374" s="1">
        <v>5</v>
      </c>
      <c r="OD374" s="1" t="s">
        <v>442</v>
      </c>
      <c r="SB374" s="1" t="s">
        <v>3836</v>
      </c>
      <c r="SC374" s="1" t="s">
        <v>4120</v>
      </c>
      <c r="SF374" s="1" t="s">
        <v>4121</v>
      </c>
      <c r="SG374" s="1" t="s">
        <v>4122</v>
      </c>
      <c r="SH374" s="1" t="s">
        <v>438</v>
      </c>
      <c r="SI374" s="1" t="s">
        <v>438</v>
      </c>
      <c r="SK374" s="1" t="s">
        <v>760</v>
      </c>
      <c r="SL374" s="1" t="s">
        <v>620</v>
      </c>
    </row>
    <row r="375" spans="1:508" ht="32" x14ac:dyDescent="0.2">
      <c r="A375" s="1" t="s">
        <v>4123</v>
      </c>
      <c r="B375" s="1">
        <v>10</v>
      </c>
      <c r="C375" s="1">
        <v>5</v>
      </c>
      <c r="D375" s="3">
        <v>46037.416307870371</v>
      </c>
      <c r="E375" s="1">
        <v>5139668</v>
      </c>
      <c r="F375" s="1" t="s">
        <v>428</v>
      </c>
      <c r="H375" s="1" t="s">
        <v>4124</v>
      </c>
      <c r="J375" s="1" t="s">
        <v>4125</v>
      </c>
      <c r="O375" s="1" t="s">
        <v>432</v>
      </c>
      <c r="R375" s="1" t="s">
        <v>4125</v>
      </c>
      <c r="AB375" s="3">
        <v>46037.613969907405</v>
      </c>
      <c r="AC375" s="3">
        <v>46037.53601851852</v>
      </c>
      <c r="AE375" s="1" t="s">
        <v>4126</v>
      </c>
      <c r="BB375" s="1" t="s">
        <v>4127</v>
      </c>
      <c r="CO375" s="1" t="s">
        <v>435</v>
      </c>
      <c r="CQ375" s="1" t="s">
        <v>432</v>
      </c>
      <c r="CR375" s="1" t="s">
        <v>511</v>
      </c>
      <c r="CS375" s="1" t="s">
        <v>511</v>
      </c>
      <c r="CT375" s="3">
        <v>46037.416527777779</v>
      </c>
      <c r="CU375" s="1" t="s">
        <v>436</v>
      </c>
      <c r="CV375" s="1" t="s">
        <v>512</v>
      </c>
      <c r="CY375" s="1" t="s">
        <v>438</v>
      </c>
      <c r="DP375" s="1" t="s">
        <v>4128</v>
      </c>
      <c r="GZ375" s="1" t="s">
        <v>4128</v>
      </c>
      <c r="NM375" s="1" t="s">
        <v>441</v>
      </c>
      <c r="NN375" s="1">
        <v>5</v>
      </c>
      <c r="NS375" s="1">
        <v>5</v>
      </c>
      <c r="NT375" s="1">
        <v>5</v>
      </c>
      <c r="OA375" s="1">
        <v>5</v>
      </c>
      <c r="OB375" s="1">
        <v>5</v>
      </c>
      <c r="OC375" s="1">
        <v>5</v>
      </c>
      <c r="OD375" s="1">
        <v>5</v>
      </c>
      <c r="SC375" s="1" t="s">
        <v>443</v>
      </c>
      <c r="SG375" s="1" t="s">
        <v>444</v>
      </c>
      <c r="SH375" s="1" t="s">
        <v>438</v>
      </c>
      <c r="SI375" s="1" t="s">
        <v>432</v>
      </c>
      <c r="SK375" s="1" t="s">
        <v>445</v>
      </c>
    </row>
    <row r="376" spans="1:508" ht="48" x14ac:dyDescent="0.2">
      <c r="A376" s="1" t="s">
        <v>4129</v>
      </c>
      <c r="B376" s="1">
        <v>10</v>
      </c>
      <c r="C376" s="1">
        <v>5</v>
      </c>
      <c r="D376" s="3">
        <v>46037.415636574071</v>
      </c>
      <c r="E376" s="1">
        <v>5139658</v>
      </c>
      <c r="F376" s="1" t="s">
        <v>428</v>
      </c>
      <c r="H376" s="1" t="s">
        <v>4130</v>
      </c>
      <c r="J376" s="1" t="s">
        <v>4131</v>
      </c>
      <c r="N376" s="1" t="s">
        <v>1052</v>
      </c>
      <c r="O376" s="1" t="s">
        <v>432</v>
      </c>
      <c r="R376" s="1" t="s">
        <v>4131</v>
      </c>
      <c r="S376" s="1" t="s">
        <v>1053</v>
      </c>
      <c r="AB376" s="3">
        <v>46037.613449074073</v>
      </c>
      <c r="AC376" s="3">
        <v>46037.536979166667</v>
      </c>
      <c r="AE376" s="1" t="s">
        <v>4132</v>
      </c>
      <c r="BB376" s="1" t="s">
        <v>4133</v>
      </c>
      <c r="CO376" s="1" t="s">
        <v>435</v>
      </c>
      <c r="CQ376" s="1" t="s">
        <v>432</v>
      </c>
      <c r="CR376" s="1" t="s">
        <v>511</v>
      </c>
      <c r="CS376" s="1" t="s">
        <v>511</v>
      </c>
      <c r="CT376" s="3">
        <v>46037.41511574074</v>
      </c>
      <c r="CU376" s="1" t="s">
        <v>436</v>
      </c>
      <c r="CV376" s="1" t="s">
        <v>512</v>
      </c>
      <c r="CY376" s="1" t="s">
        <v>438</v>
      </c>
      <c r="DP376" s="1" t="s">
        <v>4134</v>
      </c>
      <c r="DU376" s="1" t="s">
        <v>4135</v>
      </c>
      <c r="GZ376" s="1" t="s">
        <v>4134</v>
      </c>
      <c r="HA376" s="1" t="s">
        <v>4135</v>
      </c>
      <c r="NM376" s="1" t="s">
        <v>441</v>
      </c>
      <c r="NN376" s="1">
        <v>5</v>
      </c>
      <c r="NS376" s="1">
        <v>5</v>
      </c>
      <c r="NT376" s="1">
        <v>5</v>
      </c>
      <c r="OA376" s="1">
        <v>5</v>
      </c>
      <c r="OB376" s="1">
        <v>5</v>
      </c>
      <c r="OC376" s="1">
        <v>5</v>
      </c>
      <c r="OD376" s="1">
        <v>4</v>
      </c>
      <c r="SC376" s="1" t="s">
        <v>773</v>
      </c>
      <c r="SG376" s="1" t="s">
        <v>786</v>
      </c>
      <c r="SH376" s="1" t="s">
        <v>438</v>
      </c>
      <c r="SI376" s="1" t="s">
        <v>438</v>
      </c>
      <c r="SK376" s="1" t="s">
        <v>1546</v>
      </c>
      <c r="SL376" s="1" t="s">
        <v>787</v>
      </c>
    </row>
    <row r="377" spans="1:508" ht="48" x14ac:dyDescent="0.2">
      <c r="A377" s="1" t="s">
        <v>4136</v>
      </c>
      <c r="B377" s="1">
        <v>10</v>
      </c>
      <c r="C377" s="1">
        <v>5</v>
      </c>
      <c r="D377" s="3">
        <v>46037.413506944446</v>
      </c>
      <c r="E377" s="1">
        <v>5139650</v>
      </c>
      <c r="F377" s="1" t="s">
        <v>428</v>
      </c>
      <c r="H377" s="1" t="s">
        <v>4137</v>
      </c>
      <c r="J377" s="1" t="s">
        <v>4138</v>
      </c>
      <c r="N377" s="1" t="s">
        <v>724</v>
      </c>
      <c r="O377" s="1" t="s">
        <v>432</v>
      </c>
      <c r="R377" s="1" t="s">
        <v>4138</v>
      </c>
      <c r="S377" s="1" t="s">
        <v>725</v>
      </c>
      <c r="AB377" s="3">
        <v>46037.711157407408</v>
      </c>
      <c r="AC377" s="3">
        <v>46037.535868055558</v>
      </c>
      <c r="AE377" s="1" t="s">
        <v>4139</v>
      </c>
      <c r="BB377" s="1" t="s">
        <v>4140</v>
      </c>
      <c r="CO377" s="1" t="s">
        <v>435</v>
      </c>
      <c r="CQ377" s="1" t="s">
        <v>432</v>
      </c>
      <c r="CR377" s="1" t="s">
        <v>511</v>
      </c>
      <c r="CS377" s="1" t="s">
        <v>511</v>
      </c>
      <c r="CT377" s="3">
        <v>46037.413738425923</v>
      </c>
      <c r="CU377" s="1" t="s">
        <v>436</v>
      </c>
      <c r="CV377" s="1" t="s">
        <v>512</v>
      </c>
      <c r="CY377" s="1" t="s">
        <v>438</v>
      </c>
      <c r="DP377" s="1" t="s">
        <v>4141</v>
      </c>
      <c r="DU377" s="1" t="s">
        <v>744</v>
      </c>
      <c r="GZ377" s="1" t="s">
        <v>4141</v>
      </c>
      <c r="HA377" s="1" t="s">
        <v>744</v>
      </c>
      <c r="NM377" s="1" t="s">
        <v>441</v>
      </c>
      <c r="NN377" s="1">
        <v>5</v>
      </c>
      <c r="NS377" s="1">
        <v>5</v>
      </c>
      <c r="NT377" s="1">
        <v>5</v>
      </c>
      <c r="OA377" s="1">
        <v>5</v>
      </c>
      <c r="OB377" s="1">
        <v>5</v>
      </c>
      <c r="OC377" s="1">
        <v>5</v>
      </c>
      <c r="OD377" s="1">
        <v>5</v>
      </c>
      <c r="SB377" s="1" t="s">
        <v>443</v>
      </c>
      <c r="SC377" s="1" t="s">
        <v>1035</v>
      </c>
      <c r="SF377" s="1" t="s">
        <v>444</v>
      </c>
      <c r="SG377" s="1" t="s">
        <v>1036</v>
      </c>
      <c r="SH377" s="1" t="s">
        <v>438</v>
      </c>
      <c r="SI377" s="1" t="s">
        <v>432</v>
      </c>
      <c r="SK377" s="1" t="s">
        <v>568</v>
      </c>
      <c r="SL377" s="1" t="s">
        <v>2325</v>
      </c>
      <c r="SM377" s="1" t="s">
        <v>1126</v>
      </c>
      <c r="SN377" s="1" t="s">
        <v>919</v>
      </c>
    </row>
    <row r="378" spans="1:508" ht="48" x14ac:dyDescent="0.2">
      <c r="A378" s="1" t="s">
        <v>4142</v>
      </c>
      <c r="B378" s="1">
        <v>10</v>
      </c>
      <c r="C378" s="1">
        <v>5</v>
      </c>
      <c r="D378" s="3">
        <v>46036.749131944445</v>
      </c>
      <c r="E378" s="1">
        <v>5138439</v>
      </c>
      <c r="F378" s="1" t="s">
        <v>428</v>
      </c>
      <c r="H378" s="1" t="s">
        <v>4143</v>
      </c>
      <c r="J378" s="1" t="s">
        <v>4144</v>
      </c>
      <c r="N378" s="1" t="s">
        <v>1966</v>
      </c>
      <c r="O378" s="1" t="s">
        <v>438</v>
      </c>
      <c r="R378" s="1" t="s">
        <v>4144</v>
      </c>
      <c r="S378" s="1" t="s">
        <v>1967</v>
      </c>
      <c r="AB378" s="3">
        <v>46037.676747685182</v>
      </c>
      <c r="AC378" s="3">
        <v>46036.809872685182</v>
      </c>
      <c r="AE378" s="1" t="s">
        <v>4145</v>
      </c>
      <c r="BB378" s="1" t="s">
        <v>4146</v>
      </c>
      <c r="CO378" s="1" t="s">
        <v>435</v>
      </c>
      <c r="CQ378" s="1" t="s">
        <v>432</v>
      </c>
      <c r="CR378" s="1" t="s">
        <v>549</v>
      </c>
      <c r="CS378" s="1" t="s">
        <v>549</v>
      </c>
      <c r="CT378" s="3">
        <v>46036.747824074075</v>
      </c>
      <c r="CU378" s="1" t="s">
        <v>436</v>
      </c>
      <c r="CV378" s="1" t="s">
        <v>512</v>
      </c>
      <c r="CY378" s="1" t="s">
        <v>438</v>
      </c>
      <c r="DP378" s="1" t="s">
        <v>4147</v>
      </c>
      <c r="GZ378" s="1" t="s">
        <v>4147</v>
      </c>
      <c r="NM378" s="1" t="s">
        <v>441</v>
      </c>
      <c r="NN378" s="1">
        <v>5</v>
      </c>
      <c r="NS378" s="1">
        <v>5</v>
      </c>
      <c r="NT378" s="1">
        <v>5</v>
      </c>
      <c r="OA378" s="1">
        <v>5</v>
      </c>
      <c r="OB378" s="1">
        <v>5</v>
      </c>
      <c r="OC378" s="1">
        <v>5</v>
      </c>
      <c r="OD378" s="1">
        <v>5</v>
      </c>
      <c r="SC378" s="1" t="s">
        <v>2454</v>
      </c>
      <c r="SE378" s="1" t="s">
        <v>633</v>
      </c>
      <c r="SG378" s="1" t="s">
        <v>2455</v>
      </c>
      <c r="SH378" s="1" t="s">
        <v>438</v>
      </c>
      <c r="SI378" s="1" t="s">
        <v>432</v>
      </c>
      <c r="SK378" s="1" t="s">
        <v>445</v>
      </c>
      <c r="SL378" s="1" t="s">
        <v>486</v>
      </c>
      <c r="SM378" s="1" t="s">
        <v>1166</v>
      </c>
    </row>
    <row r="379" spans="1:508" ht="48" x14ac:dyDescent="0.2">
      <c r="A379" s="1" t="s">
        <v>4148</v>
      </c>
      <c r="B379" s="1">
        <v>9</v>
      </c>
      <c r="C379" s="1">
        <v>4</v>
      </c>
      <c r="D379" s="3">
        <v>46036.726446759261</v>
      </c>
      <c r="E379" s="1">
        <v>5138299</v>
      </c>
      <c r="F379" s="1" t="s">
        <v>428</v>
      </c>
      <c r="H379" s="1" t="s">
        <v>4149</v>
      </c>
      <c r="J379" s="1" t="s">
        <v>4150</v>
      </c>
      <c r="O379" s="1" t="s">
        <v>432</v>
      </c>
      <c r="R379" s="1" t="s">
        <v>4150</v>
      </c>
      <c r="AB379" s="3">
        <v>46037.675509259258</v>
      </c>
      <c r="AC379" s="3">
        <v>46036.537164351852</v>
      </c>
      <c r="AE379" s="1" t="s">
        <v>4151</v>
      </c>
      <c r="BB379" s="1" t="s">
        <v>4152</v>
      </c>
      <c r="CO379" s="1" t="s">
        <v>435</v>
      </c>
      <c r="CQ379" s="1" t="s">
        <v>432</v>
      </c>
      <c r="CR379" s="1" t="s">
        <v>549</v>
      </c>
      <c r="CS379" s="1" t="s">
        <v>549</v>
      </c>
      <c r="CT379" s="3">
        <v>46036.726041666669</v>
      </c>
      <c r="CU379" s="1" t="s">
        <v>436</v>
      </c>
      <c r="CV379" s="1" t="s">
        <v>512</v>
      </c>
      <c r="CY379" s="1" t="s">
        <v>438</v>
      </c>
      <c r="DP379" s="1" t="s">
        <v>4153</v>
      </c>
      <c r="DU379" s="1" t="s">
        <v>4154</v>
      </c>
      <c r="GZ379" s="1" t="s">
        <v>4153</v>
      </c>
      <c r="HA379" s="1" t="s">
        <v>4154</v>
      </c>
      <c r="NM379" s="1" t="s">
        <v>441</v>
      </c>
      <c r="NN379" s="1">
        <v>4</v>
      </c>
      <c r="NS379" s="1">
        <v>4</v>
      </c>
      <c r="NT379" s="1">
        <v>4</v>
      </c>
      <c r="OA379" s="1">
        <v>5</v>
      </c>
      <c r="OB379" s="1">
        <v>4</v>
      </c>
      <c r="OC379" s="1">
        <v>5</v>
      </c>
      <c r="OD379" s="1">
        <v>4</v>
      </c>
      <c r="SC379" s="1" t="s">
        <v>4155</v>
      </c>
      <c r="SG379" s="1" t="s">
        <v>4156</v>
      </c>
      <c r="SH379" s="1" t="s">
        <v>438</v>
      </c>
      <c r="SI379" s="1" t="s">
        <v>438</v>
      </c>
      <c r="SK379" s="1" t="s">
        <v>568</v>
      </c>
      <c r="SL379" s="1" t="s">
        <v>787</v>
      </c>
      <c r="SM379" s="1" t="s">
        <v>540</v>
      </c>
    </row>
    <row r="380" spans="1:508" ht="64" x14ac:dyDescent="0.2">
      <c r="A380" s="1" t="s">
        <v>4157</v>
      </c>
      <c r="B380" s="1">
        <v>10</v>
      </c>
      <c r="C380" s="1">
        <v>5</v>
      </c>
      <c r="D380" s="3">
        <v>46036.684525462966</v>
      </c>
      <c r="E380" s="1">
        <v>5138136</v>
      </c>
      <c r="F380" s="1" t="s">
        <v>428</v>
      </c>
      <c r="H380" s="1" t="s">
        <v>4158</v>
      </c>
      <c r="J380" s="1" t="s">
        <v>4159</v>
      </c>
      <c r="N380" s="1" t="s">
        <v>2621</v>
      </c>
      <c r="O380" s="1" t="s">
        <v>432</v>
      </c>
      <c r="R380" s="1" t="s">
        <v>4159</v>
      </c>
      <c r="S380" s="1" t="s">
        <v>2622</v>
      </c>
      <c r="AB380" s="3">
        <v>46037.603298611109</v>
      </c>
      <c r="AC380" s="3">
        <v>46036.725034722222</v>
      </c>
      <c r="AE380" s="1" t="s">
        <v>4160</v>
      </c>
      <c r="BB380" s="1" t="s">
        <v>4161</v>
      </c>
      <c r="CO380" s="1" t="s">
        <v>435</v>
      </c>
      <c r="CQ380" s="1" t="s">
        <v>432</v>
      </c>
      <c r="CR380" s="1" t="s">
        <v>1227</v>
      </c>
      <c r="CS380" s="1" t="s">
        <v>1227</v>
      </c>
      <c r="CT380" s="3">
        <v>46036.683680555558</v>
      </c>
      <c r="CU380" s="1" t="s">
        <v>436</v>
      </c>
      <c r="CV380" s="1" t="s">
        <v>512</v>
      </c>
      <c r="CY380" s="1" t="s">
        <v>438</v>
      </c>
      <c r="DP380" s="1" t="s">
        <v>4162</v>
      </c>
      <c r="DU380" s="1" t="s">
        <v>4163</v>
      </c>
      <c r="GZ380" s="1" t="s">
        <v>4162</v>
      </c>
      <c r="HA380" s="1" t="s">
        <v>4163</v>
      </c>
      <c r="NM380" s="1" t="s">
        <v>441</v>
      </c>
      <c r="NN380" s="1">
        <v>5</v>
      </c>
      <c r="NS380" s="1">
        <v>5</v>
      </c>
      <c r="NT380" s="1">
        <v>5</v>
      </c>
      <c r="OA380" s="1">
        <v>5</v>
      </c>
      <c r="OB380" s="1">
        <v>5</v>
      </c>
      <c r="OC380" s="1">
        <v>5</v>
      </c>
      <c r="OD380" s="1">
        <v>5</v>
      </c>
      <c r="SB380" s="1" t="s">
        <v>443</v>
      </c>
      <c r="SC380" s="1" t="s">
        <v>443</v>
      </c>
      <c r="SF380" s="1" t="s">
        <v>444</v>
      </c>
      <c r="SG380" s="1" t="s">
        <v>444</v>
      </c>
      <c r="SH380" s="1" t="s">
        <v>432</v>
      </c>
      <c r="SI380" s="1" t="s">
        <v>432</v>
      </c>
      <c r="SK380" s="1" t="s">
        <v>568</v>
      </c>
    </row>
    <row r="381" spans="1:508" ht="48" x14ac:dyDescent="0.2">
      <c r="A381" s="1" t="s">
        <v>4164</v>
      </c>
      <c r="B381" s="1">
        <v>10</v>
      </c>
      <c r="C381" s="1">
        <v>5</v>
      </c>
      <c r="D381" s="3">
        <v>46036.516388888886</v>
      </c>
      <c r="E381" s="1">
        <v>5137523</v>
      </c>
      <c r="F381" s="1" t="s">
        <v>428</v>
      </c>
      <c r="H381" s="1" t="s">
        <v>4165</v>
      </c>
      <c r="J381" s="1" t="s">
        <v>4166</v>
      </c>
      <c r="N381" s="1" t="s">
        <v>724</v>
      </c>
      <c r="O381" s="1" t="s">
        <v>432</v>
      </c>
      <c r="R381" s="1" t="s">
        <v>4166</v>
      </c>
      <c r="S381" s="1" t="s">
        <v>725</v>
      </c>
      <c r="AB381" s="3">
        <v>46036.578020833331</v>
      </c>
      <c r="AC381" s="3">
        <v>46036.536458333336</v>
      </c>
      <c r="AE381" s="1" t="s">
        <v>4167</v>
      </c>
      <c r="BB381" s="1" t="s">
        <v>4168</v>
      </c>
      <c r="CO381" s="1" t="s">
        <v>435</v>
      </c>
      <c r="CQ381" s="1" t="s">
        <v>432</v>
      </c>
      <c r="CR381" s="1" t="s">
        <v>691</v>
      </c>
      <c r="CS381" s="1" t="s">
        <v>691</v>
      </c>
      <c r="CT381" s="3">
        <v>46036.516493055555</v>
      </c>
      <c r="CU381" s="1" t="s">
        <v>436</v>
      </c>
      <c r="CV381" s="1" t="s">
        <v>512</v>
      </c>
      <c r="CY381" s="1" t="s">
        <v>438</v>
      </c>
      <c r="DP381" s="1" t="s">
        <v>4169</v>
      </c>
      <c r="DU381" s="1" t="s">
        <v>4170</v>
      </c>
      <c r="GZ381" s="1" t="s">
        <v>4169</v>
      </c>
      <c r="HA381" s="1" t="s">
        <v>4170</v>
      </c>
      <c r="NM381" s="1" t="s">
        <v>441</v>
      </c>
      <c r="NN381" s="1">
        <v>5</v>
      </c>
      <c r="NS381" s="1">
        <v>5</v>
      </c>
      <c r="NT381" s="1">
        <v>5</v>
      </c>
      <c r="OA381" s="1">
        <v>5</v>
      </c>
      <c r="OB381" s="1">
        <v>5</v>
      </c>
      <c r="OC381" s="1">
        <v>5</v>
      </c>
      <c r="OD381" s="1">
        <v>5</v>
      </c>
      <c r="SB381" s="1" t="s">
        <v>483</v>
      </c>
      <c r="SC381" s="1" t="s">
        <v>4171</v>
      </c>
      <c r="SF381" s="1" t="s">
        <v>485</v>
      </c>
      <c r="SG381" s="1" t="s">
        <v>4172</v>
      </c>
      <c r="SH381" s="1" t="s">
        <v>438</v>
      </c>
      <c r="SI381" s="1" t="s">
        <v>432</v>
      </c>
      <c r="SK381" s="1" t="s">
        <v>1546</v>
      </c>
    </row>
    <row r="382" spans="1:508" ht="32" x14ac:dyDescent="0.2">
      <c r="A382" s="1" t="s">
        <v>4173</v>
      </c>
      <c r="B382" s="1">
        <v>10</v>
      </c>
      <c r="C382" s="1">
        <v>5</v>
      </c>
      <c r="D382" s="3">
        <v>46036.48642361111</v>
      </c>
      <c r="E382" s="1">
        <v>5137319</v>
      </c>
      <c r="F382" s="1" t="s">
        <v>428</v>
      </c>
      <c r="H382" s="1" t="s">
        <v>4174</v>
      </c>
      <c r="J382" s="1" t="s">
        <v>4175</v>
      </c>
      <c r="N382" s="1" t="s">
        <v>724</v>
      </c>
      <c r="O382" s="1" t="s">
        <v>438</v>
      </c>
      <c r="R382" s="1" t="s">
        <v>4175</v>
      </c>
      <c r="S382" s="1" t="s">
        <v>725</v>
      </c>
      <c r="AB382" s="3">
        <v>46036.553784722222</v>
      </c>
      <c r="AC382" s="3">
        <v>46036.536678240744</v>
      </c>
      <c r="AE382" s="1" t="s">
        <v>4176</v>
      </c>
      <c r="BB382" s="1" t="s">
        <v>4177</v>
      </c>
      <c r="CO382" s="1" t="s">
        <v>435</v>
      </c>
      <c r="CQ382" s="1" t="s">
        <v>432</v>
      </c>
      <c r="CR382" s="1" t="s">
        <v>691</v>
      </c>
      <c r="CS382" s="1" t="s">
        <v>691</v>
      </c>
      <c r="CT382" s="3">
        <v>46036.486574074072</v>
      </c>
      <c r="CU382" s="1" t="s">
        <v>436</v>
      </c>
      <c r="CV382" s="1" t="s">
        <v>512</v>
      </c>
      <c r="CY382" s="1" t="s">
        <v>438</v>
      </c>
      <c r="DP382" s="1" t="s">
        <v>4178</v>
      </c>
      <c r="DU382" s="1" t="s">
        <v>682</v>
      </c>
      <c r="GZ382" s="1" t="s">
        <v>4178</v>
      </c>
      <c r="HA382" s="1" t="s">
        <v>682</v>
      </c>
      <c r="NM382" s="1" t="s">
        <v>441</v>
      </c>
      <c r="NN382" s="1">
        <v>5</v>
      </c>
      <c r="NS382" s="1">
        <v>5</v>
      </c>
      <c r="NT382" s="1">
        <v>5</v>
      </c>
      <c r="OA382" s="1">
        <v>5</v>
      </c>
      <c r="OB382" s="1">
        <v>5</v>
      </c>
      <c r="OC382" s="1">
        <v>5</v>
      </c>
      <c r="OD382" s="1">
        <v>5</v>
      </c>
      <c r="SC382" s="1" t="s">
        <v>443</v>
      </c>
      <c r="SG382" s="1" t="s">
        <v>444</v>
      </c>
      <c r="SH382" s="1" t="s">
        <v>438</v>
      </c>
      <c r="SI382" s="1" t="s">
        <v>432</v>
      </c>
      <c r="SK382" s="1" t="s">
        <v>445</v>
      </c>
    </row>
    <row r="383" spans="1:508" ht="48" x14ac:dyDescent="0.2">
      <c r="A383" s="1" t="s">
        <v>4179</v>
      </c>
      <c r="B383" s="1">
        <v>9</v>
      </c>
      <c r="C383" s="1">
        <v>5</v>
      </c>
      <c r="D383" s="3">
        <v>46036.46947916667</v>
      </c>
      <c r="E383" s="1">
        <v>5137239</v>
      </c>
      <c r="F383" s="1" t="s">
        <v>428</v>
      </c>
      <c r="H383" s="1" t="s">
        <v>4180</v>
      </c>
      <c r="J383" s="1" t="s">
        <v>4181</v>
      </c>
      <c r="N383" s="1" t="s">
        <v>3424</v>
      </c>
      <c r="O383" s="1" t="s">
        <v>432</v>
      </c>
      <c r="R383" s="1" t="s">
        <v>4181</v>
      </c>
      <c r="S383" s="1" t="s">
        <v>3425</v>
      </c>
      <c r="AB383" s="3">
        <v>46036.581574074073</v>
      </c>
      <c r="AC383" s="3">
        <v>46036.53800925926</v>
      </c>
      <c r="AE383" s="1" t="s">
        <v>4182</v>
      </c>
      <c r="BB383" s="1" t="s">
        <v>4183</v>
      </c>
      <c r="CO383" s="1" t="s">
        <v>435</v>
      </c>
      <c r="CQ383" s="1" t="s">
        <v>432</v>
      </c>
      <c r="CR383" s="1" t="s">
        <v>691</v>
      </c>
      <c r="CS383" s="1" t="s">
        <v>691</v>
      </c>
      <c r="CT383" s="3">
        <v>46036.468900462962</v>
      </c>
      <c r="CU383" s="1" t="s">
        <v>436</v>
      </c>
      <c r="CV383" s="1" t="s">
        <v>512</v>
      </c>
      <c r="CY383" s="1" t="s">
        <v>438</v>
      </c>
      <c r="DP383" s="1" t="s">
        <v>4184</v>
      </c>
      <c r="DU383" s="1" t="s">
        <v>4185</v>
      </c>
      <c r="GZ383" s="1" t="s">
        <v>4184</v>
      </c>
      <c r="HA383" s="1" t="s">
        <v>4185</v>
      </c>
      <c r="NM383" s="1" t="s">
        <v>441</v>
      </c>
      <c r="NN383" s="1">
        <v>5</v>
      </c>
      <c r="NS383" s="1">
        <v>4</v>
      </c>
      <c r="NT383" s="1">
        <v>5</v>
      </c>
      <c r="OA383" s="1">
        <v>5</v>
      </c>
      <c r="OB383" s="1">
        <v>5</v>
      </c>
      <c r="OC383" s="1">
        <v>5</v>
      </c>
      <c r="OD383" s="1">
        <v>5</v>
      </c>
      <c r="SB383" s="1" t="s">
        <v>4186</v>
      </c>
      <c r="SC383" s="1" t="s">
        <v>646</v>
      </c>
      <c r="SF383" s="1" t="s">
        <v>4187</v>
      </c>
      <c r="SG383" s="1" t="s">
        <v>1195</v>
      </c>
      <c r="SH383" s="1" t="s">
        <v>438</v>
      </c>
      <c r="SI383" s="1" t="s">
        <v>432</v>
      </c>
      <c r="SK383" s="1" t="s">
        <v>500</v>
      </c>
      <c r="SL383" s="1" t="s">
        <v>568</v>
      </c>
      <c r="SM383" s="1" t="s">
        <v>4188</v>
      </c>
    </row>
    <row r="384" spans="1:508" ht="48" x14ac:dyDescent="0.2">
      <c r="A384" s="1" t="s">
        <v>4189</v>
      </c>
      <c r="B384" s="1">
        <v>10</v>
      </c>
      <c r="C384" s="1">
        <v>5</v>
      </c>
      <c r="D384" s="3">
        <v>46036.424687500003</v>
      </c>
      <c r="E384" s="1">
        <v>5125673</v>
      </c>
      <c r="F384" s="1" t="s">
        <v>428</v>
      </c>
      <c r="H384" s="1" t="s">
        <v>4190</v>
      </c>
      <c r="J384" s="1" t="s">
        <v>4191</v>
      </c>
      <c r="N384" s="1" t="s">
        <v>4192</v>
      </c>
      <c r="O384" s="1" t="s">
        <v>432</v>
      </c>
      <c r="R384" s="1" t="s">
        <v>4191</v>
      </c>
      <c r="S384" s="1" t="s">
        <v>4193</v>
      </c>
      <c r="AB384" s="3">
        <v>46036.561643518522</v>
      </c>
      <c r="AC384" s="3">
        <v>46036.539398148147</v>
      </c>
      <c r="AE384" s="1" t="s">
        <v>4194</v>
      </c>
      <c r="BB384" s="1" t="s">
        <v>4195</v>
      </c>
      <c r="CO384" s="1" t="s">
        <v>435</v>
      </c>
      <c r="CQ384" s="1" t="s">
        <v>432</v>
      </c>
      <c r="CR384" s="1" t="s">
        <v>511</v>
      </c>
      <c r="CS384" s="1" t="s">
        <v>511</v>
      </c>
      <c r="CT384" s="3">
        <v>46036.424710648149</v>
      </c>
      <c r="CU384" s="1" t="s">
        <v>436</v>
      </c>
      <c r="CV384" s="1" t="s">
        <v>512</v>
      </c>
      <c r="CY384" s="1" t="s">
        <v>438</v>
      </c>
      <c r="DP384" s="1" t="s">
        <v>4196</v>
      </c>
      <c r="GZ384" s="1" t="s">
        <v>4196</v>
      </c>
      <c r="NM384" s="1" t="s">
        <v>441</v>
      </c>
      <c r="NN384" s="1">
        <v>5</v>
      </c>
      <c r="NS384" s="1">
        <v>5</v>
      </c>
      <c r="NT384" s="1">
        <v>5</v>
      </c>
      <c r="OA384" s="1">
        <v>5</v>
      </c>
      <c r="OB384" s="1">
        <v>5</v>
      </c>
      <c r="OC384" s="1">
        <v>5</v>
      </c>
      <c r="OD384" s="1">
        <v>5</v>
      </c>
      <c r="SC384" s="1" t="s">
        <v>4197</v>
      </c>
      <c r="SG384" s="1" t="s">
        <v>4198</v>
      </c>
      <c r="SH384" s="1" t="s">
        <v>438</v>
      </c>
      <c r="SI384" s="1" t="s">
        <v>432</v>
      </c>
      <c r="SK384" s="1" t="s">
        <v>568</v>
      </c>
    </row>
    <row r="385" spans="1:508" ht="48" x14ac:dyDescent="0.2">
      <c r="A385" s="1" t="s">
        <v>4199</v>
      </c>
      <c r="B385" s="1">
        <v>8</v>
      </c>
      <c r="C385" s="1">
        <v>4</v>
      </c>
      <c r="D385" s="3">
        <v>46036.417719907404</v>
      </c>
      <c r="E385" s="1">
        <v>5125618</v>
      </c>
      <c r="F385" s="1" t="s">
        <v>428</v>
      </c>
      <c r="H385" s="1" t="s">
        <v>4200</v>
      </c>
      <c r="J385" s="1" t="s">
        <v>4201</v>
      </c>
      <c r="N385" s="1" t="s">
        <v>3161</v>
      </c>
      <c r="O385" s="1" t="s">
        <v>438</v>
      </c>
      <c r="R385" s="1" t="s">
        <v>4201</v>
      </c>
      <c r="S385" s="1" t="s">
        <v>3162</v>
      </c>
      <c r="AB385" s="3">
        <v>46036.558483796296</v>
      </c>
      <c r="AC385" s="3">
        <v>46036.536620370367</v>
      </c>
      <c r="AE385" s="1" t="s">
        <v>4202</v>
      </c>
      <c r="BB385" s="1" t="s">
        <v>4203</v>
      </c>
      <c r="CO385" s="1" t="s">
        <v>435</v>
      </c>
      <c r="CQ385" s="1" t="s">
        <v>432</v>
      </c>
      <c r="CR385" s="1" t="s">
        <v>511</v>
      </c>
      <c r="CS385" s="1" t="s">
        <v>511</v>
      </c>
      <c r="CT385" s="3">
        <v>46036.415891203702</v>
      </c>
      <c r="CU385" s="1" t="s">
        <v>524</v>
      </c>
      <c r="CV385" s="1" t="s">
        <v>512</v>
      </c>
      <c r="CY385" s="1" t="s">
        <v>438</v>
      </c>
      <c r="DP385" s="1" t="s">
        <v>4204</v>
      </c>
      <c r="DU385" s="1" t="s">
        <v>4205</v>
      </c>
      <c r="GZ385" s="1" t="s">
        <v>4204</v>
      </c>
      <c r="HA385" s="1" t="s">
        <v>4205</v>
      </c>
      <c r="NM385" s="1" t="s">
        <v>441</v>
      </c>
      <c r="NN385" s="1">
        <v>3</v>
      </c>
      <c r="NS385" s="1">
        <v>5</v>
      </c>
      <c r="NT385" s="1">
        <v>5</v>
      </c>
      <c r="OA385" s="1">
        <v>3</v>
      </c>
      <c r="OB385" s="1">
        <v>3</v>
      </c>
      <c r="OC385" s="1">
        <v>5</v>
      </c>
      <c r="OD385" s="1">
        <v>2</v>
      </c>
      <c r="SB385" s="1" t="s">
        <v>443</v>
      </c>
      <c r="SC385" s="1" t="s">
        <v>796</v>
      </c>
      <c r="SF385" s="1" t="s">
        <v>865</v>
      </c>
      <c r="SG385" s="1" t="s">
        <v>1686</v>
      </c>
      <c r="SH385" s="1" t="s">
        <v>438</v>
      </c>
      <c r="SI385" s="1" t="s">
        <v>438</v>
      </c>
      <c r="SK385" s="1" t="s">
        <v>672</v>
      </c>
      <c r="SL385" s="1" t="s">
        <v>619</v>
      </c>
      <c r="SM385" s="1" t="s">
        <v>787</v>
      </c>
      <c r="SN385" s="1" t="s">
        <v>928</v>
      </c>
    </row>
    <row r="386" spans="1:508" ht="48" x14ac:dyDescent="0.2">
      <c r="A386" s="1" t="s">
        <v>4206</v>
      </c>
      <c r="B386" s="1">
        <v>10</v>
      </c>
      <c r="C386" s="1">
        <v>5</v>
      </c>
      <c r="D386" s="3">
        <v>46036.416006944448</v>
      </c>
      <c r="E386" s="1">
        <v>5125617</v>
      </c>
      <c r="F386" s="1" t="s">
        <v>428</v>
      </c>
      <c r="H386" s="1" t="s">
        <v>4207</v>
      </c>
      <c r="J386" s="1" t="s">
        <v>4208</v>
      </c>
      <c r="N386" s="1" t="s">
        <v>4209</v>
      </c>
      <c r="O386" s="1" t="s">
        <v>432</v>
      </c>
      <c r="R386" s="1" t="s">
        <v>4208</v>
      </c>
      <c r="S386" s="1" t="s">
        <v>4210</v>
      </c>
      <c r="AB386" s="3">
        <v>46036.556388888886</v>
      </c>
      <c r="AC386" s="3">
        <v>46036.538101851853</v>
      </c>
      <c r="AE386" s="1" t="s">
        <v>4211</v>
      </c>
      <c r="BB386" s="1" t="s">
        <v>4212</v>
      </c>
      <c r="CO386" s="1" t="s">
        <v>435</v>
      </c>
      <c r="CQ386" s="1" t="s">
        <v>432</v>
      </c>
      <c r="CR386" s="1" t="s">
        <v>511</v>
      </c>
      <c r="CS386" s="1" t="s">
        <v>511</v>
      </c>
      <c r="CT386" s="3">
        <v>46036.415891203702</v>
      </c>
      <c r="CU386" s="1" t="s">
        <v>436</v>
      </c>
      <c r="CV386" s="1" t="s">
        <v>512</v>
      </c>
      <c r="CY386" s="1" t="s">
        <v>438</v>
      </c>
      <c r="DP386" s="1" t="s">
        <v>4213</v>
      </c>
      <c r="DU386" s="1" t="s">
        <v>4214</v>
      </c>
      <c r="GZ386" s="1" t="s">
        <v>4213</v>
      </c>
      <c r="HA386" s="1" t="s">
        <v>4214</v>
      </c>
      <c r="NM386" s="1" t="s">
        <v>441</v>
      </c>
      <c r="NN386" s="1">
        <v>4</v>
      </c>
      <c r="NS386" s="1">
        <v>5</v>
      </c>
      <c r="NT386" s="1">
        <v>5</v>
      </c>
      <c r="OA386" s="1">
        <v>5</v>
      </c>
      <c r="OB386" s="1">
        <v>5</v>
      </c>
      <c r="OC386" s="1">
        <v>5</v>
      </c>
      <c r="OD386" s="1">
        <v>4</v>
      </c>
      <c r="SB386" s="1" t="s">
        <v>443</v>
      </c>
      <c r="SC386" s="1" t="s">
        <v>758</v>
      </c>
      <c r="SF386" s="1" t="s">
        <v>444</v>
      </c>
      <c r="SG386" s="1" t="s">
        <v>4215</v>
      </c>
      <c r="SH386" s="1" t="s">
        <v>438</v>
      </c>
      <c r="SI386" s="1" t="s">
        <v>432</v>
      </c>
      <c r="SK386" s="1" t="s">
        <v>760</v>
      </c>
      <c r="SL386" s="1" t="s">
        <v>619</v>
      </c>
      <c r="SM386" s="1" t="s">
        <v>787</v>
      </c>
    </row>
    <row r="387" spans="1:508" ht="48" x14ac:dyDescent="0.2">
      <c r="A387" s="1" t="s">
        <v>4216</v>
      </c>
      <c r="B387" s="1">
        <v>10</v>
      </c>
      <c r="C387" s="1">
        <v>5</v>
      </c>
      <c r="D387" s="3">
        <v>46036.415312500001</v>
      </c>
      <c r="E387" s="1">
        <v>5125608</v>
      </c>
      <c r="F387" s="1" t="s">
        <v>428</v>
      </c>
      <c r="H387" s="1" t="s">
        <v>4217</v>
      </c>
      <c r="J387" s="1" t="s">
        <v>4218</v>
      </c>
      <c r="N387" s="1" t="s">
        <v>1387</v>
      </c>
      <c r="O387" s="1" t="s">
        <v>432</v>
      </c>
      <c r="R387" s="1" t="s">
        <v>4218</v>
      </c>
      <c r="S387" s="1" t="s">
        <v>1388</v>
      </c>
      <c r="AB387" s="3">
        <v>46036.554814814815</v>
      </c>
      <c r="AC387" s="3">
        <v>46036.538252314815</v>
      </c>
      <c r="AE387" s="1" t="s">
        <v>4219</v>
      </c>
      <c r="BB387" s="1" t="s">
        <v>4220</v>
      </c>
      <c r="CO387" s="1" t="s">
        <v>435</v>
      </c>
      <c r="CQ387" s="1" t="s">
        <v>432</v>
      </c>
      <c r="CR387" s="1" t="s">
        <v>511</v>
      </c>
      <c r="CS387" s="1" t="s">
        <v>511</v>
      </c>
      <c r="CT387" s="3">
        <v>46036.414942129632</v>
      </c>
      <c r="CU387" s="1" t="s">
        <v>436</v>
      </c>
      <c r="CV387" s="1" t="s">
        <v>512</v>
      </c>
      <c r="CY387" s="1" t="s">
        <v>438</v>
      </c>
      <c r="DP387" s="1" t="s">
        <v>4221</v>
      </c>
      <c r="DU387" s="1" t="s">
        <v>4222</v>
      </c>
      <c r="GZ387" s="1" t="s">
        <v>4221</v>
      </c>
      <c r="HA387" s="1" t="s">
        <v>4222</v>
      </c>
      <c r="NM387" s="1" t="s">
        <v>441</v>
      </c>
      <c r="NN387" s="1">
        <v>5</v>
      </c>
      <c r="NS387" s="1">
        <v>5</v>
      </c>
      <c r="NT387" s="1">
        <v>5</v>
      </c>
      <c r="OA387" s="1">
        <v>5</v>
      </c>
      <c r="OB387" s="1">
        <v>5</v>
      </c>
      <c r="OC387" s="1">
        <v>5</v>
      </c>
      <c r="OD387" s="1">
        <v>4</v>
      </c>
      <c r="SB387" s="1" t="s">
        <v>443</v>
      </c>
      <c r="SC387" s="1" t="s">
        <v>773</v>
      </c>
      <c r="SF387" s="1" t="s">
        <v>579</v>
      </c>
      <c r="SG387" s="1" t="s">
        <v>786</v>
      </c>
      <c r="SH387" s="1" t="s">
        <v>438</v>
      </c>
      <c r="SI387" s="1" t="s">
        <v>438</v>
      </c>
      <c r="SK387" s="1" t="s">
        <v>568</v>
      </c>
      <c r="SL387" s="1" t="s">
        <v>540</v>
      </c>
      <c r="SM387" s="1" t="s">
        <v>787</v>
      </c>
    </row>
    <row r="388" spans="1:508" ht="48" x14ac:dyDescent="0.2">
      <c r="A388" s="1" t="s">
        <v>4223</v>
      </c>
      <c r="B388" s="1">
        <v>8</v>
      </c>
      <c r="C388" s="1">
        <v>4</v>
      </c>
      <c r="D388" s="3">
        <v>46035.744606481479</v>
      </c>
      <c r="E388" s="1">
        <v>5124358</v>
      </c>
      <c r="F388" s="1" t="s">
        <v>428</v>
      </c>
      <c r="H388" s="1" t="s">
        <v>4224</v>
      </c>
      <c r="J388" s="1" t="s">
        <v>4225</v>
      </c>
      <c r="N388" s="1" t="s">
        <v>1478</v>
      </c>
      <c r="O388" s="1" t="s">
        <v>438</v>
      </c>
      <c r="R388" s="1" t="s">
        <v>4225</v>
      </c>
      <c r="S388" s="1" t="s">
        <v>1479</v>
      </c>
      <c r="AB388" s="3">
        <v>46036.339201388888</v>
      </c>
      <c r="AC388" s="3">
        <v>46035.766122685185</v>
      </c>
      <c r="AE388" s="1" t="s">
        <v>4226</v>
      </c>
      <c r="BB388" s="1" t="s">
        <v>4227</v>
      </c>
      <c r="CO388" s="1" t="s">
        <v>435</v>
      </c>
      <c r="CQ388" s="1" t="s">
        <v>432</v>
      </c>
      <c r="CR388" s="1" t="s">
        <v>852</v>
      </c>
      <c r="CS388" s="1" t="s">
        <v>852</v>
      </c>
      <c r="CT388" s="3">
        <v>46035.744155092594</v>
      </c>
      <c r="CU388" s="1" t="s">
        <v>524</v>
      </c>
      <c r="CV388" s="1" t="s">
        <v>512</v>
      </c>
      <c r="CY388" s="1" t="s">
        <v>438</v>
      </c>
      <c r="DP388" s="1" t="s">
        <v>4228</v>
      </c>
      <c r="DU388" s="1" t="s">
        <v>4229</v>
      </c>
      <c r="GZ388" s="1" t="s">
        <v>4228</v>
      </c>
      <c r="HA388" s="1" t="s">
        <v>4229</v>
      </c>
      <c r="NM388" s="1" t="s">
        <v>441</v>
      </c>
      <c r="NN388" s="1">
        <v>4</v>
      </c>
      <c r="NS388" s="1">
        <v>5</v>
      </c>
      <c r="NT388" s="1">
        <v>5</v>
      </c>
      <c r="OA388" s="1">
        <v>5</v>
      </c>
      <c r="OB388" s="1">
        <v>4</v>
      </c>
      <c r="OC388" s="1">
        <v>5</v>
      </c>
      <c r="OD388" s="1">
        <v>5</v>
      </c>
      <c r="SB388" s="1" t="s">
        <v>443</v>
      </c>
      <c r="SC388" s="1" t="s">
        <v>4230</v>
      </c>
      <c r="SF388" s="1" t="s">
        <v>579</v>
      </c>
      <c r="SG388" s="1" t="s">
        <v>4231</v>
      </c>
      <c r="SH388" s="1" t="s">
        <v>438</v>
      </c>
      <c r="SI388" s="1" t="s">
        <v>438</v>
      </c>
      <c r="SK388" s="1" t="s">
        <v>568</v>
      </c>
      <c r="SL388" s="1" t="s">
        <v>4232</v>
      </c>
    </row>
    <row r="389" spans="1:508" ht="48" x14ac:dyDescent="0.2">
      <c r="A389" s="1" t="s">
        <v>4233</v>
      </c>
      <c r="B389" s="1">
        <v>10</v>
      </c>
      <c r="C389" s="1">
        <v>5</v>
      </c>
      <c r="D389" s="3">
        <v>46035.667395833334</v>
      </c>
      <c r="E389" s="1">
        <v>5124068</v>
      </c>
      <c r="F389" s="1" t="s">
        <v>428</v>
      </c>
      <c r="H389" s="1" t="s">
        <v>4234</v>
      </c>
      <c r="J389" s="1" t="s">
        <v>4235</v>
      </c>
      <c r="N389" s="1" t="s">
        <v>3381</v>
      </c>
      <c r="O389" s="1" t="s">
        <v>438</v>
      </c>
      <c r="R389" s="1" t="s">
        <v>4235</v>
      </c>
      <c r="S389" s="1" t="s">
        <v>3382</v>
      </c>
      <c r="AB389" s="3">
        <v>46036.438668981478</v>
      </c>
      <c r="AC389" s="3">
        <v>46035.766273148147</v>
      </c>
      <c r="AE389" s="1" t="s">
        <v>4236</v>
      </c>
      <c r="BB389" s="1" t="s">
        <v>4237</v>
      </c>
      <c r="CO389" s="1" t="s">
        <v>435</v>
      </c>
      <c r="CQ389" s="1" t="s">
        <v>432</v>
      </c>
      <c r="CR389" s="1" t="s">
        <v>511</v>
      </c>
      <c r="CS389" s="1" t="s">
        <v>511</v>
      </c>
      <c r="CT389" s="3">
        <v>46035.665127314816</v>
      </c>
      <c r="CU389" s="1" t="s">
        <v>436</v>
      </c>
      <c r="CV389" s="1" t="s">
        <v>512</v>
      </c>
      <c r="CY389" s="1" t="s">
        <v>438</v>
      </c>
      <c r="DP389" s="1" t="s">
        <v>4238</v>
      </c>
      <c r="DU389" s="1" t="s">
        <v>4239</v>
      </c>
      <c r="GZ389" s="1" t="s">
        <v>4238</v>
      </c>
      <c r="HA389" s="1" t="s">
        <v>4239</v>
      </c>
      <c r="NM389" s="1" t="s">
        <v>441</v>
      </c>
      <c r="NN389" s="1">
        <v>5</v>
      </c>
      <c r="NS389" s="1">
        <v>4</v>
      </c>
      <c r="NT389" s="1">
        <v>4</v>
      </c>
      <c r="OA389" s="1">
        <v>5</v>
      </c>
      <c r="OB389" s="1">
        <v>5</v>
      </c>
      <c r="OC389" s="1">
        <v>5</v>
      </c>
      <c r="OD389" s="1">
        <v>5</v>
      </c>
      <c r="SB389" s="1" t="s">
        <v>443</v>
      </c>
      <c r="SC389" s="1" t="s">
        <v>646</v>
      </c>
      <c r="SF389" s="1" t="s">
        <v>1000</v>
      </c>
      <c r="SG389" s="1" t="s">
        <v>1195</v>
      </c>
      <c r="SH389" s="1" t="s">
        <v>438</v>
      </c>
      <c r="SI389" s="1" t="s">
        <v>438</v>
      </c>
      <c r="SK389" s="1" t="s">
        <v>2293</v>
      </c>
      <c r="SL389" s="1" t="s">
        <v>2947</v>
      </c>
    </row>
    <row r="390" spans="1:508" ht="112" x14ac:dyDescent="0.2">
      <c r="A390" s="1" t="s">
        <v>4240</v>
      </c>
      <c r="B390" s="1">
        <v>10</v>
      </c>
      <c r="C390" s="1">
        <v>5</v>
      </c>
      <c r="D390" s="3">
        <v>46035.659629629627</v>
      </c>
      <c r="E390" s="1">
        <v>5124035</v>
      </c>
      <c r="F390" s="1" t="s">
        <v>428</v>
      </c>
      <c r="H390" s="1" t="s">
        <v>4241</v>
      </c>
      <c r="J390" s="1" t="s">
        <v>4242</v>
      </c>
      <c r="N390" s="1" t="s">
        <v>4243</v>
      </c>
      <c r="O390" s="1" t="s">
        <v>432</v>
      </c>
      <c r="R390" s="1" t="s">
        <v>4242</v>
      </c>
      <c r="S390" s="1" t="s">
        <v>4244</v>
      </c>
      <c r="AB390" s="3">
        <v>46036.366284722222</v>
      </c>
      <c r="AC390" s="3">
        <v>46035.537997685184</v>
      </c>
      <c r="AE390" s="1" t="s">
        <v>4245</v>
      </c>
      <c r="BB390" s="1" t="s">
        <v>4246</v>
      </c>
      <c r="CO390" s="1" t="s">
        <v>435</v>
      </c>
      <c r="CQ390" s="1" t="s">
        <v>432</v>
      </c>
      <c r="CR390" s="1" t="s">
        <v>511</v>
      </c>
      <c r="CS390" s="1" t="s">
        <v>511</v>
      </c>
      <c r="CT390" s="3">
        <v>46035.657326388886</v>
      </c>
      <c r="CU390" s="1" t="s">
        <v>436</v>
      </c>
      <c r="CV390" s="1" t="s">
        <v>512</v>
      </c>
      <c r="CY390" s="1" t="s">
        <v>438</v>
      </c>
      <c r="DP390" s="1" t="s">
        <v>4247</v>
      </c>
      <c r="DU390" s="1" t="s">
        <v>4248</v>
      </c>
      <c r="GZ390" s="1" t="s">
        <v>4247</v>
      </c>
      <c r="HA390" s="1" t="s">
        <v>4248</v>
      </c>
      <c r="NM390" s="1" t="s">
        <v>441</v>
      </c>
      <c r="NN390" s="1">
        <v>4</v>
      </c>
      <c r="NS390" s="1">
        <v>4</v>
      </c>
      <c r="NT390" s="1">
        <v>4</v>
      </c>
      <c r="OA390" s="1">
        <v>5</v>
      </c>
      <c r="OB390" s="1">
        <v>5</v>
      </c>
      <c r="OC390" s="1">
        <v>5</v>
      </c>
      <c r="OD390" s="1">
        <v>5</v>
      </c>
      <c r="SB390" s="1" t="s">
        <v>2027</v>
      </c>
      <c r="SC390" s="1" t="s">
        <v>4249</v>
      </c>
      <c r="SF390" s="1" t="s">
        <v>4250</v>
      </c>
      <c r="SG390" s="1" t="s">
        <v>4251</v>
      </c>
      <c r="SH390" s="1" t="s">
        <v>438</v>
      </c>
      <c r="SI390" s="1" t="s">
        <v>438</v>
      </c>
      <c r="SK390" s="1" t="s">
        <v>1546</v>
      </c>
      <c r="SL390" s="1" t="s">
        <v>659</v>
      </c>
    </row>
    <row r="391" spans="1:508" ht="48" x14ac:dyDescent="0.2">
      <c r="A391" s="1" t="s">
        <v>4252</v>
      </c>
      <c r="B391" s="1">
        <v>10</v>
      </c>
      <c r="C391" s="1">
        <v>5</v>
      </c>
      <c r="D391" s="3">
        <v>46035.600358796299</v>
      </c>
      <c r="E391" s="1">
        <v>5123807</v>
      </c>
      <c r="F391" s="1" t="s">
        <v>428</v>
      </c>
      <c r="H391" s="1" t="s">
        <v>4253</v>
      </c>
      <c r="J391" s="1" t="s">
        <v>4254</v>
      </c>
      <c r="N391" s="1" t="s">
        <v>859</v>
      </c>
      <c r="O391" s="1" t="s">
        <v>432</v>
      </c>
      <c r="R391" s="1" t="s">
        <v>4254</v>
      </c>
      <c r="S391" s="1" t="s">
        <v>860</v>
      </c>
      <c r="AB391" s="3">
        <v>46036.338113425925</v>
      </c>
      <c r="AC391" s="3">
        <v>46035.537939814814</v>
      </c>
      <c r="AE391" s="1" t="s">
        <v>4255</v>
      </c>
      <c r="BB391" s="1" t="s">
        <v>4256</v>
      </c>
      <c r="CO391" s="1" t="s">
        <v>435</v>
      </c>
      <c r="CQ391" s="1" t="s">
        <v>432</v>
      </c>
      <c r="CR391" s="1" t="s">
        <v>511</v>
      </c>
      <c r="CS391" s="1" t="s">
        <v>511</v>
      </c>
      <c r="CT391" s="3">
        <v>46035.599618055552</v>
      </c>
      <c r="CU391" s="1" t="s">
        <v>436</v>
      </c>
      <c r="CV391" s="1" t="s">
        <v>512</v>
      </c>
      <c r="CY391" s="1" t="s">
        <v>438</v>
      </c>
      <c r="DP391" s="1" t="s">
        <v>4257</v>
      </c>
      <c r="DU391" s="1" t="s">
        <v>4258</v>
      </c>
      <c r="GZ391" s="1" t="s">
        <v>4257</v>
      </c>
      <c r="HA391" s="1" t="s">
        <v>4258</v>
      </c>
      <c r="NM391" s="1" t="s">
        <v>441</v>
      </c>
      <c r="NN391" s="1">
        <v>4</v>
      </c>
      <c r="NS391" s="1">
        <v>5</v>
      </c>
      <c r="NT391" s="1">
        <v>5</v>
      </c>
      <c r="OA391" s="1">
        <v>5</v>
      </c>
      <c r="OB391" s="1">
        <v>5</v>
      </c>
      <c r="OC391" s="1">
        <v>5</v>
      </c>
      <c r="OD391" s="1">
        <v>5</v>
      </c>
      <c r="SB391" s="1" t="s">
        <v>4259</v>
      </c>
      <c r="SC391" s="1" t="s">
        <v>1345</v>
      </c>
      <c r="SF391" s="1" t="s">
        <v>4260</v>
      </c>
      <c r="SG391" s="1" t="s">
        <v>1347</v>
      </c>
      <c r="SH391" s="1" t="s">
        <v>438</v>
      </c>
      <c r="SI391" s="1" t="s">
        <v>438</v>
      </c>
      <c r="SK391" s="1" t="s">
        <v>445</v>
      </c>
      <c r="SL391" s="1" t="s">
        <v>919</v>
      </c>
    </row>
    <row r="392" spans="1:508" ht="32" x14ac:dyDescent="0.2">
      <c r="A392" s="1" t="s">
        <v>4261</v>
      </c>
      <c r="B392" s="1">
        <v>10</v>
      </c>
      <c r="C392" s="1">
        <v>5</v>
      </c>
      <c r="D392" s="3">
        <v>46035.577222222222</v>
      </c>
      <c r="E392" s="1">
        <v>5123695</v>
      </c>
      <c r="F392" s="1" t="s">
        <v>428</v>
      </c>
      <c r="H392" s="1" t="s">
        <v>4262</v>
      </c>
      <c r="J392" s="1" t="s">
        <v>4263</v>
      </c>
      <c r="N392" s="1" t="s">
        <v>724</v>
      </c>
      <c r="O392" s="1" t="s">
        <v>432</v>
      </c>
      <c r="R392" s="1" t="s">
        <v>4263</v>
      </c>
      <c r="S392" s="1" t="s">
        <v>725</v>
      </c>
      <c r="AB392" s="3">
        <v>46036.33222222222</v>
      </c>
      <c r="AC392" s="3">
        <v>46035.537858796299</v>
      </c>
      <c r="AE392" s="1" t="s">
        <v>4264</v>
      </c>
      <c r="BB392" s="1" t="s">
        <v>4265</v>
      </c>
      <c r="CO392" s="1" t="s">
        <v>435</v>
      </c>
      <c r="CQ392" s="1" t="s">
        <v>432</v>
      </c>
      <c r="CR392" s="1" t="s">
        <v>511</v>
      </c>
      <c r="CS392" s="1" t="s">
        <v>511</v>
      </c>
      <c r="CT392" s="3">
        <v>46035.577604166669</v>
      </c>
      <c r="CU392" s="1" t="s">
        <v>436</v>
      </c>
      <c r="CV392" s="1" t="s">
        <v>512</v>
      </c>
      <c r="CY392" s="1" t="s">
        <v>438</v>
      </c>
      <c r="DP392" s="1" t="s">
        <v>4266</v>
      </c>
      <c r="DU392" s="1" t="s">
        <v>4267</v>
      </c>
      <c r="GZ392" s="1" t="s">
        <v>4266</v>
      </c>
      <c r="HA392" s="1" t="s">
        <v>4267</v>
      </c>
      <c r="NM392" s="1" t="s">
        <v>441</v>
      </c>
      <c r="NN392" s="1">
        <v>2</v>
      </c>
      <c r="NS392" s="1">
        <v>2</v>
      </c>
      <c r="NT392" s="1">
        <v>3</v>
      </c>
      <c r="OA392" s="1">
        <v>3</v>
      </c>
      <c r="OB392" s="1">
        <v>2</v>
      </c>
      <c r="OC392" s="1">
        <v>2</v>
      </c>
      <c r="OD392" s="1">
        <v>3</v>
      </c>
      <c r="SC392" s="1" t="s">
        <v>646</v>
      </c>
      <c r="SG392" s="1" t="s">
        <v>647</v>
      </c>
      <c r="SH392" s="1" t="s">
        <v>438</v>
      </c>
      <c r="SI392" s="1" t="s">
        <v>432</v>
      </c>
      <c r="SK392" s="1" t="s">
        <v>445</v>
      </c>
      <c r="SL392" s="1" t="s">
        <v>620</v>
      </c>
    </row>
    <row r="393" spans="1:508" ht="48" x14ac:dyDescent="0.2">
      <c r="A393" s="1" t="s">
        <v>4268</v>
      </c>
      <c r="B393" s="1">
        <v>10</v>
      </c>
      <c r="C393" s="1">
        <v>5</v>
      </c>
      <c r="D393" s="3">
        <v>46035.572916666664</v>
      </c>
      <c r="E393" s="1">
        <v>5123674</v>
      </c>
      <c r="F393" s="1" t="s">
        <v>428</v>
      </c>
      <c r="H393" s="1" t="s">
        <v>4269</v>
      </c>
      <c r="J393" s="1" t="s">
        <v>4270</v>
      </c>
      <c r="N393" s="1" t="s">
        <v>724</v>
      </c>
      <c r="O393" s="1" t="s">
        <v>438</v>
      </c>
      <c r="R393" s="1" t="s">
        <v>4270</v>
      </c>
      <c r="S393" s="1" t="s">
        <v>725</v>
      </c>
      <c r="AB393" s="3">
        <v>46036.329386574071</v>
      </c>
      <c r="AC393" s="3">
        <v>46035.638229166667</v>
      </c>
      <c r="AE393" s="1" t="s">
        <v>4271</v>
      </c>
      <c r="BB393" s="1" t="s">
        <v>4272</v>
      </c>
      <c r="CO393" s="1" t="s">
        <v>435</v>
      </c>
      <c r="CQ393" s="1" t="s">
        <v>432</v>
      </c>
      <c r="CR393" s="1" t="s">
        <v>511</v>
      </c>
      <c r="CS393" s="1" t="s">
        <v>511</v>
      </c>
      <c r="CT393" s="3">
        <v>46035.571886574071</v>
      </c>
      <c r="CU393" s="1" t="s">
        <v>436</v>
      </c>
      <c r="CV393" s="1" t="s">
        <v>512</v>
      </c>
      <c r="CY393" s="1" t="s">
        <v>438</v>
      </c>
      <c r="DP393" s="1" t="s">
        <v>4273</v>
      </c>
      <c r="DU393" s="1" t="s">
        <v>4274</v>
      </c>
      <c r="GZ393" s="1" t="s">
        <v>4273</v>
      </c>
      <c r="HA393" s="1" t="s">
        <v>4274</v>
      </c>
      <c r="NM393" s="1" t="s">
        <v>441</v>
      </c>
      <c r="NN393" s="1">
        <v>5</v>
      </c>
      <c r="NS393" s="1">
        <v>5</v>
      </c>
      <c r="NT393" s="1">
        <v>5</v>
      </c>
      <c r="OA393" s="1">
        <v>5</v>
      </c>
      <c r="OB393" s="1">
        <v>5</v>
      </c>
      <c r="OC393" s="1">
        <v>5</v>
      </c>
      <c r="OD393" s="1">
        <v>3</v>
      </c>
      <c r="SB393" s="1" t="s">
        <v>2027</v>
      </c>
      <c r="SC393" s="1" t="s">
        <v>4275</v>
      </c>
      <c r="SF393" s="1" t="s">
        <v>2029</v>
      </c>
      <c r="SG393" s="1" t="s">
        <v>4276</v>
      </c>
      <c r="SH393" s="1" t="s">
        <v>438</v>
      </c>
      <c r="SI393" s="1" t="s">
        <v>438</v>
      </c>
      <c r="SK393" s="1" t="s">
        <v>568</v>
      </c>
      <c r="SL393" s="1" t="s">
        <v>540</v>
      </c>
      <c r="SM393" s="1" t="s">
        <v>787</v>
      </c>
    </row>
    <row r="394" spans="1:508" ht="32" x14ac:dyDescent="0.2">
      <c r="A394" s="1" t="s">
        <v>4277</v>
      </c>
      <c r="B394" s="1">
        <v>10</v>
      </c>
      <c r="C394" s="1">
        <v>5</v>
      </c>
      <c r="D394" s="3">
        <v>46035.53738425926</v>
      </c>
      <c r="E394" s="1">
        <v>5123529</v>
      </c>
      <c r="F394" s="1" t="s">
        <v>428</v>
      </c>
      <c r="H394" s="1" t="s">
        <v>4278</v>
      </c>
      <c r="J394" s="1" t="s">
        <v>4279</v>
      </c>
      <c r="N394" s="1" t="s">
        <v>4280</v>
      </c>
      <c r="O394" s="1" t="s">
        <v>432</v>
      </c>
      <c r="R394" s="1" t="s">
        <v>4279</v>
      </c>
      <c r="S394" s="1" t="s">
        <v>4281</v>
      </c>
      <c r="AB394" s="3">
        <v>46035.635694444441</v>
      </c>
      <c r="AC394" s="3">
        <v>46035.597824074073</v>
      </c>
      <c r="AE394" s="1" t="s">
        <v>4282</v>
      </c>
      <c r="BB394" s="1" t="s">
        <v>4283</v>
      </c>
      <c r="CO394" s="1" t="s">
        <v>435</v>
      </c>
      <c r="CQ394" s="1" t="s">
        <v>432</v>
      </c>
      <c r="CR394" s="1" t="s">
        <v>495</v>
      </c>
      <c r="CS394" s="1" t="s">
        <v>495</v>
      </c>
      <c r="CT394" s="3">
        <v>46035.537824074076</v>
      </c>
      <c r="CU394" s="1" t="s">
        <v>436</v>
      </c>
      <c r="CV394" s="1" t="s">
        <v>512</v>
      </c>
      <c r="CY394" s="1" t="s">
        <v>438</v>
      </c>
      <c r="DP394" s="1" t="s">
        <v>4284</v>
      </c>
      <c r="DU394" s="1" t="s">
        <v>682</v>
      </c>
      <c r="GZ394" s="1" t="s">
        <v>4284</v>
      </c>
      <c r="HA394" s="1" t="s">
        <v>682</v>
      </c>
      <c r="NM394" s="1" t="s">
        <v>441</v>
      </c>
      <c r="NN394" s="1">
        <v>5</v>
      </c>
      <c r="NS394" s="1">
        <v>5</v>
      </c>
      <c r="NT394" s="1">
        <v>5</v>
      </c>
      <c r="OA394" s="1">
        <v>5</v>
      </c>
      <c r="OB394" s="1">
        <v>5</v>
      </c>
      <c r="OC394" s="1">
        <v>5</v>
      </c>
      <c r="OD394" s="1">
        <v>5</v>
      </c>
      <c r="SC394" s="1" t="s">
        <v>999</v>
      </c>
      <c r="SG394" s="1" t="s">
        <v>2128</v>
      </c>
      <c r="SH394" s="1" t="s">
        <v>438</v>
      </c>
      <c r="SI394" s="1" t="s">
        <v>438</v>
      </c>
      <c r="SK394" s="1" t="s">
        <v>445</v>
      </c>
    </row>
    <row r="395" spans="1:508" ht="32" x14ac:dyDescent="0.2">
      <c r="A395" s="1" t="s">
        <v>4285</v>
      </c>
      <c r="B395" s="1">
        <v>10</v>
      </c>
      <c r="C395" s="1">
        <v>5</v>
      </c>
      <c r="D395" s="3">
        <v>46035.502939814818</v>
      </c>
      <c r="E395" s="1">
        <v>5123370</v>
      </c>
      <c r="F395" s="1" t="s">
        <v>428</v>
      </c>
      <c r="H395" s="1" t="s">
        <v>4286</v>
      </c>
      <c r="J395" s="1" t="s">
        <v>4287</v>
      </c>
      <c r="N395" s="1" t="s">
        <v>1052</v>
      </c>
      <c r="O395" s="1" t="s">
        <v>438</v>
      </c>
      <c r="R395" s="1" t="s">
        <v>4287</v>
      </c>
      <c r="S395" s="1" t="s">
        <v>1053</v>
      </c>
      <c r="AB395" s="3">
        <v>46036.438449074078</v>
      </c>
      <c r="AC395" s="3">
        <v>46035.537835648145</v>
      </c>
      <c r="AE395" s="1" t="s">
        <v>4288</v>
      </c>
      <c r="BB395" s="1" t="s">
        <v>4289</v>
      </c>
      <c r="CO395" s="1" t="s">
        <v>435</v>
      </c>
      <c r="CQ395" s="1" t="s">
        <v>432</v>
      </c>
      <c r="CR395" s="1" t="s">
        <v>534</v>
      </c>
      <c r="CS395" s="1" t="s">
        <v>534</v>
      </c>
      <c r="CT395" s="3">
        <v>46035.503333333334</v>
      </c>
      <c r="CU395" s="1" t="s">
        <v>436</v>
      </c>
      <c r="CV395" s="1" t="s">
        <v>512</v>
      </c>
      <c r="CY395" s="1" t="s">
        <v>438</v>
      </c>
      <c r="DP395" s="1" t="s">
        <v>4290</v>
      </c>
      <c r="GZ395" s="1" t="s">
        <v>4290</v>
      </c>
      <c r="NM395" s="1" t="s">
        <v>441</v>
      </c>
      <c r="NN395" s="1">
        <v>5</v>
      </c>
      <c r="NS395" s="1">
        <v>5</v>
      </c>
      <c r="NT395" s="1">
        <v>5</v>
      </c>
      <c r="OA395" s="1">
        <v>5</v>
      </c>
      <c r="OB395" s="1">
        <v>5</v>
      </c>
      <c r="OC395" s="1">
        <v>5</v>
      </c>
      <c r="OD395" s="1">
        <v>5</v>
      </c>
      <c r="SC395" s="1" t="s">
        <v>4291</v>
      </c>
      <c r="SG395" s="1" t="s">
        <v>4292</v>
      </c>
      <c r="SH395" s="1" t="s">
        <v>438</v>
      </c>
      <c r="SI395" s="1" t="s">
        <v>438</v>
      </c>
      <c r="SK395" s="1" t="s">
        <v>445</v>
      </c>
    </row>
    <row r="396" spans="1:508" ht="80" x14ac:dyDescent="0.2">
      <c r="A396" s="1" t="s">
        <v>4293</v>
      </c>
      <c r="B396" s="1">
        <v>10</v>
      </c>
      <c r="C396" s="1">
        <v>4</v>
      </c>
      <c r="D396" s="3">
        <v>46035.474178240744</v>
      </c>
      <c r="E396" s="1">
        <v>5123219</v>
      </c>
      <c r="F396" s="1" t="s">
        <v>428</v>
      </c>
      <c r="H396" s="1" t="s">
        <v>4294</v>
      </c>
      <c r="N396" s="1" t="s">
        <v>4295</v>
      </c>
      <c r="O396" s="1" t="s">
        <v>432</v>
      </c>
      <c r="S396" s="1" t="s">
        <v>4296</v>
      </c>
      <c r="AB396" s="3">
        <v>46035.623240740744</v>
      </c>
      <c r="AC396" s="3">
        <v>46035.538784722223</v>
      </c>
      <c r="AE396" s="1" t="s">
        <v>4297</v>
      </c>
      <c r="BB396" s="1" t="s">
        <v>4298</v>
      </c>
      <c r="CO396" s="1" t="s">
        <v>435</v>
      </c>
      <c r="CQ396" s="1" t="s">
        <v>432</v>
      </c>
      <c r="CR396" s="1" t="s">
        <v>511</v>
      </c>
      <c r="CS396" s="1" t="s">
        <v>511</v>
      </c>
      <c r="CT396" s="3">
        <v>46035.472141203703</v>
      </c>
      <c r="CU396" s="1" t="s">
        <v>436</v>
      </c>
      <c r="CV396" s="1" t="s">
        <v>512</v>
      </c>
      <c r="CY396" s="1" t="s">
        <v>438</v>
      </c>
      <c r="DP396" s="1" t="s">
        <v>4299</v>
      </c>
      <c r="DU396" s="1" t="s">
        <v>4300</v>
      </c>
      <c r="GZ396" s="1" t="s">
        <v>4299</v>
      </c>
      <c r="HA396" s="1" t="s">
        <v>4300</v>
      </c>
      <c r="NM396" s="1" t="s">
        <v>441</v>
      </c>
      <c r="NN396" s="1">
        <v>4</v>
      </c>
      <c r="NS396" s="1" t="s">
        <v>442</v>
      </c>
      <c r="NT396" s="1">
        <v>4</v>
      </c>
      <c r="OA396" s="1">
        <v>4</v>
      </c>
      <c r="OB396" s="1">
        <v>2</v>
      </c>
      <c r="OC396" s="1">
        <v>4</v>
      </c>
      <c r="OD396" s="1">
        <v>5</v>
      </c>
      <c r="SB396" s="1" t="s">
        <v>4301</v>
      </c>
      <c r="SC396" s="1" t="s">
        <v>646</v>
      </c>
      <c r="SF396" s="1" t="s">
        <v>4302</v>
      </c>
      <c r="SG396" s="1" t="s">
        <v>909</v>
      </c>
      <c r="SH396" s="1" t="s">
        <v>438</v>
      </c>
      <c r="SI396" s="1" t="s">
        <v>432</v>
      </c>
      <c r="SK396" s="1" t="s">
        <v>445</v>
      </c>
      <c r="SL396" s="1" t="s">
        <v>4303</v>
      </c>
    </row>
    <row r="397" spans="1:508" ht="48" x14ac:dyDescent="0.2">
      <c r="A397" s="1" t="s">
        <v>4304</v>
      </c>
      <c r="B397" s="1">
        <v>1</v>
      </c>
      <c r="C397" s="1">
        <v>1</v>
      </c>
      <c r="D397" s="3">
        <v>46035.430023148147</v>
      </c>
      <c r="E397" s="1">
        <v>5122997</v>
      </c>
      <c r="F397" s="1" t="s">
        <v>428</v>
      </c>
      <c r="H397" s="1" t="s">
        <v>4305</v>
      </c>
      <c r="J397" s="1" t="s">
        <v>4306</v>
      </c>
      <c r="N397" s="1" t="s">
        <v>1704</v>
      </c>
      <c r="O397" s="1" t="s">
        <v>432</v>
      </c>
      <c r="R397" s="1" t="s">
        <v>4306</v>
      </c>
      <c r="S397" s="1" t="s">
        <v>1705</v>
      </c>
      <c r="AB397" s="3">
        <v>46041.554884259262</v>
      </c>
      <c r="AC397" s="3">
        <v>46035.538402777776</v>
      </c>
      <c r="AE397" s="1" t="s">
        <v>4307</v>
      </c>
      <c r="BB397" s="1" t="s">
        <v>4308</v>
      </c>
      <c r="CO397" s="1" t="s">
        <v>435</v>
      </c>
      <c r="CQ397" s="1" t="s">
        <v>432</v>
      </c>
      <c r="CR397" s="1" t="s">
        <v>1770</v>
      </c>
      <c r="CS397" s="1" t="s">
        <v>729</v>
      </c>
      <c r="CT397" s="3">
        <v>46035.430254629631</v>
      </c>
      <c r="CU397" s="1" t="s">
        <v>1206</v>
      </c>
      <c r="CV397" s="1" t="s">
        <v>512</v>
      </c>
      <c r="CW397" s="3">
        <v>46041.554837962962</v>
      </c>
      <c r="CX397" s="1" t="s">
        <v>1057</v>
      </c>
      <c r="CY397" s="1" t="s">
        <v>438</v>
      </c>
      <c r="DP397" s="1" t="s">
        <v>4309</v>
      </c>
      <c r="DU397" s="1" t="s">
        <v>4310</v>
      </c>
      <c r="GZ397" s="1" t="s">
        <v>4309</v>
      </c>
      <c r="HA397" s="1" t="s">
        <v>4310</v>
      </c>
      <c r="NM397" s="1" t="s">
        <v>441</v>
      </c>
      <c r="NN397" s="1">
        <v>1</v>
      </c>
      <c r="NS397" s="1">
        <v>1</v>
      </c>
      <c r="NT397" s="1">
        <v>4</v>
      </c>
      <c r="OA397" s="1">
        <v>1</v>
      </c>
      <c r="OB397" s="1">
        <v>1</v>
      </c>
      <c r="OC397" s="1">
        <v>3</v>
      </c>
      <c r="OD397" s="1">
        <v>4</v>
      </c>
      <c r="SB397" s="1" t="s">
        <v>1510</v>
      </c>
      <c r="SC397" s="1" t="s">
        <v>646</v>
      </c>
      <c r="SF397" s="1" t="s">
        <v>4311</v>
      </c>
      <c r="SG397" s="1" t="s">
        <v>647</v>
      </c>
      <c r="SH397" s="1" t="s">
        <v>438</v>
      </c>
      <c r="SI397" s="1" t="s">
        <v>432</v>
      </c>
      <c r="SK397" s="1" t="s">
        <v>568</v>
      </c>
      <c r="SL397" s="1" t="s">
        <v>4232</v>
      </c>
    </row>
    <row r="398" spans="1:508" ht="48" x14ac:dyDescent="0.2">
      <c r="A398" s="1" t="s">
        <v>4312</v>
      </c>
      <c r="B398" s="1">
        <v>10</v>
      </c>
      <c r="C398" s="1">
        <v>5</v>
      </c>
      <c r="D398" s="3">
        <v>46035.429027777776</v>
      </c>
      <c r="E398" s="1">
        <v>5122990</v>
      </c>
      <c r="F398" s="1" t="s">
        <v>428</v>
      </c>
      <c r="H398" s="1" t="s">
        <v>4313</v>
      </c>
      <c r="J398" s="1" t="s">
        <v>4314</v>
      </c>
      <c r="N398" s="1" t="s">
        <v>4315</v>
      </c>
      <c r="O398" s="1" t="s">
        <v>432</v>
      </c>
      <c r="R398" s="1" t="s">
        <v>4314</v>
      </c>
      <c r="S398" s="1" t="s">
        <v>4316</v>
      </c>
      <c r="AB398" s="3">
        <v>46035.614918981482</v>
      </c>
      <c r="AC398" s="3">
        <v>46035.538807870369</v>
      </c>
      <c r="AE398" s="1" t="s">
        <v>4317</v>
      </c>
      <c r="BB398" s="1" t="s">
        <v>4318</v>
      </c>
      <c r="CO398" s="1" t="s">
        <v>435</v>
      </c>
      <c r="CQ398" s="1" t="s">
        <v>432</v>
      </c>
      <c r="CR398" s="1" t="s">
        <v>549</v>
      </c>
      <c r="CS398" s="1" t="s">
        <v>549</v>
      </c>
      <c r="CT398" s="3">
        <v>46035.429502314815</v>
      </c>
      <c r="CU398" s="1" t="s">
        <v>436</v>
      </c>
      <c r="CV398" s="1" t="s">
        <v>512</v>
      </c>
      <c r="CY398" s="1" t="s">
        <v>438</v>
      </c>
      <c r="DP398" s="1" t="s">
        <v>4319</v>
      </c>
      <c r="GZ398" s="1" t="s">
        <v>4319</v>
      </c>
      <c r="NM398" s="1" t="s">
        <v>441</v>
      </c>
      <c r="NN398" s="1">
        <v>5</v>
      </c>
      <c r="NS398" s="1">
        <v>5</v>
      </c>
      <c r="NT398" s="1">
        <v>5</v>
      </c>
      <c r="OA398" s="1">
        <v>5</v>
      </c>
      <c r="OB398" s="1">
        <v>5</v>
      </c>
      <c r="OC398" s="1">
        <v>5</v>
      </c>
      <c r="OD398" s="1">
        <v>5</v>
      </c>
      <c r="SC398" s="1" t="s">
        <v>443</v>
      </c>
      <c r="SG398" s="1" t="s">
        <v>444</v>
      </c>
      <c r="SH398" s="1" t="s">
        <v>438</v>
      </c>
      <c r="SI398" s="1" t="s">
        <v>438</v>
      </c>
      <c r="SK398" s="1" t="s">
        <v>568</v>
      </c>
    </row>
    <row r="399" spans="1:508" ht="64" x14ac:dyDescent="0.2">
      <c r="A399" s="1" t="s">
        <v>4320</v>
      </c>
      <c r="B399" s="1">
        <v>8</v>
      </c>
      <c r="C399" s="1">
        <v>3</v>
      </c>
      <c r="D399" s="3">
        <v>46035.414050925923</v>
      </c>
      <c r="E399" s="1">
        <v>5122854</v>
      </c>
      <c r="F399" s="1" t="s">
        <v>428</v>
      </c>
      <c r="H399" s="1" t="s">
        <v>4321</v>
      </c>
      <c r="J399" s="1" t="s">
        <v>4322</v>
      </c>
      <c r="N399" s="1" t="s">
        <v>3991</v>
      </c>
      <c r="O399" s="1" t="s">
        <v>432</v>
      </c>
      <c r="R399" s="1" t="s">
        <v>4322</v>
      </c>
      <c r="S399" s="1" t="s">
        <v>3992</v>
      </c>
      <c r="AB399" s="3">
        <v>46035.600543981483</v>
      </c>
      <c r="AC399" s="3">
        <v>46034.890347222223</v>
      </c>
      <c r="AE399" s="1" t="s">
        <v>4323</v>
      </c>
      <c r="BB399" s="1" t="s">
        <v>4324</v>
      </c>
      <c r="CO399" s="1" t="s">
        <v>435</v>
      </c>
      <c r="CQ399" s="1" t="s">
        <v>432</v>
      </c>
      <c r="CR399" s="1" t="s">
        <v>3493</v>
      </c>
      <c r="CS399" s="1" t="s">
        <v>3494</v>
      </c>
      <c r="CT399" s="3">
        <v>46035.412118055552</v>
      </c>
      <c r="CU399" s="1" t="s">
        <v>524</v>
      </c>
      <c r="CV399" s="1" t="s">
        <v>512</v>
      </c>
      <c r="CY399" s="1" t="s">
        <v>438</v>
      </c>
      <c r="DP399" s="1" t="s">
        <v>4325</v>
      </c>
      <c r="DU399" s="1" t="s">
        <v>4326</v>
      </c>
      <c r="GZ399" s="1" t="s">
        <v>4325</v>
      </c>
      <c r="HA399" s="1" t="s">
        <v>4326</v>
      </c>
      <c r="NM399" s="1" t="s">
        <v>441</v>
      </c>
      <c r="NN399" s="1">
        <v>5</v>
      </c>
      <c r="NS399" s="1">
        <v>4</v>
      </c>
      <c r="NT399" s="1">
        <v>5</v>
      </c>
      <c r="OA399" s="1">
        <v>2</v>
      </c>
      <c r="OB399" s="1">
        <v>2</v>
      </c>
      <c r="OC399" s="1">
        <v>4</v>
      </c>
      <c r="OD399" s="1">
        <v>4</v>
      </c>
      <c r="SB399" s="1" t="s">
        <v>1114</v>
      </c>
      <c r="SC399" s="1" t="s">
        <v>4327</v>
      </c>
      <c r="SF399" s="1" t="s">
        <v>1452</v>
      </c>
      <c r="SG399" s="1" t="s">
        <v>4328</v>
      </c>
      <c r="SH399" s="1" t="s">
        <v>438</v>
      </c>
      <c r="SI399" s="1" t="s">
        <v>438</v>
      </c>
      <c r="SK399" s="1" t="s">
        <v>672</v>
      </c>
      <c r="SL399" s="1" t="s">
        <v>799</v>
      </c>
    </row>
    <row r="400" spans="1:508" ht="32" x14ac:dyDescent="0.2">
      <c r="A400" s="1" t="s">
        <v>4329</v>
      </c>
      <c r="B400" s="1">
        <v>10</v>
      </c>
      <c r="C400" s="1">
        <v>5</v>
      </c>
      <c r="D400" s="3">
        <v>46034.820023148146</v>
      </c>
      <c r="E400" s="1">
        <v>5121723</v>
      </c>
      <c r="F400" s="1" t="s">
        <v>428</v>
      </c>
      <c r="H400" s="1" t="s">
        <v>4330</v>
      </c>
      <c r="J400" s="1" t="s">
        <v>4331</v>
      </c>
      <c r="N400" s="1" t="s">
        <v>1090</v>
      </c>
      <c r="O400" s="1" t="s">
        <v>432</v>
      </c>
      <c r="R400" s="1" t="s">
        <v>4331</v>
      </c>
      <c r="S400" s="1" t="s">
        <v>1091</v>
      </c>
      <c r="AB400" s="3">
        <v>46035.417534722219</v>
      </c>
      <c r="AC400" s="3">
        <v>46034.890277777777</v>
      </c>
      <c r="AE400" s="1" t="s">
        <v>4332</v>
      </c>
      <c r="BB400" s="1" t="s">
        <v>4333</v>
      </c>
      <c r="CO400" s="1" t="s">
        <v>435</v>
      </c>
      <c r="CQ400" s="1" t="s">
        <v>432</v>
      </c>
      <c r="CR400" s="1" t="s">
        <v>852</v>
      </c>
      <c r="CS400" s="1" t="s">
        <v>852</v>
      </c>
      <c r="CT400" s="3">
        <v>46034.819004629629</v>
      </c>
      <c r="CU400" s="1" t="s">
        <v>436</v>
      </c>
      <c r="CV400" s="1" t="s">
        <v>512</v>
      </c>
      <c r="CY400" s="1" t="s">
        <v>438</v>
      </c>
      <c r="DP400" s="1" t="s">
        <v>4334</v>
      </c>
      <c r="GZ400" s="1" t="s">
        <v>4334</v>
      </c>
      <c r="NM400" s="1" t="s">
        <v>441</v>
      </c>
      <c r="NN400" s="1">
        <v>5</v>
      </c>
      <c r="NS400" s="1">
        <v>5</v>
      </c>
      <c r="NT400" s="1">
        <v>5</v>
      </c>
      <c r="OA400" s="1">
        <v>5</v>
      </c>
      <c r="OB400" s="1">
        <v>4</v>
      </c>
      <c r="OC400" s="1">
        <v>5</v>
      </c>
      <c r="OD400" s="1">
        <v>5</v>
      </c>
      <c r="SC400" s="1" t="s">
        <v>1696</v>
      </c>
      <c r="SG400" s="1" t="s">
        <v>1938</v>
      </c>
      <c r="SH400" s="1" t="s">
        <v>438</v>
      </c>
      <c r="SI400" s="1" t="s">
        <v>432</v>
      </c>
      <c r="SK400" s="1" t="s">
        <v>1372</v>
      </c>
    </row>
    <row r="401" spans="1:508" ht="64" x14ac:dyDescent="0.2">
      <c r="A401" s="1" t="s">
        <v>4335</v>
      </c>
      <c r="B401" s="1">
        <v>10</v>
      </c>
      <c r="C401" s="1">
        <v>5</v>
      </c>
      <c r="D401" s="3">
        <v>46034.764930555553</v>
      </c>
      <c r="E401" s="1">
        <v>5121496</v>
      </c>
      <c r="F401" s="1" t="s">
        <v>428</v>
      </c>
      <c r="H401" s="1" t="s">
        <v>4336</v>
      </c>
      <c r="J401" s="1" t="s">
        <v>4337</v>
      </c>
      <c r="N401" s="1" t="s">
        <v>724</v>
      </c>
      <c r="O401" s="1" t="s">
        <v>432</v>
      </c>
      <c r="R401" s="1" t="s">
        <v>4337</v>
      </c>
      <c r="S401" s="1" t="s">
        <v>725</v>
      </c>
      <c r="AB401" s="3">
        <v>46035.403657407405</v>
      </c>
      <c r="AC401" s="3">
        <v>46034.848796296297</v>
      </c>
      <c r="AE401" s="1" t="s">
        <v>4338</v>
      </c>
      <c r="BB401" s="1" t="s">
        <v>4339</v>
      </c>
      <c r="CO401" s="1" t="s">
        <v>435</v>
      </c>
      <c r="CQ401" s="1" t="s">
        <v>432</v>
      </c>
      <c r="CR401" s="1" t="s">
        <v>852</v>
      </c>
      <c r="CS401" s="1" t="s">
        <v>852</v>
      </c>
      <c r="CT401" s="3">
        <v>46034.774363425924</v>
      </c>
      <c r="CU401" s="1" t="s">
        <v>436</v>
      </c>
      <c r="CV401" s="1" t="s">
        <v>512</v>
      </c>
      <c r="CY401" s="1" t="s">
        <v>438</v>
      </c>
      <c r="DP401" s="1" t="s">
        <v>4340</v>
      </c>
      <c r="DU401" s="1" t="s">
        <v>4341</v>
      </c>
      <c r="GZ401" s="1" t="s">
        <v>4340</v>
      </c>
      <c r="HA401" s="1" t="s">
        <v>4341</v>
      </c>
      <c r="NM401" s="1" t="s">
        <v>441</v>
      </c>
      <c r="NN401" s="1">
        <v>5</v>
      </c>
      <c r="NS401" s="1">
        <v>5</v>
      </c>
      <c r="NT401" s="1">
        <v>5</v>
      </c>
      <c r="OA401" s="1">
        <v>5</v>
      </c>
      <c r="OB401" s="1">
        <v>5</v>
      </c>
      <c r="OC401" s="1">
        <v>5</v>
      </c>
      <c r="OD401" s="1">
        <v>5</v>
      </c>
      <c r="SB401" s="1" t="s">
        <v>4342</v>
      </c>
      <c r="SC401" s="1" t="s">
        <v>4343</v>
      </c>
      <c r="SF401" s="1" t="s">
        <v>4344</v>
      </c>
      <c r="SG401" s="1" t="s">
        <v>4345</v>
      </c>
      <c r="SH401" s="1" t="s">
        <v>438</v>
      </c>
      <c r="SI401" s="1" t="s">
        <v>432</v>
      </c>
      <c r="SK401" s="1" t="s">
        <v>445</v>
      </c>
      <c r="SL401" s="1" t="s">
        <v>760</v>
      </c>
      <c r="SM401" s="1" t="s">
        <v>1166</v>
      </c>
      <c r="SN401" s="1" t="s">
        <v>540</v>
      </c>
    </row>
    <row r="402" spans="1:508" ht="48" x14ac:dyDescent="0.2">
      <c r="A402" s="1" t="s">
        <v>4346</v>
      </c>
      <c r="B402" s="1">
        <v>10</v>
      </c>
      <c r="C402" s="1">
        <v>5</v>
      </c>
      <c r="D402" s="3">
        <v>46034.739664351851</v>
      </c>
      <c r="E402" s="1">
        <v>5121340</v>
      </c>
      <c r="F402" s="1" t="s">
        <v>428</v>
      </c>
      <c r="H402" s="1" t="s">
        <v>4347</v>
      </c>
      <c r="J402" s="1" t="s">
        <v>4348</v>
      </c>
      <c r="N402" s="1" t="s">
        <v>4023</v>
      </c>
      <c r="O402" s="1" t="s">
        <v>432</v>
      </c>
      <c r="R402" s="1" t="s">
        <v>4348</v>
      </c>
      <c r="S402" s="1" t="s">
        <v>4024</v>
      </c>
      <c r="AB402" s="3">
        <v>46035.413773148146</v>
      </c>
      <c r="AC402" s="3">
        <v>46028.534594907411</v>
      </c>
      <c r="AE402" s="1" t="s">
        <v>4349</v>
      </c>
      <c r="BB402" s="1" t="s">
        <v>4350</v>
      </c>
      <c r="CO402" s="1" t="s">
        <v>435</v>
      </c>
      <c r="CQ402" s="1" t="s">
        <v>432</v>
      </c>
      <c r="CR402" s="1" t="s">
        <v>691</v>
      </c>
      <c r="CS402" s="1" t="s">
        <v>691</v>
      </c>
      <c r="CT402" s="3">
        <v>46034.739374999997</v>
      </c>
      <c r="CU402" s="1" t="s">
        <v>436</v>
      </c>
      <c r="CV402" s="1" t="s">
        <v>512</v>
      </c>
      <c r="CY402" s="1" t="s">
        <v>438</v>
      </c>
      <c r="DP402" s="1" t="s">
        <v>4351</v>
      </c>
      <c r="DU402" s="1" t="s">
        <v>874</v>
      </c>
      <c r="GZ402" s="1" t="s">
        <v>4351</v>
      </c>
      <c r="HA402" s="1" t="s">
        <v>874</v>
      </c>
      <c r="NM402" s="1" t="s">
        <v>441</v>
      </c>
      <c r="NN402" s="1">
        <v>5</v>
      </c>
      <c r="NS402" s="1">
        <v>5</v>
      </c>
      <c r="NT402" s="1">
        <v>5</v>
      </c>
      <c r="OA402" s="1">
        <v>5</v>
      </c>
      <c r="OB402" s="1">
        <v>5</v>
      </c>
      <c r="OC402" s="1">
        <v>5</v>
      </c>
      <c r="OD402" s="1" t="s">
        <v>442</v>
      </c>
      <c r="SB402" s="1" t="s">
        <v>443</v>
      </c>
      <c r="SC402" s="1" t="s">
        <v>443</v>
      </c>
      <c r="SF402" s="1" t="s">
        <v>444</v>
      </c>
      <c r="SG402" s="1" t="s">
        <v>444</v>
      </c>
      <c r="SH402" s="1" t="s">
        <v>432</v>
      </c>
      <c r="SI402" s="1" t="s">
        <v>432</v>
      </c>
      <c r="SK402" s="1" t="s">
        <v>568</v>
      </c>
    </row>
    <row r="403" spans="1:508" ht="288" x14ac:dyDescent="0.2">
      <c r="A403" s="1" t="s">
        <v>4352</v>
      </c>
      <c r="B403" s="1">
        <v>0</v>
      </c>
      <c r="C403" s="1">
        <v>1</v>
      </c>
      <c r="D403" s="3">
        <v>46034.569016203706</v>
      </c>
      <c r="E403" s="1">
        <v>5120490</v>
      </c>
      <c r="F403" s="1" t="s">
        <v>428</v>
      </c>
      <c r="H403" s="1" t="s">
        <v>4353</v>
      </c>
      <c r="J403" s="1" t="s">
        <v>4354</v>
      </c>
      <c r="N403" s="1" t="s">
        <v>3607</v>
      </c>
      <c r="O403" s="1" t="s">
        <v>432</v>
      </c>
      <c r="R403" s="1" t="s">
        <v>4354</v>
      </c>
      <c r="S403" s="1" t="s">
        <v>3608</v>
      </c>
      <c r="AB403" s="3">
        <v>46052.48537037037</v>
      </c>
      <c r="AC403" s="3">
        <v>46034.678506944445</v>
      </c>
      <c r="AE403" s="1" t="s">
        <v>4355</v>
      </c>
      <c r="BB403" s="1" t="s">
        <v>4356</v>
      </c>
      <c r="CO403" s="1" t="s">
        <v>435</v>
      </c>
      <c r="CQ403" s="1" t="s">
        <v>432</v>
      </c>
      <c r="CR403" s="1" t="s">
        <v>4357</v>
      </c>
      <c r="CS403" s="1" t="s">
        <v>729</v>
      </c>
      <c r="CT403" s="3">
        <v>46034.556863425925</v>
      </c>
      <c r="CU403" s="1" t="s">
        <v>1206</v>
      </c>
      <c r="CV403" s="1" t="s">
        <v>512</v>
      </c>
      <c r="CW403" s="3">
        <v>46052.485289351855</v>
      </c>
      <c r="CX403" s="1" t="s">
        <v>1057</v>
      </c>
      <c r="CY403" s="1" t="s">
        <v>438</v>
      </c>
      <c r="DU403" s="1" t="s">
        <v>4358</v>
      </c>
      <c r="HA403" s="1" t="s">
        <v>4358</v>
      </c>
      <c r="NM403" s="1" t="s">
        <v>441</v>
      </c>
      <c r="NN403" s="1">
        <v>1</v>
      </c>
      <c r="NS403" s="1">
        <v>1</v>
      </c>
      <c r="NT403" s="1" t="s">
        <v>442</v>
      </c>
      <c r="OA403" s="1">
        <v>1</v>
      </c>
      <c r="OB403" s="1">
        <v>1</v>
      </c>
      <c r="OC403" s="1">
        <v>1</v>
      </c>
      <c r="OD403" s="1">
        <v>1</v>
      </c>
      <c r="SB403" s="1" t="s">
        <v>4359</v>
      </c>
      <c r="SC403" s="1" t="s">
        <v>4360</v>
      </c>
      <c r="SF403" s="1" t="s">
        <v>4361</v>
      </c>
      <c r="SG403" s="1" t="s">
        <v>4362</v>
      </c>
      <c r="SH403" s="1" t="s">
        <v>438</v>
      </c>
      <c r="SI403" s="1" t="s">
        <v>438</v>
      </c>
      <c r="SK403" s="1" t="s">
        <v>620</v>
      </c>
    </row>
    <row r="404" spans="1:508" ht="48" x14ac:dyDescent="0.2">
      <c r="A404" s="1" t="s">
        <v>4363</v>
      </c>
      <c r="B404" s="1">
        <v>10</v>
      </c>
      <c r="C404" s="1">
        <v>5</v>
      </c>
      <c r="D404" s="3">
        <v>46034.461134259262</v>
      </c>
      <c r="E404" s="1">
        <v>5120081</v>
      </c>
      <c r="F404" s="1" t="s">
        <v>428</v>
      </c>
      <c r="H404" s="1" t="s">
        <v>4364</v>
      </c>
      <c r="J404" s="1" t="s">
        <v>4365</v>
      </c>
      <c r="N404" s="1" t="s">
        <v>724</v>
      </c>
      <c r="O404" s="1" t="s">
        <v>432</v>
      </c>
      <c r="R404" s="1" t="s">
        <v>4365</v>
      </c>
      <c r="S404" s="1" t="s">
        <v>725</v>
      </c>
      <c r="AB404" s="3">
        <v>46035.378935185188</v>
      </c>
      <c r="AC404" s="3">
        <v>46034.537685185183</v>
      </c>
      <c r="AE404" s="1" t="s">
        <v>4366</v>
      </c>
      <c r="BB404" s="1" t="s">
        <v>4367</v>
      </c>
      <c r="CO404" s="1" t="s">
        <v>435</v>
      </c>
      <c r="CQ404" s="1" t="s">
        <v>432</v>
      </c>
      <c r="CR404" s="1" t="s">
        <v>534</v>
      </c>
      <c r="CS404" s="1" t="s">
        <v>534</v>
      </c>
      <c r="CT404" s="3">
        <v>46034.460196759261</v>
      </c>
      <c r="CU404" s="1" t="s">
        <v>436</v>
      </c>
      <c r="CV404" s="1" t="s">
        <v>512</v>
      </c>
      <c r="CY404" s="1" t="s">
        <v>438</v>
      </c>
      <c r="DP404" s="1" t="s">
        <v>4368</v>
      </c>
      <c r="DU404" s="1" t="s">
        <v>4369</v>
      </c>
      <c r="GZ404" s="1" t="s">
        <v>4368</v>
      </c>
      <c r="HA404" s="1" t="s">
        <v>4369</v>
      </c>
      <c r="NM404" s="1" t="s">
        <v>441</v>
      </c>
      <c r="NN404" s="1">
        <v>5</v>
      </c>
      <c r="NS404" s="1">
        <v>5</v>
      </c>
      <c r="NT404" s="1">
        <v>5</v>
      </c>
      <c r="OA404" s="1">
        <v>5</v>
      </c>
      <c r="OB404" s="1">
        <v>5</v>
      </c>
      <c r="OC404" s="1">
        <v>5</v>
      </c>
      <c r="OD404" s="1">
        <v>4</v>
      </c>
      <c r="SB404" s="1" t="s">
        <v>1114</v>
      </c>
      <c r="SC404" s="1" t="s">
        <v>1114</v>
      </c>
      <c r="SF404" s="1" t="s">
        <v>1452</v>
      </c>
      <c r="SG404" s="1" t="s">
        <v>4370</v>
      </c>
      <c r="SH404" s="1" t="s">
        <v>438</v>
      </c>
      <c r="SI404" s="1" t="s">
        <v>438</v>
      </c>
      <c r="SK404" s="1" t="s">
        <v>760</v>
      </c>
      <c r="SL404" s="1" t="s">
        <v>1546</v>
      </c>
    </row>
    <row r="405" spans="1:508" ht="48" x14ac:dyDescent="0.2">
      <c r="A405" s="1" t="s">
        <v>4371</v>
      </c>
      <c r="B405" s="1">
        <v>10</v>
      </c>
      <c r="C405" s="1">
        <v>5</v>
      </c>
      <c r="D405" s="3">
        <v>46034.43613425926</v>
      </c>
      <c r="E405" s="1">
        <v>5119956</v>
      </c>
      <c r="F405" s="1" t="s">
        <v>428</v>
      </c>
      <c r="H405" s="1" t="s">
        <v>4372</v>
      </c>
      <c r="J405" s="1" t="s">
        <v>4373</v>
      </c>
      <c r="N405" s="1" t="s">
        <v>4374</v>
      </c>
      <c r="O405" s="1" t="s">
        <v>432</v>
      </c>
      <c r="R405" s="1" t="s">
        <v>4373</v>
      </c>
      <c r="S405" s="1" t="s">
        <v>4375</v>
      </c>
      <c r="AB405" s="3">
        <v>46034.613229166665</v>
      </c>
      <c r="AC405" s="3">
        <v>46034.537858796299</v>
      </c>
      <c r="AE405" s="1" t="s">
        <v>4376</v>
      </c>
      <c r="BB405" s="1" t="s">
        <v>4377</v>
      </c>
      <c r="CO405" s="1" t="s">
        <v>435</v>
      </c>
      <c r="CQ405" s="1" t="s">
        <v>432</v>
      </c>
      <c r="CR405" s="1" t="s">
        <v>549</v>
      </c>
      <c r="CS405" s="1" t="s">
        <v>549</v>
      </c>
      <c r="CT405" s="3">
        <v>46034.43613425926</v>
      </c>
      <c r="CU405" s="1" t="s">
        <v>436</v>
      </c>
      <c r="CV405" s="1" t="s">
        <v>512</v>
      </c>
      <c r="CY405" s="1" t="s">
        <v>438</v>
      </c>
      <c r="DP405" s="1" t="s">
        <v>4378</v>
      </c>
      <c r="DU405" s="1" t="s">
        <v>2189</v>
      </c>
      <c r="GZ405" s="1" t="s">
        <v>4378</v>
      </c>
      <c r="HA405" s="1" t="s">
        <v>2189</v>
      </c>
      <c r="NM405" s="1" t="s">
        <v>441</v>
      </c>
      <c r="NN405" s="1">
        <v>4</v>
      </c>
      <c r="NS405" s="1">
        <v>5</v>
      </c>
      <c r="NT405" s="1">
        <v>5</v>
      </c>
      <c r="OA405" s="1">
        <v>5</v>
      </c>
      <c r="OB405" s="1">
        <v>5</v>
      </c>
      <c r="OC405" s="1">
        <v>5</v>
      </c>
      <c r="OD405" s="1">
        <v>5</v>
      </c>
      <c r="SB405" s="1" t="s">
        <v>443</v>
      </c>
      <c r="SC405" s="1" t="s">
        <v>443</v>
      </c>
      <c r="SF405" s="1" t="s">
        <v>579</v>
      </c>
      <c r="SG405" s="1" t="s">
        <v>444</v>
      </c>
      <c r="SH405" s="1" t="s">
        <v>438</v>
      </c>
      <c r="SI405" s="1" t="s">
        <v>438</v>
      </c>
      <c r="SK405" s="1" t="s">
        <v>568</v>
      </c>
      <c r="SL405" s="1" t="s">
        <v>760</v>
      </c>
    </row>
    <row r="406" spans="1:508" ht="64" x14ac:dyDescent="0.2">
      <c r="A406" s="1" t="s">
        <v>4379</v>
      </c>
      <c r="B406" s="1">
        <v>10</v>
      </c>
      <c r="C406" s="1">
        <v>5</v>
      </c>
      <c r="D406" s="3">
        <v>46034.412164351852</v>
      </c>
      <c r="E406" s="1">
        <v>5119803</v>
      </c>
      <c r="F406" s="1" t="s">
        <v>428</v>
      </c>
      <c r="H406" s="1" t="s">
        <v>4380</v>
      </c>
      <c r="J406" s="1" t="s">
        <v>4381</v>
      </c>
      <c r="N406" s="1" t="s">
        <v>3117</v>
      </c>
      <c r="O406" s="1" t="s">
        <v>432</v>
      </c>
      <c r="R406" s="1" t="s">
        <v>4381</v>
      </c>
      <c r="S406" s="1" t="s">
        <v>3118</v>
      </c>
      <c r="AB406" s="3">
        <v>46034.609953703701</v>
      </c>
      <c r="AC406" s="3">
        <v>46021.540601851855</v>
      </c>
      <c r="AE406" s="1" t="s">
        <v>4382</v>
      </c>
      <c r="BB406" s="1" t="s">
        <v>4383</v>
      </c>
      <c r="CO406" s="1" t="s">
        <v>435</v>
      </c>
      <c r="CQ406" s="1" t="s">
        <v>432</v>
      </c>
      <c r="CR406" s="1" t="s">
        <v>549</v>
      </c>
      <c r="CS406" s="1" t="s">
        <v>549</v>
      </c>
      <c r="CT406" s="3">
        <v>46034.410532407404</v>
      </c>
      <c r="CU406" s="1" t="s">
        <v>436</v>
      </c>
      <c r="CV406" s="1" t="s">
        <v>512</v>
      </c>
      <c r="CY406" s="1" t="s">
        <v>438</v>
      </c>
      <c r="DP406" s="1" t="s">
        <v>4384</v>
      </c>
      <c r="DU406" s="1" t="s">
        <v>4385</v>
      </c>
      <c r="GZ406" s="1" t="s">
        <v>4384</v>
      </c>
      <c r="HA406" s="1" t="s">
        <v>4385</v>
      </c>
      <c r="NM406" s="1" t="s">
        <v>441</v>
      </c>
      <c r="NN406" s="1">
        <v>4</v>
      </c>
      <c r="NS406" s="1">
        <v>5</v>
      </c>
      <c r="NT406" s="1">
        <v>5</v>
      </c>
      <c r="OA406" s="1">
        <v>5</v>
      </c>
      <c r="OB406" s="1">
        <v>5</v>
      </c>
      <c r="OC406" s="1">
        <v>5</v>
      </c>
      <c r="OD406" s="1">
        <v>5</v>
      </c>
      <c r="SB406" s="1" t="s">
        <v>4386</v>
      </c>
      <c r="SC406" s="1" t="s">
        <v>4387</v>
      </c>
      <c r="SF406" s="1" t="s">
        <v>4388</v>
      </c>
      <c r="SG406" s="1" t="s">
        <v>4389</v>
      </c>
      <c r="SH406" s="1" t="s">
        <v>438</v>
      </c>
      <c r="SI406" s="1" t="s">
        <v>432</v>
      </c>
      <c r="SK406" s="1" t="s">
        <v>3112</v>
      </c>
      <c r="SL406" s="1" t="s">
        <v>1546</v>
      </c>
      <c r="SM406" s="1" t="s">
        <v>2947</v>
      </c>
    </row>
    <row r="407" spans="1:508" ht="48" x14ac:dyDescent="0.2">
      <c r="A407" s="1" t="s">
        <v>4390</v>
      </c>
      <c r="B407" s="1">
        <v>10</v>
      </c>
      <c r="C407" s="1">
        <v>5</v>
      </c>
      <c r="D407" s="3">
        <v>46033.739432870374</v>
      </c>
      <c r="E407" s="1">
        <v>5118429</v>
      </c>
      <c r="F407" s="1" t="s">
        <v>428</v>
      </c>
      <c r="H407" s="1" t="s">
        <v>4391</v>
      </c>
      <c r="J407" s="1" t="s">
        <v>4392</v>
      </c>
      <c r="N407" s="1" t="s">
        <v>2987</v>
      </c>
      <c r="O407" s="1" t="s">
        <v>432</v>
      </c>
      <c r="R407" s="1" t="s">
        <v>4392</v>
      </c>
      <c r="S407" s="1" t="s">
        <v>2988</v>
      </c>
      <c r="AB407" s="3">
        <v>46034.382569444446</v>
      </c>
      <c r="AC407" s="3">
        <v>46022.53806712963</v>
      </c>
      <c r="AE407" s="1" t="s">
        <v>4393</v>
      </c>
      <c r="BB407" s="1" t="s">
        <v>4394</v>
      </c>
      <c r="CO407" s="1" t="s">
        <v>435</v>
      </c>
      <c r="CQ407" s="1" t="s">
        <v>432</v>
      </c>
      <c r="CR407" s="1" t="s">
        <v>4395</v>
      </c>
      <c r="CS407" s="1" t="s">
        <v>534</v>
      </c>
      <c r="CT407" s="3">
        <v>46033.739085648151</v>
      </c>
      <c r="CU407" s="1" t="s">
        <v>436</v>
      </c>
      <c r="CV407" s="1" t="s">
        <v>512</v>
      </c>
      <c r="CY407" s="1" t="s">
        <v>438</v>
      </c>
      <c r="DP407" s="1" t="s">
        <v>4396</v>
      </c>
      <c r="DU407" s="1" t="s">
        <v>4397</v>
      </c>
      <c r="GZ407" s="1" t="s">
        <v>4396</v>
      </c>
      <c r="HA407" s="1" t="s">
        <v>4397</v>
      </c>
      <c r="NM407" s="1" t="s">
        <v>441</v>
      </c>
      <c r="NN407" s="1">
        <v>5</v>
      </c>
      <c r="NS407" s="1">
        <v>5</v>
      </c>
      <c r="NT407" s="1">
        <v>5</v>
      </c>
      <c r="OA407" s="1">
        <v>5</v>
      </c>
      <c r="OB407" s="1">
        <v>5</v>
      </c>
      <c r="OC407" s="1">
        <v>5</v>
      </c>
      <c r="OD407" s="1">
        <v>5</v>
      </c>
      <c r="SB407" s="1" t="s">
        <v>4398</v>
      </c>
      <c r="SC407" s="1" t="s">
        <v>443</v>
      </c>
      <c r="SF407" s="1" t="s">
        <v>4399</v>
      </c>
      <c r="SG407" s="1" t="s">
        <v>444</v>
      </c>
      <c r="SH407" s="1" t="s">
        <v>438</v>
      </c>
      <c r="SI407" s="1" t="s">
        <v>438</v>
      </c>
      <c r="SK407" s="1" t="s">
        <v>445</v>
      </c>
    </row>
    <row r="408" spans="1:508" ht="32" x14ac:dyDescent="0.2">
      <c r="A408" s="1" t="s">
        <v>4400</v>
      </c>
      <c r="B408" s="1">
        <v>10</v>
      </c>
      <c r="C408" s="1">
        <v>5</v>
      </c>
      <c r="D408" s="3">
        <v>46033.559699074074</v>
      </c>
      <c r="E408" s="1">
        <v>5117959</v>
      </c>
      <c r="F408" s="1" t="s">
        <v>428</v>
      </c>
      <c r="H408" s="1" t="s">
        <v>4401</v>
      </c>
      <c r="J408" s="1" t="s">
        <v>4402</v>
      </c>
      <c r="N408" s="1" t="s">
        <v>724</v>
      </c>
      <c r="O408" s="1" t="s">
        <v>432</v>
      </c>
      <c r="R408" s="1" t="s">
        <v>4402</v>
      </c>
      <c r="S408" s="1" t="s">
        <v>725</v>
      </c>
      <c r="AB408" s="3">
        <v>46034.36209490741</v>
      </c>
      <c r="AC408" s="3">
        <v>46022.538622685184</v>
      </c>
      <c r="AE408" s="1" t="s">
        <v>4403</v>
      </c>
      <c r="BB408" s="1" t="s">
        <v>4404</v>
      </c>
      <c r="CO408" s="1" t="s">
        <v>435</v>
      </c>
      <c r="CQ408" s="1" t="s">
        <v>432</v>
      </c>
      <c r="CR408" s="1" t="s">
        <v>852</v>
      </c>
      <c r="CS408" s="1" t="s">
        <v>852</v>
      </c>
      <c r="CT408" s="3">
        <v>46033.559699074074</v>
      </c>
      <c r="CU408" s="1" t="s">
        <v>436</v>
      </c>
      <c r="CV408" s="1" t="s">
        <v>512</v>
      </c>
      <c r="CY408" s="1" t="s">
        <v>438</v>
      </c>
      <c r="DP408" s="1" t="s">
        <v>4405</v>
      </c>
      <c r="GZ408" s="1" t="s">
        <v>4405</v>
      </c>
      <c r="NM408" s="1" t="s">
        <v>441</v>
      </c>
      <c r="NN408" s="1">
        <v>4</v>
      </c>
      <c r="NS408" s="1">
        <v>5</v>
      </c>
      <c r="NT408" s="1">
        <v>5</v>
      </c>
      <c r="OA408" s="1">
        <v>5</v>
      </c>
      <c r="OB408" s="1">
        <v>5</v>
      </c>
      <c r="OC408" s="1">
        <v>5</v>
      </c>
      <c r="OD408" s="1">
        <v>5</v>
      </c>
      <c r="SC408" s="1" t="s">
        <v>2040</v>
      </c>
      <c r="SG408" s="1" t="s">
        <v>2041</v>
      </c>
      <c r="SH408" s="1" t="s">
        <v>438</v>
      </c>
      <c r="SI408" s="1" t="s">
        <v>432</v>
      </c>
      <c r="SK408" s="1" t="s">
        <v>486</v>
      </c>
    </row>
    <row r="409" spans="1:508" ht="32" x14ac:dyDescent="0.2">
      <c r="A409" s="1" t="s">
        <v>4406</v>
      </c>
      <c r="B409" s="1">
        <v>10</v>
      </c>
      <c r="C409" s="1">
        <v>5</v>
      </c>
      <c r="D409" s="3">
        <v>46033.4059375</v>
      </c>
      <c r="E409" s="1">
        <v>5117383</v>
      </c>
      <c r="F409" s="1" t="s">
        <v>428</v>
      </c>
      <c r="H409" s="1" t="s">
        <v>4407</v>
      </c>
      <c r="J409" s="1" t="s">
        <v>4408</v>
      </c>
      <c r="N409" s="1" t="s">
        <v>2941</v>
      </c>
      <c r="O409" s="1" t="s">
        <v>432</v>
      </c>
      <c r="R409" s="1" t="s">
        <v>4408</v>
      </c>
      <c r="S409" s="1" t="s">
        <v>2942</v>
      </c>
      <c r="AB409" s="3">
        <v>46034.528773148151</v>
      </c>
      <c r="AC409" s="3">
        <v>46031.595034722224</v>
      </c>
      <c r="AE409" s="1" t="s">
        <v>4409</v>
      </c>
      <c r="BB409" s="1" t="s">
        <v>4410</v>
      </c>
      <c r="CO409" s="1" t="s">
        <v>435</v>
      </c>
      <c r="CQ409" s="1" t="s">
        <v>432</v>
      </c>
      <c r="CR409" s="1" t="s">
        <v>691</v>
      </c>
      <c r="CS409" s="1" t="s">
        <v>691</v>
      </c>
      <c r="CT409" s="3">
        <v>46033.405671296299</v>
      </c>
      <c r="CU409" s="1" t="s">
        <v>436</v>
      </c>
      <c r="CV409" s="1" t="s">
        <v>512</v>
      </c>
      <c r="CY409" s="1" t="s">
        <v>438</v>
      </c>
      <c r="DP409" s="1" t="s">
        <v>4411</v>
      </c>
      <c r="GZ409" s="1" t="s">
        <v>4411</v>
      </c>
      <c r="NM409" s="1" t="s">
        <v>441</v>
      </c>
      <c r="NN409" s="1">
        <v>5</v>
      </c>
      <c r="NS409" s="1">
        <v>5</v>
      </c>
      <c r="NT409" s="1">
        <v>5</v>
      </c>
      <c r="OA409" s="1">
        <v>5</v>
      </c>
      <c r="OB409" s="1">
        <v>5</v>
      </c>
      <c r="OC409" s="1">
        <v>5</v>
      </c>
      <c r="OD409" s="1">
        <v>5</v>
      </c>
      <c r="SC409" s="1" t="s">
        <v>4412</v>
      </c>
      <c r="SG409" s="1" t="s">
        <v>4413</v>
      </c>
      <c r="SH409" s="1" t="s">
        <v>438</v>
      </c>
      <c r="SI409" s="1" t="s">
        <v>438</v>
      </c>
      <c r="SK409" s="1" t="s">
        <v>1047</v>
      </c>
    </row>
    <row r="410" spans="1:508" ht="48" x14ac:dyDescent="0.2">
      <c r="A410" s="1" t="s">
        <v>4414</v>
      </c>
      <c r="B410" s="1">
        <v>10</v>
      </c>
      <c r="C410" s="1">
        <v>4</v>
      </c>
      <c r="D410" s="3">
        <v>46032.728101851855</v>
      </c>
      <c r="E410" s="1">
        <v>5116959</v>
      </c>
      <c r="F410" s="1" t="s">
        <v>428</v>
      </c>
      <c r="H410" s="1" t="s">
        <v>4415</v>
      </c>
      <c r="J410" s="1" t="s">
        <v>4416</v>
      </c>
      <c r="N410" s="1" t="s">
        <v>2481</v>
      </c>
      <c r="O410" s="1" t="s">
        <v>432</v>
      </c>
      <c r="R410" s="1" t="s">
        <v>4416</v>
      </c>
      <c r="S410" s="1" t="s">
        <v>2482</v>
      </c>
      <c r="AB410" s="3">
        <v>46034.504780092589</v>
      </c>
      <c r="AC410" s="3">
        <v>46031.594942129632</v>
      </c>
      <c r="AE410" s="1" t="s">
        <v>4417</v>
      </c>
      <c r="BB410" s="1" t="s">
        <v>4418</v>
      </c>
      <c r="CO410" s="1" t="s">
        <v>435</v>
      </c>
      <c r="CQ410" s="1" t="s">
        <v>432</v>
      </c>
      <c r="CR410" s="1" t="s">
        <v>691</v>
      </c>
      <c r="CS410" s="1" t="s">
        <v>691</v>
      </c>
      <c r="CT410" s="3">
        <v>46032.726226851853</v>
      </c>
      <c r="CU410" s="1" t="s">
        <v>436</v>
      </c>
      <c r="CV410" s="1" t="s">
        <v>512</v>
      </c>
      <c r="CY410" s="1" t="s">
        <v>438</v>
      </c>
      <c r="DP410" s="1" t="s">
        <v>4419</v>
      </c>
      <c r="DU410" s="1" t="s">
        <v>4420</v>
      </c>
      <c r="GZ410" s="1" t="s">
        <v>4419</v>
      </c>
      <c r="HA410" s="1" t="s">
        <v>4420</v>
      </c>
      <c r="NM410" s="1" t="s">
        <v>441</v>
      </c>
      <c r="NN410" s="1">
        <v>3</v>
      </c>
      <c r="NS410" s="1">
        <v>3</v>
      </c>
      <c r="NT410" s="1">
        <v>5</v>
      </c>
      <c r="OA410" s="1">
        <v>5</v>
      </c>
      <c r="OB410" s="1">
        <v>5</v>
      </c>
      <c r="OC410" s="1">
        <v>5</v>
      </c>
      <c r="OD410" s="1">
        <v>3</v>
      </c>
      <c r="SB410" s="1" t="s">
        <v>4421</v>
      </c>
      <c r="SC410" s="1" t="s">
        <v>646</v>
      </c>
      <c r="SF410" s="1" t="s">
        <v>4422</v>
      </c>
      <c r="SG410" s="1" t="s">
        <v>647</v>
      </c>
      <c r="SH410" s="1" t="s">
        <v>438</v>
      </c>
      <c r="SI410" s="1" t="s">
        <v>432</v>
      </c>
      <c r="SK410" s="1" t="s">
        <v>1546</v>
      </c>
      <c r="SL410" s="1" t="s">
        <v>1126</v>
      </c>
    </row>
    <row r="411" spans="1:508" ht="112" x14ac:dyDescent="0.2">
      <c r="A411" s="1" t="s">
        <v>4423</v>
      </c>
      <c r="B411" s="1">
        <v>10</v>
      </c>
      <c r="C411" s="1">
        <v>5</v>
      </c>
      <c r="D411" s="3">
        <v>46032.509525462963</v>
      </c>
      <c r="E411" s="1">
        <v>5116841</v>
      </c>
      <c r="F411" s="1" t="s">
        <v>428</v>
      </c>
      <c r="H411" s="1" t="s">
        <v>4424</v>
      </c>
      <c r="J411" s="1" t="s">
        <v>4425</v>
      </c>
      <c r="N411" s="1" t="s">
        <v>724</v>
      </c>
      <c r="O411" s="1" t="s">
        <v>432</v>
      </c>
      <c r="R411" s="1" t="s">
        <v>4425</v>
      </c>
      <c r="S411" s="1" t="s">
        <v>725</v>
      </c>
      <c r="AB411" s="3">
        <v>46034.501689814817</v>
      </c>
      <c r="AC411" s="3">
        <v>46030.763564814813</v>
      </c>
      <c r="AE411" s="1" t="s">
        <v>4426</v>
      </c>
      <c r="BB411" s="1" t="s">
        <v>4427</v>
      </c>
      <c r="CO411" s="1" t="s">
        <v>435</v>
      </c>
      <c r="CQ411" s="1" t="s">
        <v>432</v>
      </c>
      <c r="CR411" s="1" t="s">
        <v>691</v>
      </c>
      <c r="CS411" s="1" t="s">
        <v>691</v>
      </c>
      <c r="CT411" s="3">
        <v>46032.508472222224</v>
      </c>
      <c r="CU411" s="1" t="s">
        <v>436</v>
      </c>
      <c r="CV411" s="1" t="s">
        <v>512</v>
      </c>
      <c r="CY411" s="1" t="s">
        <v>438</v>
      </c>
      <c r="DP411" s="1" t="s">
        <v>4428</v>
      </c>
      <c r="DU411" s="1" t="s">
        <v>4429</v>
      </c>
      <c r="GZ411" s="1" t="s">
        <v>4428</v>
      </c>
      <c r="HA411" s="1" t="s">
        <v>4429</v>
      </c>
      <c r="NM411" s="1" t="s">
        <v>441</v>
      </c>
      <c r="NN411" s="1">
        <v>5</v>
      </c>
      <c r="NS411" s="1">
        <v>5</v>
      </c>
      <c r="NT411" s="1">
        <v>5</v>
      </c>
      <c r="OA411" s="1">
        <v>5</v>
      </c>
      <c r="OB411" s="1">
        <v>5</v>
      </c>
      <c r="OC411" s="1">
        <v>5</v>
      </c>
      <c r="OD411" s="1">
        <v>5</v>
      </c>
      <c r="SB411" s="1" t="s">
        <v>4430</v>
      </c>
      <c r="SC411" s="1" t="s">
        <v>1114</v>
      </c>
      <c r="SF411" s="1" t="s">
        <v>4431</v>
      </c>
      <c r="SG411" s="1" t="s">
        <v>4370</v>
      </c>
      <c r="SH411" s="1" t="s">
        <v>438</v>
      </c>
      <c r="SI411" s="1" t="s">
        <v>432</v>
      </c>
      <c r="SK411" s="1" t="s">
        <v>760</v>
      </c>
      <c r="SL411" s="1" t="s">
        <v>619</v>
      </c>
      <c r="SM411" s="1" t="s">
        <v>4432</v>
      </c>
    </row>
    <row r="412" spans="1:508" ht="48" x14ac:dyDescent="0.2">
      <c r="A412" s="1" t="s">
        <v>4433</v>
      </c>
      <c r="B412" s="1">
        <v>10</v>
      </c>
      <c r="C412" s="1">
        <v>5</v>
      </c>
      <c r="D412" s="3">
        <v>46031.874293981484</v>
      </c>
      <c r="E412" s="1">
        <v>5116537</v>
      </c>
      <c r="F412" s="1" t="s">
        <v>428</v>
      </c>
      <c r="H412" s="1" t="s">
        <v>4434</v>
      </c>
      <c r="J412" s="1" t="s">
        <v>4435</v>
      </c>
      <c r="N412" s="1" t="s">
        <v>724</v>
      </c>
      <c r="O412" s="1" t="s">
        <v>438</v>
      </c>
      <c r="R412" s="1" t="s">
        <v>4435</v>
      </c>
      <c r="S412" s="1" t="s">
        <v>725</v>
      </c>
      <c r="AB412" s="3">
        <v>46034.441979166666</v>
      </c>
      <c r="AC412" s="3">
        <v>46028.638113425928</v>
      </c>
      <c r="AE412" s="1" t="s">
        <v>4436</v>
      </c>
      <c r="BB412" s="1" t="s">
        <v>4437</v>
      </c>
      <c r="CO412" s="1" t="s">
        <v>435</v>
      </c>
      <c r="CQ412" s="1" t="s">
        <v>432</v>
      </c>
      <c r="CR412" s="1" t="s">
        <v>691</v>
      </c>
      <c r="CS412" s="1" t="s">
        <v>691</v>
      </c>
      <c r="CT412" s="3">
        <v>46031.874062499999</v>
      </c>
      <c r="CU412" s="1" t="s">
        <v>436</v>
      </c>
      <c r="CV412" s="1" t="s">
        <v>512</v>
      </c>
      <c r="CY412" s="1" t="s">
        <v>438</v>
      </c>
      <c r="DP412" s="1" t="s">
        <v>4438</v>
      </c>
      <c r="DU412" s="1" t="s">
        <v>4439</v>
      </c>
      <c r="GZ412" s="1" t="s">
        <v>4438</v>
      </c>
      <c r="HA412" s="1" t="s">
        <v>4439</v>
      </c>
      <c r="NM412" s="1" t="s">
        <v>441</v>
      </c>
      <c r="NN412" s="1">
        <v>5</v>
      </c>
      <c r="NS412" s="1">
        <v>5</v>
      </c>
      <c r="NT412" s="1">
        <v>5</v>
      </c>
      <c r="OA412" s="1">
        <v>5</v>
      </c>
      <c r="OB412" s="1">
        <v>5</v>
      </c>
      <c r="OC412" s="1">
        <v>5</v>
      </c>
      <c r="OD412" s="1">
        <v>5</v>
      </c>
      <c r="SB412" s="1" t="s">
        <v>4440</v>
      </c>
      <c r="SC412" s="1" t="s">
        <v>4441</v>
      </c>
      <c r="SF412" s="1" t="s">
        <v>4442</v>
      </c>
      <c r="SG412" s="1" t="s">
        <v>4443</v>
      </c>
      <c r="SH412" s="1" t="s">
        <v>438</v>
      </c>
      <c r="SI412" s="1" t="s">
        <v>438</v>
      </c>
      <c r="SK412" s="1" t="s">
        <v>1561</v>
      </c>
      <c r="SL412" s="1" t="s">
        <v>1807</v>
      </c>
    </row>
    <row r="413" spans="1:508" ht="48" x14ac:dyDescent="0.2">
      <c r="A413" s="1" t="s">
        <v>4444</v>
      </c>
      <c r="B413" s="1">
        <v>10</v>
      </c>
      <c r="C413" s="1">
        <v>5</v>
      </c>
      <c r="D413" s="3">
        <v>46031.499074074076</v>
      </c>
      <c r="E413" s="1">
        <v>5115755</v>
      </c>
      <c r="F413" s="1" t="s">
        <v>428</v>
      </c>
      <c r="H413" s="1" t="s">
        <v>4445</v>
      </c>
      <c r="J413" s="1" t="s">
        <v>4446</v>
      </c>
      <c r="N413" s="1" t="s">
        <v>724</v>
      </c>
      <c r="O413" s="1" t="s">
        <v>432</v>
      </c>
      <c r="R413" s="1" t="s">
        <v>4446</v>
      </c>
      <c r="S413" s="1" t="s">
        <v>725</v>
      </c>
      <c r="AB413" s="3">
        <v>46034.366539351853</v>
      </c>
      <c r="AC413" s="3">
        <v>46031.595046296294</v>
      </c>
      <c r="AE413" s="1" t="s">
        <v>4447</v>
      </c>
      <c r="BB413" s="1" t="s">
        <v>4448</v>
      </c>
      <c r="CO413" s="1" t="s">
        <v>435</v>
      </c>
      <c r="CQ413" s="1" t="s">
        <v>432</v>
      </c>
      <c r="CR413" s="1" t="s">
        <v>4449</v>
      </c>
      <c r="CS413" s="1" t="s">
        <v>549</v>
      </c>
      <c r="CT413" s="3">
        <v>46031.508263888885</v>
      </c>
      <c r="CU413" s="1" t="s">
        <v>436</v>
      </c>
      <c r="CV413" s="1" t="s">
        <v>512</v>
      </c>
      <c r="CY413" s="1" t="s">
        <v>438</v>
      </c>
      <c r="DP413" s="1" t="s">
        <v>4450</v>
      </c>
      <c r="DU413" s="1" t="s">
        <v>4451</v>
      </c>
      <c r="GZ413" s="1" t="s">
        <v>4450</v>
      </c>
      <c r="HA413" s="1" t="s">
        <v>4451</v>
      </c>
      <c r="NM413" s="1" t="s">
        <v>441</v>
      </c>
      <c r="NN413" s="1">
        <v>5</v>
      </c>
      <c r="NS413" s="1">
        <v>5</v>
      </c>
      <c r="NT413" s="1">
        <v>5</v>
      </c>
      <c r="OA413" s="1">
        <v>5</v>
      </c>
      <c r="OB413" s="1">
        <v>4</v>
      </c>
      <c r="OC413" s="1">
        <v>5</v>
      </c>
      <c r="OD413" s="1">
        <v>5</v>
      </c>
      <c r="SB413" s="1" t="s">
        <v>1804</v>
      </c>
      <c r="SC413" s="1" t="s">
        <v>443</v>
      </c>
      <c r="SF413" s="1" t="s">
        <v>2058</v>
      </c>
      <c r="SG413" s="1" t="s">
        <v>444</v>
      </c>
      <c r="SH413" s="1" t="s">
        <v>438</v>
      </c>
      <c r="SI413" s="1" t="s">
        <v>438</v>
      </c>
      <c r="SK413" s="1" t="s">
        <v>445</v>
      </c>
      <c r="SL413" s="1" t="s">
        <v>1126</v>
      </c>
    </row>
    <row r="414" spans="1:508" ht="48" x14ac:dyDescent="0.2">
      <c r="A414" s="1" t="s">
        <v>4452</v>
      </c>
      <c r="B414" s="1">
        <v>9</v>
      </c>
      <c r="C414" s="1">
        <v>4</v>
      </c>
      <c r="D414" s="3">
        <v>46031.399606481478</v>
      </c>
      <c r="E414" s="1">
        <v>5115321</v>
      </c>
      <c r="F414" s="1" t="s">
        <v>428</v>
      </c>
      <c r="H414" s="1" t="s">
        <v>4453</v>
      </c>
      <c r="J414" s="1" t="s">
        <v>4454</v>
      </c>
      <c r="N414" s="1" t="s">
        <v>2481</v>
      </c>
      <c r="O414" s="1" t="s">
        <v>432</v>
      </c>
      <c r="R414" s="1" t="s">
        <v>4454</v>
      </c>
      <c r="S414" s="1" t="s">
        <v>2482</v>
      </c>
      <c r="AB414" s="3">
        <v>46031.472407407404</v>
      </c>
      <c r="AC414" s="3">
        <v>45884.528981481482</v>
      </c>
      <c r="AE414" s="1" t="s">
        <v>4455</v>
      </c>
      <c r="BB414" s="1" t="s">
        <v>4456</v>
      </c>
      <c r="CO414" s="1" t="s">
        <v>435</v>
      </c>
      <c r="CQ414" s="1" t="s">
        <v>432</v>
      </c>
      <c r="CR414" s="1" t="s">
        <v>561</v>
      </c>
      <c r="CS414" s="1" t="s">
        <v>561</v>
      </c>
      <c r="CT414" s="3">
        <v>46031.406875000001</v>
      </c>
      <c r="CU414" s="1" t="s">
        <v>436</v>
      </c>
      <c r="CV414" s="1" t="s">
        <v>512</v>
      </c>
      <c r="CY414" s="1" t="s">
        <v>438</v>
      </c>
      <c r="DP414" s="1" t="s">
        <v>4457</v>
      </c>
      <c r="DU414" s="1" t="s">
        <v>4458</v>
      </c>
      <c r="GZ414" s="1" t="s">
        <v>4457</v>
      </c>
      <c r="HA414" s="1" t="s">
        <v>4458</v>
      </c>
      <c r="NM414" s="1" t="s">
        <v>441</v>
      </c>
      <c r="NN414" s="1">
        <v>4</v>
      </c>
      <c r="NS414" s="1">
        <v>4</v>
      </c>
      <c r="NT414" s="1">
        <v>4</v>
      </c>
      <c r="OA414" s="1" t="s">
        <v>442</v>
      </c>
      <c r="OB414" s="1" t="s">
        <v>442</v>
      </c>
      <c r="OC414" s="1">
        <v>4</v>
      </c>
      <c r="OD414" s="1">
        <v>5</v>
      </c>
      <c r="SB414" s="1" t="s">
        <v>745</v>
      </c>
      <c r="SC414" s="1" t="s">
        <v>745</v>
      </c>
      <c r="SF414" s="1" t="s">
        <v>747</v>
      </c>
      <c r="SG414" s="1" t="s">
        <v>747</v>
      </c>
      <c r="SH414" s="1" t="s">
        <v>432</v>
      </c>
      <c r="SI414" s="1" t="s">
        <v>432</v>
      </c>
      <c r="SK414" s="1" t="s">
        <v>1546</v>
      </c>
    </row>
    <row r="415" spans="1:508" ht="48" x14ac:dyDescent="0.2">
      <c r="A415" s="1" t="s">
        <v>4459</v>
      </c>
      <c r="B415" s="1">
        <v>10</v>
      </c>
      <c r="C415" s="1">
        <v>5</v>
      </c>
      <c r="D415" s="3">
        <v>46031.39230324074</v>
      </c>
      <c r="E415" s="1">
        <v>5115239</v>
      </c>
      <c r="F415" s="1" t="s">
        <v>428</v>
      </c>
      <c r="H415" s="1" t="s">
        <v>4460</v>
      </c>
      <c r="J415" s="1" t="s">
        <v>4461</v>
      </c>
      <c r="N415" s="1" t="s">
        <v>903</v>
      </c>
      <c r="O415" s="1" t="s">
        <v>432</v>
      </c>
      <c r="R415" s="1" t="s">
        <v>4461</v>
      </c>
      <c r="S415" s="1" t="s">
        <v>904</v>
      </c>
      <c r="AB415" s="3">
        <v>46031.41605324074</v>
      </c>
      <c r="AC415" s="3">
        <v>46030.850069444445</v>
      </c>
      <c r="AE415" s="1" t="s">
        <v>4462</v>
      </c>
      <c r="BB415" s="1" t="s">
        <v>4463</v>
      </c>
      <c r="CO415" s="1" t="s">
        <v>435</v>
      </c>
      <c r="CQ415" s="1" t="s">
        <v>432</v>
      </c>
      <c r="CR415" s="1" t="s">
        <v>561</v>
      </c>
      <c r="CS415" s="1" t="s">
        <v>561</v>
      </c>
      <c r="CT415" s="3">
        <v>46031.395960648151</v>
      </c>
      <c r="CU415" s="1" t="s">
        <v>436</v>
      </c>
      <c r="CV415" s="1" t="s">
        <v>512</v>
      </c>
      <c r="CY415" s="1" t="s">
        <v>438</v>
      </c>
      <c r="DP415" s="1" t="s">
        <v>4464</v>
      </c>
      <c r="DU415" s="1" t="s">
        <v>4465</v>
      </c>
      <c r="GZ415" s="1" t="s">
        <v>4464</v>
      </c>
      <c r="HA415" s="1" t="s">
        <v>4465</v>
      </c>
      <c r="NM415" s="1" t="s">
        <v>441</v>
      </c>
      <c r="NN415" s="1">
        <v>4</v>
      </c>
      <c r="NS415" s="1" t="s">
        <v>442</v>
      </c>
      <c r="NT415" s="1">
        <v>5</v>
      </c>
      <c r="OA415" s="1">
        <v>5</v>
      </c>
      <c r="OB415" s="1">
        <v>4</v>
      </c>
      <c r="OC415" s="1">
        <v>5</v>
      </c>
      <c r="OD415" s="1">
        <v>4</v>
      </c>
      <c r="SB415" s="1" t="s">
        <v>443</v>
      </c>
      <c r="SC415" s="1" t="s">
        <v>646</v>
      </c>
      <c r="SF415" s="1" t="s">
        <v>444</v>
      </c>
      <c r="SG415" s="1" t="s">
        <v>647</v>
      </c>
      <c r="SH415" s="1" t="s">
        <v>438</v>
      </c>
      <c r="SI415" s="1" t="s">
        <v>432</v>
      </c>
      <c r="SK415" s="1" t="s">
        <v>445</v>
      </c>
      <c r="SL415" s="1" t="s">
        <v>620</v>
      </c>
    </row>
    <row r="416" spans="1:508" ht="48" x14ac:dyDescent="0.2">
      <c r="A416" s="1" t="s">
        <v>4466</v>
      </c>
      <c r="B416" s="1">
        <v>10</v>
      </c>
      <c r="C416" s="1">
        <v>5</v>
      </c>
      <c r="D416" s="3">
        <v>46030.849872685183</v>
      </c>
      <c r="E416" s="1">
        <v>5114605</v>
      </c>
      <c r="F416" s="1" t="s">
        <v>428</v>
      </c>
      <c r="H416" s="1" t="s">
        <v>4467</v>
      </c>
      <c r="J416" s="1" t="s">
        <v>4468</v>
      </c>
      <c r="N416" s="1" t="s">
        <v>724</v>
      </c>
      <c r="O416" s="1" t="s">
        <v>432</v>
      </c>
      <c r="R416" s="1" t="s">
        <v>4468</v>
      </c>
      <c r="S416" s="1" t="s">
        <v>725</v>
      </c>
      <c r="AB416" s="3">
        <v>46031.373888888891</v>
      </c>
      <c r="AC416" s="3">
        <v>46029.53361111111</v>
      </c>
      <c r="AE416" s="1" t="s">
        <v>4469</v>
      </c>
      <c r="BB416" s="1" t="s">
        <v>4470</v>
      </c>
      <c r="CO416" s="1" t="s">
        <v>435</v>
      </c>
      <c r="CQ416" s="1" t="s">
        <v>432</v>
      </c>
      <c r="CR416" s="1" t="s">
        <v>691</v>
      </c>
      <c r="CS416" s="1" t="s">
        <v>691</v>
      </c>
      <c r="CT416" s="3">
        <v>46030.852395833332</v>
      </c>
      <c r="CU416" s="1" t="s">
        <v>436</v>
      </c>
      <c r="CV416" s="1" t="s">
        <v>512</v>
      </c>
      <c r="CY416" s="1" t="s">
        <v>438</v>
      </c>
      <c r="DP416" s="1" t="s">
        <v>4471</v>
      </c>
      <c r="DU416" s="1" t="s">
        <v>482</v>
      </c>
      <c r="GZ416" s="1" t="s">
        <v>4471</v>
      </c>
      <c r="HA416" s="1" t="s">
        <v>482</v>
      </c>
      <c r="NM416" s="1" t="s">
        <v>441</v>
      </c>
      <c r="NN416" s="1">
        <v>5</v>
      </c>
      <c r="NS416" s="1">
        <v>5</v>
      </c>
      <c r="NT416" s="1">
        <v>5</v>
      </c>
      <c r="OA416" s="1">
        <v>5</v>
      </c>
      <c r="OB416" s="1">
        <v>5</v>
      </c>
      <c r="OC416" s="1">
        <v>5</v>
      </c>
      <c r="OD416" s="1">
        <v>5</v>
      </c>
      <c r="SB416" s="1" t="s">
        <v>4472</v>
      </c>
      <c r="SC416" s="1" t="s">
        <v>4473</v>
      </c>
      <c r="SF416" s="1" t="s">
        <v>4474</v>
      </c>
      <c r="SG416" s="1" t="s">
        <v>4475</v>
      </c>
      <c r="SH416" s="1" t="s">
        <v>438</v>
      </c>
      <c r="SI416" s="1" t="s">
        <v>432</v>
      </c>
      <c r="SK416" s="1" t="s">
        <v>1126</v>
      </c>
    </row>
    <row r="417" spans="1:507" ht="48" x14ac:dyDescent="0.2">
      <c r="A417" s="1" t="s">
        <v>4476</v>
      </c>
      <c r="B417" s="1">
        <v>10</v>
      </c>
      <c r="C417" s="1">
        <v>5</v>
      </c>
      <c r="D417" s="3">
        <v>46030.734861111108</v>
      </c>
      <c r="E417" s="1">
        <v>5114175</v>
      </c>
      <c r="F417" s="1" t="s">
        <v>428</v>
      </c>
      <c r="H417" s="1" t="s">
        <v>4477</v>
      </c>
      <c r="J417" s="1" t="s">
        <v>4478</v>
      </c>
      <c r="N417" s="1" t="s">
        <v>4479</v>
      </c>
      <c r="O417" s="1" t="s">
        <v>438</v>
      </c>
      <c r="R417" s="1" t="s">
        <v>4478</v>
      </c>
      <c r="S417" s="1" t="s">
        <v>4480</v>
      </c>
      <c r="AB417" s="3">
        <v>46031.359699074077</v>
      </c>
      <c r="AC417" s="3">
        <v>46030.529166666667</v>
      </c>
      <c r="AE417" s="1" t="s">
        <v>4481</v>
      </c>
      <c r="BB417" s="1" t="s">
        <v>4482</v>
      </c>
      <c r="CO417" s="1" t="s">
        <v>435</v>
      </c>
      <c r="CQ417" s="1" t="s">
        <v>432</v>
      </c>
      <c r="CR417" s="1" t="s">
        <v>511</v>
      </c>
      <c r="CS417" s="1" t="s">
        <v>511</v>
      </c>
      <c r="CT417" s="3">
        <v>46030.740543981483</v>
      </c>
      <c r="CU417" s="1" t="s">
        <v>436</v>
      </c>
      <c r="CV417" s="1" t="s">
        <v>512</v>
      </c>
      <c r="CY417" s="1" t="s">
        <v>438</v>
      </c>
      <c r="DP417" s="1" t="s">
        <v>4483</v>
      </c>
      <c r="DU417" s="1" t="s">
        <v>4108</v>
      </c>
      <c r="GZ417" s="1" t="s">
        <v>4483</v>
      </c>
      <c r="HA417" s="1" t="s">
        <v>4108</v>
      </c>
      <c r="NM417" s="1" t="s">
        <v>441</v>
      </c>
      <c r="NN417" s="1">
        <v>3</v>
      </c>
      <c r="NS417" s="1">
        <v>4</v>
      </c>
      <c r="NT417" s="1">
        <v>5</v>
      </c>
      <c r="OA417" s="1">
        <v>4</v>
      </c>
      <c r="OB417" s="1">
        <v>4</v>
      </c>
      <c r="OC417" s="1">
        <v>4</v>
      </c>
      <c r="OD417" s="1">
        <v>3</v>
      </c>
      <c r="SB417" s="1" t="s">
        <v>4484</v>
      </c>
      <c r="SC417" s="1" t="s">
        <v>4485</v>
      </c>
      <c r="SF417" s="1" t="s">
        <v>4486</v>
      </c>
      <c r="SG417" s="1" t="s">
        <v>4487</v>
      </c>
      <c r="SH417" s="1" t="s">
        <v>438</v>
      </c>
      <c r="SI417" s="1" t="s">
        <v>432</v>
      </c>
      <c r="SK417" s="1" t="s">
        <v>760</v>
      </c>
      <c r="SL417" s="1" t="s">
        <v>3112</v>
      </c>
      <c r="SM417" s="1" t="s">
        <v>787</v>
      </c>
    </row>
    <row r="418" spans="1:507" ht="48" x14ac:dyDescent="0.2">
      <c r="A418" s="1" t="s">
        <v>4488</v>
      </c>
      <c r="B418" s="1">
        <v>10</v>
      </c>
      <c r="C418" s="1">
        <v>5</v>
      </c>
      <c r="D418" s="3">
        <v>46030.678796296299</v>
      </c>
      <c r="E418" s="1">
        <v>5113969</v>
      </c>
      <c r="F418" s="1" t="s">
        <v>428</v>
      </c>
      <c r="H418" s="1" t="s">
        <v>4489</v>
      </c>
      <c r="J418" s="1" t="s">
        <v>4490</v>
      </c>
      <c r="N418" s="1" t="s">
        <v>4209</v>
      </c>
      <c r="O418" s="1" t="s">
        <v>432</v>
      </c>
      <c r="R418" s="1" t="s">
        <v>4490</v>
      </c>
      <c r="S418" s="1" t="s">
        <v>4210</v>
      </c>
      <c r="AB418" s="3">
        <v>46030.699918981481</v>
      </c>
      <c r="AC418" s="3">
        <v>46030.763645833336</v>
      </c>
      <c r="AE418" s="1" t="s">
        <v>4491</v>
      </c>
      <c r="BB418" s="1" t="s">
        <v>4492</v>
      </c>
      <c r="CO418" s="1" t="s">
        <v>435</v>
      </c>
      <c r="CQ418" s="1" t="s">
        <v>432</v>
      </c>
      <c r="CR418" s="1" t="s">
        <v>511</v>
      </c>
      <c r="CS418" s="1" t="s">
        <v>511</v>
      </c>
      <c r="CT418" s="3">
        <v>46030.687337962961</v>
      </c>
      <c r="CU418" s="1" t="s">
        <v>436</v>
      </c>
      <c r="CV418" s="1" t="s">
        <v>512</v>
      </c>
      <c r="CY418" s="1" t="s">
        <v>438</v>
      </c>
      <c r="DP418" s="1" t="s">
        <v>4493</v>
      </c>
      <c r="DU418" s="1" t="s">
        <v>4494</v>
      </c>
      <c r="GZ418" s="1" t="s">
        <v>4493</v>
      </c>
      <c r="HA418" s="1" t="s">
        <v>4494</v>
      </c>
      <c r="NM418" s="1" t="s">
        <v>441</v>
      </c>
      <c r="NN418" s="1">
        <v>4</v>
      </c>
      <c r="NS418" s="1">
        <v>5</v>
      </c>
      <c r="NT418" s="1">
        <v>5</v>
      </c>
      <c r="OA418" s="1">
        <v>5</v>
      </c>
      <c r="OB418" s="1">
        <v>5</v>
      </c>
      <c r="OC418" s="1">
        <v>5</v>
      </c>
      <c r="OD418" s="1">
        <v>5</v>
      </c>
      <c r="SB418" s="1" t="s">
        <v>843</v>
      </c>
      <c r="SC418" s="1" t="s">
        <v>2651</v>
      </c>
      <c r="SF418" s="1" t="s">
        <v>2362</v>
      </c>
      <c r="SG418" s="1" t="s">
        <v>4495</v>
      </c>
      <c r="SH418" s="1" t="s">
        <v>438</v>
      </c>
      <c r="SI418" s="1" t="s">
        <v>432</v>
      </c>
      <c r="SK418" s="1" t="s">
        <v>1546</v>
      </c>
      <c r="SL418" s="1" t="s">
        <v>2790</v>
      </c>
      <c r="SM418" s="1" t="s">
        <v>1060</v>
      </c>
    </row>
    <row r="419" spans="1:507" ht="32" x14ac:dyDescent="0.2">
      <c r="A419" s="1" t="s">
        <v>4496</v>
      </c>
      <c r="B419" s="1">
        <v>10</v>
      </c>
      <c r="C419" s="1">
        <v>5</v>
      </c>
      <c r="D419" s="3">
        <v>46030.526226851849</v>
      </c>
      <c r="E419" s="1">
        <v>5113417</v>
      </c>
      <c r="F419" s="1" t="s">
        <v>428</v>
      </c>
      <c r="H419" s="1" t="s">
        <v>4497</v>
      </c>
      <c r="J419" s="1" t="s">
        <v>4498</v>
      </c>
      <c r="N419" s="1" t="s">
        <v>724</v>
      </c>
      <c r="O419" s="1" t="s">
        <v>432</v>
      </c>
      <c r="R419" s="1" t="s">
        <v>4498</v>
      </c>
      <c r="S419" s="1" t="s">
        <v>725</v>
      </c>
      <c r="AB419" s="3">
        <v>46030.553472222222</v>
      </c>
      <c r="AC419" s="3">
        <v>46030.637199074074</v>
      </c>
      <c r="AE419" s="1" t="s">
        <v>4499</v>
      </c>
      <c r="BB419" s="1" t="s">
        <v>4500</v>
      </c>
      <c r="CO419" s="1" t="s">
        <v>435</v>
      </c>
      <c r="CQ419" s="1" t="s">
        <v>432</v>
      </c>
      <c r="CR419" s="1" t="s">
        <v>561</v>
      </c>
      <c r="CS419" s="1" t="s">
        <v>561</v>
      </c>
      <c r="CT419" s="3">
        <v>46030.534039351849</v>
      </c>
      <c r="CU419" s="1" t="s">
        <v>436</v>
      </c>
      <c r="CV419" s="1" t="s">
        <v>512</v>
      </c>
      <c r="CY419" s="1" t="s">
        <v>438</v>
      </c>
      <c r="DP419" s="1" t="s">
        <v>4501</v>
      </c>
      <c r="DU419" s="1" t="s">
        <v>442</v>
      </c>
      <c r="GZ419" s="1" t="s">
        <v>4501</v>
      </c>
      <c r="HA419" s="1" t="s">
        <v>442</v>
      </c>
      <c r="NM419" s="1" t="s">
        <v>441</v>
      </c>
      <c r="NN419" s="1">
        <v>5</v>
      </c>
      <c r="NS419" s="1">
        <v>5</v>
      </c>
      <c r="NT419" s="1">
        <v>5</v>
      </c>
      <c r="OA419" s="1">
        <v>5</v>
      </c>
      <c r="OB419" s="1">
        <v>5</v>
      </c>
      <c r="OC419" s="1" t="s">
        <v>442</v>
      </c>
      <c r="OD419" s="1">
        <v>5</v>
      </c>
      <c r="SC419" s="1" t="s">
        <v>443</v>
      </c>
      <c r="SG419" s="1" t="s">
        <v>444</v>
      </c>
      <c r="SH419" s="1" t="s">
        <v>438</v>
      </c>
      <c r="SI419" s="1" t="s">
        <v>432</v>
      </c>
      <c r="SK419" s="1" t="s">
        <v>445</v>
      </c>
    </row>
    <row r="420" spans="1:507" ht="64" x14ac:dyDescent="0.2">
      <c r="A420" s="1" t="s">
        <v>4502</v>
      </c>
      <c r="B420" s="1">
        <v>10</v>
      </c>
      <c r="C420" s="1">
        <v>5</v>
      </c>
      <c r="D420" s="3">
        <v>46030.49759259259</v>
      </c>
      <c r="E420" s="1">
        <v>5113304</v>
      </c>
      <c r="F420" s="1" t="s">
        <v>428</v>
      </c>
      <c r="H420" s="1" t="s">
        <v>4503</v>
      </c>
      <c r="J420" s="1" t="s">
        <v>4504</v>
      </c>
      <c r="N420" s="1" t="s">
        <v>1160</v>
      </c>
      <c r="O420" s="1" t="s">
        <v>432</v>
      </c>
      <c r="R420" s="1" t="s">
        <v>4504</v>
      </c>
      <c r="S420" s="1" t="s">
        <v>1161</v>
      </c>
      <c r="AB420" s="3">
        <v>46038.485729166663</v>
      </c>
      <c r="AC420" s="3">
        <v>46030.529143518521</v>
      </c>
      <c r="AE420" s="1" t="s">
        <v>4505</v>
      </c>
      <c r="BB420" s="1" t="s">
        <v>4506</v>
      </c>
      <c r="CO420" s="1" t="s">
        <v>435</v>
      </c>
      <c r="CQ420" s="1" t="s">
        <v>432</v>
      </c>
      <c r="CR420" s="1" t="s">
        <v>4507</v>
      </c>
      <c r="CS420" s="1" t="s">
        <v>729</v>
      </c>
      <c r="CT420" s="3">
        <v>46030.501932870371</v>
      </c>
      <c r="CU420" s="1" t="s">
        <v>436</v>
      </c>
      <c r="CV420" s="1" t="s">
        <v>512</v>
      </c>
      <c r="CW420" s="3">
        <v>46038.485694444447</v>
      </c>
      <c r="CX420" s="1" t="s">
        <v>1057</v>
      </c>
      <c r="CY420" s="1" t="s">
        <v>438</v>
      </c>
      <c r="DP420" s="1" t="s">
        <v>4508</v>
      </c>
      <c r="DU420" s="1" t="s">
        <v>4509</v>
      </c>
      <c r="GZ420" s="1" t="s">
        <v>4508</v>
      </c>
      <c r="HA420" s="1" t="s">
        <v>4509</v>
      </c>
      <c r="NM420" s="1" t="s">
        <v>441</v>
      </c>
      <c r="NN420" s="1">
        <v>4</v>
      </c>
      <c r="NS420" s="1">
        <v>5</v>
      </c>
      <c r="NT420" s="1">
        <v>5</v>
      </c>
      <c r="OA420" s="1">
        <v>5</v>
      </c>
      <c r="OB420" s="1">
        <v>5</v>
      </c>
      <c r="OC420" s="1">
        <v>5</v>
      </c>
      <c r="OD420" s="1">
        <v>4</v>
      </c>
      <c r="SB420" s="1" t="s">
        <v>1936</v>
      </c>
      <c r="SC420" s="1" t="s">
        <v>443</v>
      </c>
      <c r="SF420" s="1" t="s">
        <v>4510</v>
      </c>
      <c r="SG420" s="1" t="s">
        <v>865</v>
      </c>
      <c r="SH420" s="1" t="s">
        <v>438</v>
      </c>
      <c r="SI420" s="1" t="s">
        <v>438</v>
      </c>
      <c r="SK420" s="1" t="s">
        <v>1546</v>
      </c>
    </row>
    <row r="421" spans="1:507" ht="32" x14ac:dyDescent="0.2">
      <c r="A421" s="1" t="s">
        <v>4511</v>
      </c>
      <c r="B421" s="1">
        <v>10</v>
      </c>
      <c r="C421" s="1">
        <v>5</v>
      </c>
      <c r="D421" s="3">
        <v>46030.494849537034</v>
      </c>
      <c r="E421" s="1">
        <v>5113303</v>
      </c>
      <c r="F421" s="1" t="s">
        <v>428</v>
      </c>
      <c r="H421" s="1" t="s">
        <v>4512</v>
      </c>
      <c r="J421" s="1" t="s">
        <v>4513</v>
      </c>
      <c r="N421" s="1" t="s">
        <v>2941</v>
      </c>
      <c r="O421" s="1" t="s">
        <v>438</v>
      </c>
      <c r="R421" s="1" t="s">
        <v>4513</v>
      </c>
      <c r="S421" s="1" t="s">
        <v>2942</v>
      </c>
      <c r="AB421" s="3">
        <v>46030.664722222224</v>
      </c>
      <c r="AC421" s="3">
        <v>46030.529803240737</v>
      </c>
      <c r="AE421" s="1" t="s">
        <v>4514</v>
      </c>
      <c r="BB421" s="1" t="s">
        <v>4515</v>
      </c>
      <c r="CO421" s="1" t="s">
        <v>435</v>
      </c>
      <c r="CQ421" s="1" t="s">
        <v>432</v>
      </c>
      <c r="CR421" s="1" t="s">
        <v>561</v>
      </c>
      <c r="CS421" s="1" t="s">
        <v>561</v>
      </c>
      <c r="CT421" s="3">
        <v>46030.501932870371</v>
      </c>
      <c r="CU421" s="1" t="s">
        <v>436</v>
      </c>
      <c r="CV421" s="1" t="s">
        <v>512</v>
      </c>
      <c r="CY421" s="1" t="s">
        <v>438</v>
      </c>
      <c r="DP421" s="1" t="s">
        <v>4516</v>
      </c>
      <c r="DU421" s="1" t="s">
        <v>442</v>
      </c>
      <c r="GZ421" s="1" t="s">
        <v>4516</v>
      </c>
      <c r="HA421" s="1" t="s">
        <v>442</v>
      </c>
      <c r="NM421" s="1" t="s">
        <v>441</v>
      </c>
      <c r="NN421" s="1">
        <v>5</v>
      </c>
      <c r="NS421" s="1">
        <v>5</v>
      </c>
      <c r="NT421" s="1">
        <v>5</v>
      </c>
      <c r="OA421" s="1">
        <v>5</v>
      </c>
      <c r="OB421" s="1">
        <v>5</v>
      </c>
      <c r="OC421" s="1">
        <v>5</v>
      </c>
      <c r="OD421" s="1">
        <v>5</v>
      </c>
      <c r="SB421" s="1" t="s">
        <v>1958</v>
      </c>
      <c r="SC421" s="1" t="s">
        <v>796</v>
      </c>
      <c r="SF421" s="1" t="s">
        <v>1960</v>
      </c>
      <c r="SG421" s="1" t="s">
        <v>798</v>
      </c>
      <c r="SH421" s="1" t="s">
        <v>438</v>
      </c>
      <c r="SI421" s="1" t="s">
        <v>432</v>
      </c>
      <c r="SK421" s="1" t="s">
        <v>500</v>
      </c>
      <c r="SL421" s="1" t="s">
        <v>1166</v>
      </c>
      <c r="SM421" s="1" t="s">
        <v>799</v>
      </c>
    </row>
    <row r="422" spans="1:507" ht="160" x14ac:dyDescent="0.2">
      <c r="A422" s="1" t="s">
        <v>4517</v>
      </c>
      <c r="B422" s="1">
        <v>10</v>
      </c>
      <c r="C422" s="1">
        <v>5</v>
      </c>
      <c r="D422" s="3">
        <v>46030.486898148149</v>
      </c>
      <c r="E422" s="1">
        <v>5113148</v>
      </c>
      <c r="F422" s="1" t="s">
        <v>428</v>
      </c>
      <c r="H422" s="1" t="s">
        <v>4518</v>
      </c>
      <c r="J422" s="1" t="s">
        <v>4519</v>
      </c>
      <c r="N422" s="1" t="s">
        <v>3216</v>
      </c>
      <c r="O422" s="1" t="s">
        <v>432</v>
      </c>
      <c r="R422" s="1" t="s">
        <v>4519</v>
      </c>
      <c r="S422" s="1" t="s">
        <v>3217</v>
      </c>
      <c r="AB422" s="3">
        <v>46038.475995370369</v>
      </c>
      <c r="AC422" s="3">
        <v>46030.531446759262</v>
      </c>
      <c r="AE422" s="1" t="s">
        <v>4520</v>
      </c>
      <c r="BB422" s="1" t="s">
        <v>4521</v>
      </c>
      <c r="CO422" s="1" t="s">
        <v>435</v>
      </c>
      <c r="CQ422" s="1" t="s">
        <v>432</v>
      </c>
      <c r="CR422" s="1" t="s">
        <v>4522</v>
      </c>
      <c r="CS422" s="1" t="s">
        <v>729</v>
      </c>
      <c r="CT422" s="3">
        <v>46030.466770833336</v>
      </c>
      <c r="CU422" s="1" t="s">
        <v>436</v>
      </c>
      <c r="CV422" s="1" t="s">
        <v>512</v>
      </c>
      <c r="CW422" s="3">
        <v>46038.475937499999</v>
      </c>
      <c r="CX422" s="1" t="s">
        <v>1057</v>
      </c>
      <c r="CY422" s="1" t="s">
        <v>438</v>
      </c>
      <c r="DP422" s="1" t="s">
        <v>4523</v>
      </c>
      <c r="DU422" s="1" t="s">
        <v>4524</v>
      </c>
      <c r="GZ422" s="1" t="s">
        <v>4523</v>
      </c>
      <c r="HA422" s="1" t="s">
        <v>4524</v>
      </c>
      <c r="NM422" s="1" t="s">
        <v>441</v>
      </c>
      <c r="NN422" s="1">
        <v>4</v>
      </c>
      <c r="NS422" s="1">
        <v>5</v>
      </c>
      <c r="NT422" s="1">
        <v>5</v>
      </c>
      <c r="OA422" s="1">
        <v>5</v>
      </c>
      <c r="OB422" s="1">
        <v>1</v>
      </c>
      <c r="OC422" s="1">
        <v>5</v>
      </c>
      <c r="OD422" s="1" t="s">
        <v>442</v>
      </c>
      <c r="SB422" s="1" t="s">
        <v>443</v>
      </c>
      <c r="SC422" s="1" t="s">
        <v>4525</v>
      </c>
      <c r="SF422" s="1" t="s">
        <v>4526</v>
      </c>
      <c r="SG422" s="1" t="s">
        <v>4527</v>
      </c>
      <c r="SH422" s="1" t="s">
        <v>438</v>
      </c>
      <c r="SI422" s="1" t="s">
        <v>438</v>
      </c>
      <c r="SK422" s="1" t="s">
        <v>445</v>
      </c>
      <c r="SL422" s="1" t="s">
        <v>569</v>
      </c>
    </row>
    <row r="423" spans="1:507" ht="128" x14ac:dyDescent="0.2">
      <c r="A423" s="1" t="s">
        <v>4528</v>
      </c>
      <c r="B423" s="1">
        <v>10</v>
      </c>
      <c r="C423" s="1">
        <v>5</v>
      </c>
      <c r="D423" s="3">
        <v>46030.482743055552</v>
      </c>
      <c r="E423" s="1">
        <v>5113250</v>
      </c>
      <c r="F423" s="1" t="s">
        <v>428</v>
      </c>
      <c r="H423" s="1" t="s">
        <v>4529</v>
      </c>
      <c r="J423" s="1" t="s">
        <v>4530</v>
      </c>
      <c r="N423" s="1" t="s">
        <v>724</v>
      </c>
      <c r="O423" s="1" t="s">
        <v>432</v>
      </c>
      <c r="R423" s="1" t="s">
        <v>4530</v>
      </c>
      <c r="S423" s="1" t="s">
        <v>725</v>
      </c>
      <c r="AB423" s="3">
        <v>46030.690069444441</v>
      </c>
      <c r="AC423" s="3">
        <v>46030.529537037037</v>
      </c>
      <c r="AE423" s="1" t="s">
        <v>4531</v>
      </c>
      <c r="BB423" s="1" t="s">
        <v>4532</v>
      </c>
      <c r="CO423" s="1" t="s">
        <v>435</v>
      </c>
      <c r="CQ423" s="1" t="s">
        <v>432</v>
      </c>
      <c r="CR423" s="1" t="s">
        <v>4533</v>
      </c>
      <c r="CS423" s="1" t="s">
        <v>691</v>
      </c>
      <c r="CT423" s="3">
        <v>46030.489641203705</v>
      </c>
      <c r="CU423" s="1" t="s">
        <v>436</v>
      </c>
      <c r="CV423" s="1" t="s">
        <v>512</v>
      </c>
      <c r="CY423" s="1" t="s">
        <v>438</v>
      </c>
      <c r="DP423" s="1" t="s">
        <v>4534</v>
      </c>
      <c r="DU423" s="1" t="s">
        <v>442</v>
      </c>
      <c r="GZ423" s="1" t="s">
        <v>4534</v>
      </c>
      <c r="HA423" s="1" t="s">
        <v>442</v>
      </c>
      <c r="NM423" s="1" t="s">
        <v>441</v>
      </c>
      <c r="NN423" s="1">
        <v>5</v>
      </c>
      <c r="NS423" s="1">
        <v>5</v>
      </c>
      <c r="NT423" s="1">
        <v>5</v>
      </c>
      <c r="OA423" s="1">
        <v>5</v>
      </c>
      <c r="OB423" s="1">
        <v>5</v>
      </c>
      <c r="OC423" s="1">
        <v>5</v>
      </c>
      <c r="OD423" s="1">
        <v>5</v>
      </c>
      <c r="SB423" s="1" t="s">
        <v>4535</v>
      </c>
      <c r="SC423" s="1" t="s">
        <v>4536</v>
      </c>
      <c r="SF423" s="1" t="s">
        <v>4537</v>
      </c>
      <c r="SG423" s="1" t="s">
        <v>4538</v>
      </c>
      <c r="SH423" s="1" t="s">
        <v>438</v>
      </c>
      <c r="SI423" s="1" t="s">
        <v>438</v>
      </c>
      <c r="SK423" s="1" t="s">
        <v>445</v>
      </c>
      <c r="SL423" s="1" t="s">
        <v>760</v>
      </c>
      <c r="SM423" s="1" t="s">
        <v>2293</v>
      </c>
    </row>
    <row r="424" spans="1:507" ht="48" x14ac:dyDescent="0.2">
      <c r="A424" s="1" t="s">
        <v>4539</v>
      </c>
      <c r="B424" s="1">
        <v>10</v>
      </c>
      <c r="C424" s="1">
        <v>5</v>
      </c>
      <c r="D424" s="3">
        <v>46030.457372685189</v>
      </c>
      <c r="E424" s="1">
        <v>5113127</v>
      </c>
      <c r="F424" s="1" t="s">
        <v>428</v>
      </c>
      <c r="H424" s="1" t="s">
        <v>4540</v>
      </c>
      <c r="J424" s="1" t="s">
        <v>4541</v>
      </c>
      <c r="N424" s="1" t="s">
        <v>2331</v>
      </c>
      <c r="O424" s="1" t="s">
        <v>432</v>
      </c>
      <c r="R424" s="1" t="s">
        <v>4541</v>
      </c>
      <c r="S424" s="1" t="s">
        <v>2332</v>
      </c>
      <c r="AB424" s="3">
        <v>46030.682037037041</v>
      </c>
      <c r="AC424" s="3">
        <v>46030.531331018516</v>
      </c>
      <c r="AE424" s="1" t="s">
        <v>4542</v>
      </c>
      <c r="BB424" s="1" t="s">
        <v>4543</v>
      </c>
      <c r="CO424" s="1" t="s">
        <v>435</v>
      </c>
      <c r="CQ424" s="1" t="s">
        <v>432</v>
      </c>
      <c r="CR424" s="1" t="s">
        <v>4533</v>
      </c>
      <c r="CS424" s="1" t="s">
        <v>691</v>
      </c>
      <c r="CT424" s="3">
        <v>46030.459849537037</v>
      </c>
      <c r="CU424" s="1" t="s">
        <v>436</v>
      </c>
      <c r="CV424" s="1" t="s">
        <v>512</v>
      </c>
      <c r="CY424" s="1" t="s">
        <v>438</v>
      </c>
      <c r="DP424" s="1" t="s">
        <v>4544</v>
      </c>
      <c r="DU424" s="1" t="s">
        <v>4545</v>
      </c>
      <c r="GZ424" s="1" t="s">
        <v>4544</v>
      </c>
      <c r="HA424" s="1" t="s">
        <v>4545</v>
      </c>
      <c r="NM424" s="1" t="s">
        <v>441</v>
      </c>
      <c r="NN424" s="1">
        <v>4</v>
      </c>
      <c r="NS424" s="1">
        <v>5</v>
      </c>
      <c r="NT424" s="1">
        <v>5</v>
      </c>
      <c r="OA424" s="1">
        <v>5</v>
      </c>
      <c r="OB424" s="1">
        <v>5</v>
      </c>
      <c r="OC424" s="1">
        <v>5</v>
      </c>
      <c r="OD424" s="1">
        <v>5</v>
      </c>
      <c r="SB424" s="1" t="s">
        <v>1601</v>
      </c>
      <c r="SC424" s="1" t="s">
        <v>4546</v>
      </c>
      <c r="SF424" s="1" t="s">
        <v>1603</v>
      </c>
      <c r="SG424" s="1" t="s">
        <v>4547</v>
      </c>
      <c r="SH424" s="1" t="s">
        <v>438</v>
      </c>
      <c r="SI424" s="1" t="s">
        <v>432</v>
      </c>
      <c r="SK424" s="1" t="s">
        <v>486</v>
      </c>
    </row>
    <row r="425" spans="1:507" ht="32" x14ac:dyDescent="0.2">
      <c r="A425" s="1" t="s">
        <v>4548</v>
      </c>
      <c r="B425" s="1">
        <v>10</v>
      </c>
      <c r="C425" s="1">
        <v>5</v>
      </c>
      <c r="D425" s="3">
        <v>46030.454733796294</v>
      </c>
      <c r="E425" s="1">
        <v>5113128</v>
      </c>
      <c r="F425" s="1" t="s">
        <v>428</v>
      </c>
      <c r="H425" s="1" t="s">
        <v>4549</v>
      </c>
      <c r="J425" s="1" t="s">
        <v>4550</v>
      </c>
      <c r="N425" s="1" t="s">
        <v>4551</v>
      </c>
      <c r="O425" s="1" t="s">
        <v>432</v>
      </c>
      <c r="R425" s="1" t="s">
        <v>4550</v>
      </c>
      <c r="S425" s="1" t="s">
        <v>4552</v>
      </c>
      <c r="AB425" s="3">
        <v>46030.680324074077</v>
      </c>
      <c r="AC425" s="3">
        <v>46029.808125000003</v>
      </c>
      <c r="AE425" s="1" t="s">
        <v>4553</v>
      </c>
      <c r="BB425" s="1" t="s">
        <v>4554</v>
      </c>
      <c r="CO425" s="1" t="s">
        <v>435</v>
      </c>
      <c r="CQ425" s="1" t="s">
        <v>432</v>
      </c>
      <c r="CR425" s="1" t="s">
        <v>4533</v>
      </c>
      <c r="CS425" s="1" t="s">
        <v>691</v>
      </c>
      <c r="CT425" s="3">
        <v>46030.459849537037</v>
      </c>
      <c r="CU425" s="1" t="s">
        <v>436</v>
      </c>
      <c r="CV425" s="1" t="s">
        <v>512</v>
      </c>
      <c r="CY425" s="1" t="s">
        <v>438</v>
      </c>
      <c r="DP425" s="1" t="s">
        <v>4555</v>
      </c>
      <c r="DU425" s="1" t="s">
        <v>440</v>
      </c>
      <c r="GZ425" s="1" t="s">
        <v>4555</v>
      </c>
      <c r="HA425" s="1" t="s">
        <v>440</v>
      </c>
      <c r="NM425" s="1" t="s">
        <v>441</v>
      </c>
      <c r="NN425" s="1">
        <v>5</v>
      </c>
      <c r="NS425" s="1">
        <v>5</v>
      </c>
      <c r="NT425" s="1">
        <v>5</v>
      </c>
      <c r="OA425" s="1">
        <v>5</v>
      </c>
      <c r="OB425" s="1">
        <v>5</v>
      </c>
      <c r="OC425" s="1">
        <v>5</v>
      </c>
      <c r="OD425" s="1">
        <v>5</v>
      </c>
      <c r="SC425" s="1" t="s">
        <v>4556</v>
      </c>
      <c r="SG425" s="1" t="s">
        <v>4557</v>
      </c>
      <c r="SH425" s="1" t="s">
        <v>438</v>
      </c>
      <c r="SI425" s="1" t="s">
        <v>432</v>
      </c>
      <c r="SK425" s="1" t="s">
        <v>854</v>
      </c>
    </row>
    <row r="426" spans="1:507" ht="32" x14ac:dyDescent="0.2">
      <c r="A426" s="1" t="s">
        <v>4558</v>
      </c>
      <c r="B426" s="1">
        <v>10</v>
      </c>
      <c r="C426" s="1">
        <v>5</v>
      </c>
      <c r="D426" s="3">
        <v>46030.421574074076</v>
      </c>
      <c r="E426" s="1">
        <v>5112932</v>
      </c>
      <c r="F426" s="1" t="s">
        <v>428</v>
      </c>
      <c r="H426" s="1" t="s">
        <v>4559</v>
      </c>
      <c r="J426" s="1" t="s">
        <v>4560</v>
      </c>
      <c r="N426" s="1" t="s">
        <v>724</v>
      </c>
      <c r="O426" s="1" t="s">
        <v>432</v>
      </c>
      <c r="R426" s="1" t="s">
        <v>4560</v>
      </c>
      <c r="S426" s="1" t="s">
        <v>725</v>
      </c>
      <c r="AB426" s="3">
        <v>46030.675104166665</v>
      </c>
      <c r="AC426" s="3">
        <v>46030.529733796298</v>
      </c>
      <c r="AE426" s="1" t="s">
        <v>4561</v>
      </c>
      <c r="BB426" s="1" t="s">
        <v>4562</v>
      </c>
      <c r="CO426" s="1" t="s">
        <v>435</v>
      </c>
      <c r="CQ426" s="1" t="s">
        <v>432</v>
      </c>
      <c r="CR426" s="1" t="s">
        <v>4533</v>
      </c>
      <c r="CS426" s="1" t="s">
        <v>691</v>
      </c>
      <c r="CT426" s="3">
        <v>46030.421342592592</v>
      </c>
      <c r="CU426" s="1" t="s">
        <v>436</v>
      </c>
      <c r="CV426" s="1" t="s">
        <v>512</v>
      </c>
      <c r="CY426" s="1" t="s">
        <v>438</v>
      </c>
      <c r="DP426" s="1" t="s">
        <v>4563</v>
      </c>
      <c r="DU426" s="1" t="s">
        <v>4564</v>
      </c>
      <c r="GZ426" s="1" t="s">
        <v>4563</v>
      </c>
      <c r="HA426" s="1" t="s">
        <v>4564</v>
      </c>
      <c r="NM426" s="1" t="s">
        <v>441</v>
      </c>
      <c r="NN426" s="1">
        <v>3</v>
      </c>
      <c r="NS426" s="1">
        <v>5</v>
      </c>
      <c r="NT426" s="1">
        <v>5</v>
      </c>
      <c r="OA426" s="1">
        <v>5</v>
      </c>
      <c r="OB426" s="1">
        <v>5</v>
      </c>
      <c r="OC426" s="1">
        <v>5</v>
      </c>
      <c r="OD426" s="1">
        <v>4</v>
      </c>
      <c r="SC426" s="1" t="s">
        <v>917</v>
      </c>
      <c r="SG426" s="1" t="s">
        <v>918</v>
      </c>
      <c r="SH426" s="1" t="s">
        <v>438</v>
      </c>
      <c r="SI426" s="1" t="s">
        <v>432</v>
      </c>
      <c r="SK426" s="1" t="s">
        <v>445</v>
      </c>
    </row>
    <row r="427" spans="1:507" ht="32" x14ac:dyDescent="0.2">
      <c r="A427" s="1" t="s">
        <v>4565</v>
      </c>
      <c r="B427" s="1">
        <v>10</v>
      </c>
      <c r="C427" s="1">
        <v>5</v>
      </c>
      <c r="D427" s="3">
        <v>46030.414560185185</v>
      </c>
      <c r="E427" s="1">
        <v>5112893</v>
      </c>
      <c r="F427" s="1" t="s">
        <v>428</v>
      </c>
      <c r="H427" s="1" t="s">
        <v>4566</v>
      </c>
      <c r="J427" s="1" t="s">
        <v>4567</v>
      </c>
      <c r="N427" s="1" t="s">
        <v>724</v>
      </c>
      <c r="O427" s="1" t="s">
        <v>432</v>
      </c>
      <c r="R427" s="1" t="s">
        <v>4567</v>
      </c>
      <c r="S427" s="1" t="s">
        <v>725</v>
      </c>
      <c r="AB427" s="3">
        <v>46030.67287037037</v>
      </c>
      <c r="AC427" s="3">
        <v>46030.529282407406</v>
      </c>
      <c r="AE427" s="1" t="s">
        <v>4568</v>
      </c>
      <c r="BB427" s="1" t="s">
        <v>4569</v>
      </c>
      <c r="CO427" s="1" t="s">
        <v>435</v>
      </c>
      <c r="CQ427" s="1" t="s">
        <v>432</v>
      </c>
      <c r="CR427" s="1" t="s">
        <v>4533</v>
      </c>
      <c r="CS427" s="1" t="s">
        <v>691</v>
      </c>
      <c r="CT427" s="3">
        <v>46030.414768518516</v>
      </c>
      <c r="CU427" s="1" t="s">
        <v>436</v>
      </c>
      <c r="CV427" s="1" t="s">
        <v>512</v>
      </c>
      <c r="CY427" s="1" t="s">
        <v>438</v>
      </c>
      <c r="DP427" s="1" t="s">
        <v>4570</v>
      </c>
      <c r="DU427" s="1" t="s">
        <v>440</v>
      </c>
      <c r="GZ427" s="1" t="s">
        <v>4570</v>
      </c>
      <c r="HA427" s="1" t="s">
        <v>440</v>
      </c>
      <c r="NM427" s="1" t="s">
        <v>441</v>
      </c>
      <c r="NN427" s="1">
        <v>4</v>
      </c>
      <c r="NS427" s="1">
        <v>5</v>
      </c>
      <c r="NT427" s="1">
        <v>5</v>
      </c>
      <c r="OA427" s="1">
        <v>5</v>
      </c>
      <c r="OB427" s="1">
        <v>5</v>
      </c>
      <c r="OC427" s="1">
        <v>5</v>
      </c>
      <c r="OD427" s="1">
        <v>5</v>
      </c>
      <c r="SB427" s="1" t="s">
        <v>443</v>
      </c>
      <c r="SC427" s="1" t="s">
        <v>443</v>
      </c>
      <c r="SF427" s="1" t="s">
        <v>444</v>
      </c>
      <c r="SG427" s="1" t="s">
        <v>444</v>
      </c>
      <c r="SH427" s="1" t="s">
        <v>432</v>
      </c>
      <c r="SI427" s="1" t="s">
        <v>432</v>
      </c>
      <c r="SK427" s="1" t="s">
        <v>445</v>
      </c>
    </row>
    <row r="428" spans="1:507" ht="112" x14ac:dyDescent="0.2">
      <c r="A428" s="1" t="s">
        <v>1116</v>
      </c>
      <c r="B428" s="1">
        <v>9</v>
      </c>
      <c r="C428" s="1">
        <v>5</v>
      </c>
      <c r="D428" s="3">
        <v>46029.707569444443</v>
      </c>
      <c r="E428" s="1">
        <v>5111504</v>
      </c>
      <c r="F428" s="1" t="s">
        <v>428</v>
      </c>
      <c r="H428" s="1" t="s">
        <v>1117</v>
      </c>
      <c r="J428" s="1" t="s">
        <v>1118</v>
      </c>
      <c r="N428" s="1" t="s">
        <v>724</v>
      </c>
      <c r="O428" s="1" t="s">
        <v>432</v>
      </c>
      <c r="R428" s="1" t="s">
        <v>1118</v>
      </c>
      <c r="S428" s="1" t="s">
        <v>725</v>
      </c>
      <c r="AB428" s="3">
        <v>46030.427858796298</v>
      </c>
      <c r="AC428" s="3">
        <v>46029.534282407411</v>
      </c>
      <c r="AE428" s="1" t="s">
        <v>4571</v>
      </c>
      <c r="BB428" s="1" t="s">
        <v>1123</v>
      </c>
      <c r="CO428" s="1" t="s">
        <v>435</v>
      </c>
      <c r="CQ428" s="1" t="s">
        <v>432</v>
      </c>
      <c r="CR428" s="1" t="s">
        <v>691</v>
      </c>
      <c r="CS428" s="1" t="s">
        <v>691</v>
      </c>
      <c r="CT428" s="3">
        <v>46029.706145833334</v>
      </c>
      <c r="CU428" s="1" t="s">
        <v>436</v>
      </c>
      <c r="CV428" s="1" t="s">
        <v>512</v>
      </c>
      <c r="CY428" s="1" t="s">
        <v>438</v>
      </c>
      <c r="DP428" s="1" t="s">
        <v>4572</v>
      </c>
      <c r="DU428" s="1" t="s">
        <v>4573</v>
      </c>
      <c r="GZ428" s="1" t="s">
        <v>4572</v>
      </c>
      <c r="HA428" s="1" t="s">
        <v>4573</v>
      </c>
      <c r="NM428" s="1" t="s">
        <v>441</v>
      </c>
      <c r="NN428" s="1">
        <v>4</v>
      </c>
      <c r="NS428" s="1">
        <v>4</v>
      </c>
      <c r="NT428" s="1">
        <v>4</v>
      </c>
      <c r="OA428" s="1">
        <v>4</v>
      </c>
      <c r="OB428" s="1">
        <v>4</v>
      </c>
      <c r="OC428" s="1">
        <v>4</v>
      </c>
      <c r="OD428" s="1">
        <v>4</v>
      </c>
      <c r="SB428" s="1" t="s">
        <v>1399</v>
      </c>
      <c r="SC428" s="1" t="s">
        <v>4574</v>
      </c>
      <c r="SF428" s="1" t="s">
        <v>4575</v>
      </c>
      <c r="SG428" s="1" t="s">
        <v>4576</v>
      </c>
      <c r="SH428" s="1" t="s">
        <v>438</v>
      </c>
      <c r="SI428" s="1" t="s">
        <v>432</v>
      </c>
      <c r="SK428" s="1" t="s">
        <v>445</v>
      </c>
      <c r="SL428" s="1" t="s">
        <v>2293</v>
      </c>
      <c r="SM428" s="1" t="s">
        <v>4577</v>
      </c>
    </row>
    <row r="429" spans="1:507" ht="96" x14ac:dyDescent="0.2">
      <c r="A429" s="1" t="s">
        <v>4578</v>
      </c>
      <c r="B429" s="1">
        <v>6</v>
      </c>
      <c r="C429" s="1">
        <v>2</v>
      </c>
      <c r="D429" s="3">
        <v>46029.489502314813</v>
      </c>
      <c r="E429" s="1">
        <v>5110291</v>
      </c>
      <c r="F429" s="1" t="s">
        <v>428</v>
      </c>
      <c r="H429" s="1" t="s">
        <v>4579</v>
      </c>
      <c r="J429" s="1" t="s">
        <v>4580</v>
      </c>
      <c r="N429" s="1" t="s">
        <v>3117</v>
      </c>
      <c r="O429" s="1" t="s">
        <v>432</v>
      </c>
      <c r="R429" s="1" t="s">
        <v>4580</v>
      </c>
      <c r="S429" s="1" t="s">
        <v>3118</v>
      </c>
      <c r="AB429" s="3">
        <v>46038.44259259259</v>
      </c>
      <c r="AC429" s="3">
        <v>46029.59746527778</v>
      </c>
      <c r="AE429" s="1" t="s">
        <v>4581</v>
      </c>
      <c r="BB429" s="1" t="s">
        <v>4582</v>
      </c>
      <c r="CO429" s="1" t="s">
        <v>435</v>
      </c>
      <c r="CQ429" s="1" t="s">
        <v>432</v>
      </c>
      <c r="CR429" s="1" t="s">
        <v>3618</v>
      </c>
      <c r="CS429" s="1" t="s">
        <v>729</v>
      </c>
      <c r="CT429" s="3">
        <v>46029.488796296297</v>
      </c>
      <c r="CU429" s="1" t="s">
        <v>1206</v>
      </c>
      <c r="CV429" s="1" t="s">
        <v>512</v>
      </c>
      <c r="CW429" s="3">
        <v>46038.442511574074</v>
      </c>
      <c r="CX429" s="1" t="s">
        <v>1057</v>
      </c>
      <c r="CY429" s="1" t="s">
        <v>438</v>
      </c>
      <c r="DU429" s="1" t="s">
        <v>4583</v>
      </c>
      <c r="HA429" s="1" t="s">
        <v>4583</v>
      </c>
      <c r="NM429" s="1" t="s">
        <v>441</v>
      </c>
      <c r="NN429" s="1" t="s">
        <v>442</v>
      </c>
      <c r="NS429" s="1">
        <v>2</v>
      </c>
      <c r="NT429" s="1">
        <v>2</v>
      </c>
      <c r="OA429" s="1">
        <v>2</v>
      </c>
      <c r="OB429" s="1">
        <v>2</v>
      </c>
      <c r="OC429" s="1">
        <v>3</v>
      </c>
      <c r="OD429" s="1" t="s">
        <v>442</v>
      </c>
      <c r="SB429" s="1" t="s">
        <v>745</v>
      </c>
      <c r="SC429" s="1" t="s">
        <v>987</v>
      </c>
      <c r="SF429" s="1" t="s">
        <v>747</v>
      </c>
      <c r="SG429" s="1" t="s">
        <v>4584</v>
      </c>
      <c r="SH429" s="1" t="s">
        <v>438</v>
      </c>
      <c r="SI429" s="1" t="s">
        <v>438</v>
      </c>
      <c r="SK429" s="1" t="s">
        <v>866</v>
      </c>
      <c r="SL429" s="1" t="s">
        <v>3234</v>
      </c>
    </row>
    <row r="430" spans="1:507" ht="32" x14ac:dyDescent="0.2">
      <c r="A430" s="1" t="s">
        <v>4585</v>
      </c>
      <c r="B430" s="1">
        <v>10</v>
      </c>
      <c r="C430" s="1">
        <v>5</v>
      </c>
      <c r="D430" s="3">
        <v>46029.457442129627</v>
      </c>
      <c r="E430" s="1">
        <v>5110151</v>
      </c>
      <c r="F430" s="1" t="s">
        <v>428</v>
      </c>
      <c r="H430" s="1" t="s">
        <v>4586</v>
      </c>
      <c r="J430" s="1" t="s">
        <v>4587</v>
      </c>
      <c r="N430" s="1" t="s">
        <v>3424</v>
      </c>
      <c r="O430" s="1" t="s">
        <v>432</v>
      </c>
      <c r="R430" s="1" t="s">
        <v>4587</v>
      </c>
      <c r="S430" s="1" t="s">
        <v>3425</v>
      </c>
      <c r="AB430" s="3">
        <v>46029.584398148145</v>
      </c>
      <c r="AC430" s="3">
        <v>46029.533668981479</v>
      </c>
      <c r="AE430" s="1" t="s">
        <v>4588</v>
      </c>
      <c r="BB430" s="1" t="s">
        <v>4589</v>
      </c>
      <c r="CO430" s="1" t="s">
        <v>435</v>
      </c>
      <c r="CQ430" s="1" t="s">
        <v>432</v>
      </c>
      <c r="CR430" s="1" t="s">
        <v>1227</v>
      </c>
      <c r="CS430" s="1" t="s">
        <v>1227</v>
      </c>
      <c r="CT430" s="3">
        <v>46029.45821759259</v>
      </c>
      <c r="CU430" s="1" t="s">
        <v>436</v>
      </c>
      <c r="CV430" s="1" t="s">
        <v>512</v>
      </c>
      <c r="CY430" s="1" t="s">
        <v>438</v>
      </c>
      <c r="DP430" s="1" t="s">
        <v>4590</v>
      </c>
      <c r="GZ430" s="1" t="s">
        <v>4590</v>
      </c>
      <c r="NM430" s="1" t="s">
        <v>441</v>
      </c>
      <c r="NN430" s="1">
        <v>5</v>
      </c>
      <c r="NS430" s="1">
        <v>5</v>
      </c>
      <c r="NT430" s="1">
        <v>5</v>
      </c>
      <c r="OA430" s="1">
        <v>5</v>
      </c>
      <c r="OB430" s="1">
        <v>5</v>
      </c>
      <c r="OC430" s="1">
        <v>5</v>
      </c>
      <c r="OD430" s="1">
        <v>5</v>
      </c>
      <c r="SC430" s="1" t="s">
        <v>1035</v>
      </c>
      <c r="SG430" s="1" t="s">
        <v>1036</v>
      </c>
      <c r="SH430" s="1" t="s">
        <v>438</v>
      </c>
      <c r="SI430" s="1" t="s">
        <v>432</v>
      </c>
      <c r="SK430" s="1" t="s">
        <v>1047</v>
      </c>
    </row>
    <row r="431" spans="1:507" ht="256" x14ac:dyDescent="0.2">
      <c r="A431" s="1" t="s">
        <v>4591</v>
      </c>
      <c r="B431" s="1">
        <v>10</v>
      </c>
      <c r="C431" s="1">
        <v>5</v>
      </c>
      <c r="D431" s="3">
        <v>46029.445462962962</v>
      </c>
      <c r="E431" s="1">
        <v>5110057</v>
      </c>
      <c r="F431" s="1" t="s">
        <v>428</v>
      </c>
      <c r="H431" s="1" t="s">
        <v>4592</v>
      </c>
      <c r="J431" s="1" t="s">
        <v>4593</v>
      </c>
      <c r="N431" s="1" t="s">
        <v>1659</v>
      </c>
      <c r="O431" s="1" t="s">
        <v>432</v>
      </c>
      <c r="R431" s="1" t="s">
        <v>4593</v>
      </c>
      <c r="S431" s="1" t="s">
        <v>1660</v>
      </c>
      <c r="AB431" s="3">
        <v>46038.421817129631</v>
      </c>
      <c r="AC431" s="3">
        <v>46029.533865740741</v>
      </c>
      <c r="AE431" s="1" t="s">
        <v>4594</v>
      </c>
      <c r="BB431" s="1" t="s">
        <v>4595</v>
      </c>
      <c r="CO431" s="1" t="s">
        <v>435</v>
      </c>
      <c r="CQ431" s="1" t="s">
        <v>432</v>
      </c>
      <c r="CR431" s="1" t="s">
        <v>2066</v>
      </c>
      <c r="CS431" s="1" t="s">
        <v>729</v>
      </c>
      <c r="CT431" s="3">
        <v>46029.439189814817</v>
      </c>
      <c r="CU431" s="1" t="s">
        <v>436</v>
      </c>
      <c r="CV431" s="1" t="s">
        <v>512</v>
      </c>
      <c r="CW431" s="3">
        <v>46038.421770833331</v>
      </c>
      <c r="CX431" s="1" t="s">
        <v>1057</v>
      </c>
      <c r="CY431" s="1" t="s">
        <v>438</v>
      </c>
      <c r="DP431" s="1" t="s">
        <v>4596</v>
      </c>
      <c r="DU431" s="1" t="s">
        <v>4597</v>
      </c>
      <c r="GZ431" s="1" t="s">
        <v>4596</v>
      </c>
      <c r="HA431" s="1" t="s">
        <v>4597</v>
      </c>
      <c r="NM431" s="1" t="s">
        <v>441</v>
      </c>
      <c r="NN431" s="1">
        <v>5</v>
      </c>
      <c r="NS431" s="1">
        <v>3</v>
      </c>
      <c r="NT431" s="1">
        <v>5</v>
      </c>
      <c r="OA431" s="1">
        <v>5</v>
      </c>
      <c r="OB431" s="1">
        <v>5</v>
      </c>
      <c r="OC431" s="1">
        <v>5</v>
      </c>
      <c r="OD431" s="1">
        <v>5</v>
      </c>
      <c r="SB431" s="1" t="s">
        <v>4598</v>
      </c>
      <c r="SC431" s="1" t="s">
        <v>4599</v>
      </c>
      <c r="SF431" s="1" t="s">
        <v>4600</v>
      </c>
      <c r="SG431" s="1" t="s">
        <v>4601</v>
      </c>
      <c r="SH431" s="1" t="s">
        <v>438</v>
      </c>
      <c r="SI431" s="1" t="s">
        <v>438</v>
      </c>
      <c r="SK431" s="1" t="s">
        <v>445</v>
      </c>
      <c r="SL431" s="1" t="s">
        <v>2947</v>
      </c>
    </row>
    <row r="432" spans="1:507" ht="32" x14ac:dyDescent="0.2">
      <c r="A432" s="1" t="s">
        <v>4602</v>
      </c>
      <c r="B432" s="1">
        <v>10</v>
      </c>
      <c r="C432" s="1">
        <v>5</v>
      </c>
      <c r="D432" s="3">
        <v>46029.426655092589</v>
      </c>
      <c r="E432" s="1">
        <v>5109958</v>
      </c>
      <c r="F432" s="1" t="s">
        <v>428</v>
      </c>
      <c r="H432" s="1" t="s">
        <v>4603</v>
      </c>
      <c r="J432" s="1" t="s">
        <v>4604</v>
      </c>
      <c r="N432" s="1" t="s">
        <v>4023</v>
      </c>
      <c r="O432" s="1" t="s">
        <v>432</v>
      </c>
      <c r="R432" s="1" t="s">
        <v>4604</v>
      </c>
      <c r="S432" s="1" t="s">
        <v>4024</v>
      </c>
      <c r="AB432" s="3">
        <v>46029.572280092594</v>
      </c>
      <c r="AC432" s="3">
        <v>46029.534710648149</v>
      </c>
      <c r="AE432" s="1" t="s">
        <v>4605</v>
      </c>
      <c r="BB432" s="1" t="s">
        <v>4606</v>
      </c>
      <c r="CO432" s="1" t="s">
        <v>435</v>
      </c>
      <c r="CQ432" s="1" t="s">
        <v>432</v>
      </c>
      <c r="CR432" s="1" t="s">
        <v>1227</v>
      </c>
      <c r="CS432" s="1" t="s">
        <v>1227</v>
      </c>
      <c r="CT432" s="3">
        <v>46029.425370370373</v>
      </c>
      <c r="CU432" s="1" t="s">
        <v>436</v>
      </c>
      <c r="CV432" s="1" t="s">
        <v>512</v>
      </c>
      <c r="CY432" s="1" t="s">
        <v>438</v>
      </c>
      <c r="DP432" s="1" t="s">
        <v>4607</v>
      </c>
      <c r="GZ432" s="1" t="s">
        <v>4607</v>
      </c>
      <c r="NM432" s="1" t="s">
        <v>441</v>
      </c>
      <c r="NN432" s="1">
        <v>4</v>
      </c>
      <c r="NS432" s="1">
        <v>5</v>
      </c>
      <c r="NT432" s="1">
        <v>5</v>
      </c>
      <c r="OA432" s="1">
        <v>5</v>
      </c>
      <c r="OB432" s="1">
        <v>5</v>
      </c>
      <c r="OC432" s="1">
        <v>5</v>
      </c>
      <c r="OD432" s="1">
        <v>5</v>
      </c>
      <c r="SC432" s="1" t="s">
        <v>443</v>
      </c>
      <c r="SG432" s="1" t="s">
        <v>444</v>
      </c>
      <c r="SH432" s="1" t="s">
        <v>438</v>
      </c>
      <c r="SI432" s="1" t="s">
        <v>438</v>
      </c>
      <c r="SK432" s="1" t="s">
        <v>1265</v>
      </c>
      <c r="SL432" s="1" t="s">
        <v>1166</v>
      </c>
    </row>
    <row r="433" spans="1:509" ht="32" x14ac:dyDescent="0.2">
      <c r="A433" s="1" t="s">
        <v>4608</v>
      </c>
      <c r="B433" s="1">
        <v>10</v>
      </c>
      <c r="C433" s="1">
        <v>5</v>
      </c>
      <c r="D433" s="3">
        <v>46029.421354166669</v>
      </c>
      <c r="E433" s="1">
        <v>5109928</v>
      </c>
      <c r="F433" s="1" t="s">
        <v>428</v>
      </c>
      <c r="H433" s="1" t="s">
        <v>4609</v>
      </c>
      <c r="J433" s="1" t="s">
        <v>4610</v>
      </c>
      <c r="N433" s="1" t="s">
        <v>724</v>
      </c>
      <c r="O433" s="1" t="s">
        <v>432</v>
      </c>
      <c r="R433" s="1" t="s">
        <v>4610</v>
      </c>
      <c r="S433" s="1" t="s">
        <v>725</v>
      </c>
      <c r="AB433" s="3">
        <v>46029.569988425923</v>
      </c>
      <c r="AC433" s="3">
        <v>46029.534467592595</v>
      </c>
      <c r="AE433" s="1" t="s">
        <v>4611</v>
      </c>
      <c r="BB433" s="1" t="s">
        <v>4612</v>
      </c>
      <c r="CO433" s="1" t="s">
        <v>435</v>
      </c>
      <c r="CQ433" s="1" t="s">
        <v>432</v>
      </c>
      <c r="CR433" s="1" t="s">
        <v>1227</v>
      </c>
      <c r="CS433" s="1" t="s">
        <v>1227</v>
      </c>
      <c r="CT433" s="3">
        <v>46029.420960648145</v>
      </c>
      <c r="CU433" s="1" t="s">
        <v>436</v>
      </c>
      <c r="CV433" s="1" t="s">
        <v>512</v>
      </c>
      <c r="CY433" s="1" t="s">
        <v>438</v>
      </c>
      <c r="DP433" s="1" t="s">
        <v>4613</v>
      </c>
      <c r="DU433" s="1" t="s">
        <v>4614</v>
      </c>
      <c r="GZ433" s="1" t="s">
        <v>4613</v>
      </c>
      <c r="HA433" s="1" t="s">
        <v>4614</v>
      </c>
      <c r="NM433" s="1" t="s">
        <v>441</v>
      </c>
      <c r="NN433" s="1">
        <v>5</v>
      </c>
      <c r="NS433" s="1">
        <v>5</v>
      </c>
      <c r="NT433" s="1">
        <v>5</v>
      </c>
      <c r="OA433" s="1">
        <v>5</v>
      </c>
      <c r="OB433" s="1">
        <v>5</v>
      </c>
      <c r="OC433" s="1">
        <v>5</v>
      </c>
      <c r="OD433" s="1">
        <v>5</v>
      </c>
      <c r="SB433" s="1" t="s">
        <v>443</v>
      </c>
      <c r="SC433" s="1" t="s">
        <v>443</v>
      </c>
      <c r="SF433" s="1" t="s">
        <v>444</v>
      </c>
      <c r="SG433" s="1" t="s">
        <v>444</v>
      </c>
      <c r="SH433" s="1" t="s">
        <v>432</v>
      </c>
      <c r="SI433" s="1" t="s">
        <v>438</v>
      </c>
      <c r="SK433" s="1" t="s">
        <v>445</v>
      </c>
    </row>
    <row r="434" spans="1:509" ht="48" x14ac:dyDescent="0.2">
      <c r="A434" s="1" t="s">
        <v>4615</v>
      </c>
      <c r="B434" s="1">
        <v>10</v>
      </c>
      <c r="C434" s="1">
        <v>5</v>
      </c>
      <c r="D434" s="3">
        <v>46029.417291666665</v>
      </c>
      <c r="E434" s="1">
        <v>5109907</v>
      </c>
      <c r="F434" s="1" t="s">
        <v>428</v>
      </c>
      <c r="H434" s="1" t="s">
        <v>4616</v>
      </c>
      <c r="J434" s="1" t="s">
        <v>4617</v>
      </c>
      <c r="N434" s="1" t="s">
        <v>4618</v>
      </c>
      <c r="O434" s="1" t="s">
        <v>432</v>
      </c>
      <c r="R434" s="1" t="s">
        <v>4617</v>
      </c>
      <c r="S434" s="1" t="s">
        <v>4619</v>
      </c>
      <c r="AB434" s="3">
        <v>46029.568541666667</v>
      </c>
      <c r="AC434" s="3">
        <v>46029.534745370373</v>
      </c>
      <c r="AE434" s="1" t="s">
        <v>4620</v>
      </c>
      <c r="BB434" s="1" t="s">
        <v>4621</v>
      </c>
      <c r="CO434" s="1" t="s">
        <v>435</v>
      </c>
      <c r="CQ434" s="1" t="s">
        <v>432</v>
      </c>
      <c r="CR434" s="1" t="s">
        <v>1227</v>
      </c>
      <c r="CS434" s="1" t="s">
        <v>1227</v>
      </c>
      <c r="CT434" s="3">
        <v>46029.416967592595</v>
      </c>
      <c r="CU434" s="1" t="s">
        <v>436</v>
      </c>
      <c r="CV434" s="1" t="s">
        <v>512</v>
      </c>
      <c r="CY434" s="1" t="s">
        <v>438</v>
      </c>
      <c r="DP434" s="1" t="s">
        <v>4622</v>
      </c>
      <c r="GZ434" s="1" t="s">
        <v>4622</v>
      </c>
      <c r="NM434" s="1" t="s">
        <v>441</v>
      </c>
      <c r="NN434" s="1">
        <v>4</v>
      </c>
      <c r="NS434" s="1">
        <v>4</v>
      </c>
      <c r="NT434" s="1">
        <v>5</v>
      </c>
      <c r="OA434" s="1">
        <v>5</v>
      </c>
      <c r="OB434" s="1">
        <v>5</v>
      </c>
      <c r="OC434" s="1">
        <v>5</v>
      </c>
      <c r="OD434" s="1">
        <v>4</v>
      </c>
      <c r="SB434" s="1" t="s">
        <v>631</v>
      </c>
      <c r="SC434" s="1" t="s">
        <v>4623</v>
      </c>
      <c r="SE434" s="1" t="s">
        <v>484</v>
      </c>
      <c r="SF434" s="1" t="s">
        <v>634</v>
      </c>
      <c r="SG434" s="1" t="s">
        <v>4624</v>
      </c>
      <c r="SH434" s="1" t="s">
        <v>438</v>
      </c>
      <c r="SI434" s="1" t="s">
        <v>432</v>
      </c>
      <c r="SK434" s="1" t="s">
        <v>1746</v>
      </c>
    </row>
    <row r="435" spans="1:509" ht="48" x14ac:dyDescent="0.2">
      <c r="A435" s="1" t="s">
        <v>4625</v>
      </c>
      <c r="B435" s="1">
        <v>9</v>
      </c>
      <c r="C435" s="1">
        <v>5</v>
      </c>
      <c r="D435" s="3">
        <v>46029.417210648149</v>
      </c>
      <c r="E435" s="1">
        <v>5109898</v>
      </c>
      <c r="F435" s="1" t="s">
        <v>428</v>
      </c>
      <c r="H435" s="1" t="s">
        <v>4626</v>
      </c>
      <c r="J435" s="1" t="s">
        <v>4627</v>
      </c>
      <c r="N435" s="1" t="s">
        <v>4095</v>
      </c>
      <c r="O435" s="1" t="s">
        <v>432</v>
      </c>
      <c r="R435" s="1" t="s">
        <v>4627</v>
      </c>
      <c r="S435" s="1" t="s">
        <v>4096</v>
      </c>
      <c r="AB435" s="3">
        <v>46029.566053240742</v>
      </c>
      <c r="AC435" s="3">
        <v>46029.534907407404</v>
      </c>
      <c r="AE435" s="1" t="s">
        <v>4628</v>
      </c>
      <c r="BB435" s="1" t="s">
        <v>4629</v>
      </c>
      <c r="CO435" s="1" t="s">
        <v>435</v>
      </c>
      <c r="CQ435" s="1" t="s">
        <v>432</v>
      </c>
      <c r="CR435" s="1" t="s">
        <v>691</v>
      </c>
      <c r="CS435" s="1" t="s">
        <v>691</v>
      </c>
      <c r="CT435" s="3">
        <v>46029.416331018518</v>
      </c>
      <c r="CU435" s="1" t="s">
        <v>436</v>
      </c>
      <c r="CV435" s="1" t="s">
        <v>512</v>
      </c>
      <c r="CY435" s="1" t="s">
        <v>438</v>
      </c>
      <c r="DP435" s="1" t="s">
        <v>4630</v>
      </c>
      <c r="DU435" s="1" t="s">
        <v>4631</v>
      </c>
      <c r="GZ435" s="1" t="s">
        <v>4630</v>
      </c>
      <c r="HA435" s="1" t="s">
        <v>4631</v>
      </c>
      <c r="NM435" s="1" t="s">
        <v>441</v>
      </c>
      <c r="NN435" s="1">
        <v>5</v>
      </c>
      <c r="NS435" s="1">
        <v>5</v>
      </c>
      <c r="NT435" s="1">
        <v>5</v>
      </c>
      <c r="OA435" s="1">
        <v>5</v>
      </c>
      <c r="OB435" s="1">
        <v>5</v>
      </c>
      <c r="OC435" s="1">
        <v>5</v>
      </c>
      <c r="OD435" s="1">
        <v>5</v>
      </c>
      <c r="SB435" s="1" t="s">
        <v>443</v>
      </c>
      <c r="SC435" s="1" t="s">
        <v>987</v>
      </c>
      <c r="SF435" s="1" t="s">
        <v>444</v>
      </c>
      <c r="SG435" s="1" t="s">
        <v>988</v>
      </c>
      <c r="SH435" s="1" t="s">
        <v>438</v>
      </c>
      <c r="SI435" s="1" t="s">
        <v>432</v>
      </c>
      <c r="SK435" s="1" t="s">
        <v>2325</v>
      </c>
      <c r="SL435" s="1" t="s">
        <v>568</v>
      </c>
    </row>
    <row r="436" spans="1:509" ht="128" x14ac:dyDescent="0.2">
      <c r="A436" s="1" t="s">
        <v>4632</v>
      </c>
      <c r="B436" s="1">
        <v>10</v>
      </c>
      <c r="C436" s="1">
        <v>5</v>
      </c>
      <c r="D436" s="3">
        <v>46029.41474537037</v>
      </c>
      <c r="E436" s="1">
        <v>5109886</v>
      </c>
      <c r="F436" s="1" t="s">
        <v>428</v>
      </c>
      <c r="H436" s="1" t="s">
        <v>4633</v>
      </c>
      <c r="J436" s="1" t="s">
        <v>4634</v>
      </c>
      <c r="N436" s="1" t="s">
        <v>724</v>
      </c>
      <c r="O436" s="1" t="s">
        <v>432</v>
      </c>
      <c r="R436" s="1" t="s">
        <v>4634</v>
      </c>
      <c r="S436" s="1" t="s">
        <v>725</v>
      </c>
      <c r="AB436" s="3">
        <v>46038.417303240742</v>
      </c>
      <c r="AC436" s="3">
        <v>46029.533761574072</v>
      </c>
      <c r="AE436" s="1" t="s">
        <v>4635</v>
      </c>
      <c r="BB436" s="1" t="s">
        <v>4636</v>
      </c>
      <c r="CO436" s="1" t="s">
        <v>435</v>
      </c>
      <c r="CQ436" s="1" t="s">
        <v>432</v>
      </c>
      <c r="CR436" s="1" t="s">
        <v>1111</v>
      </c>
      <c r="CS436" s="1" t="s">
        <v>729</v>
      </c>
      <c r="CT436" s="3">
        <v>46029.414120370369</v>
      </c>
      <c r="CU436" s="1" t="s">
        <v>436</v>
      </c>
      <c r="CV436" s="1" t="s">
        <v>512</v>
      </c>
      <c r="CY436" s="1" t="s">
        <v>438</v>
      </c>
      <c r="DP436" s="1" t="s">
        <v>4637</v>
      </c>
      <c r="DU436" s="1" t="s">
        <v>4638</v>
      </c>
      <c r="GZ436" s="1" t="s">
        <v>4637</v>
      </c>
      <c r="HA436" s="1" t="s">
        <v>4638</v>
      </c>
      <c r="NM436" s="1" t="s">
        <v>441</v>
      </c>
      <c r="NN436" s="1">
        <v>4</v>
      </c>
      <c r="NS436" s="1">
        <v>5</v>
      </c>
      <c r="NT436" s="1">
        <v>5</v>
      </c>
      <c r="OA436" s="1">
        <v>5</v>
      </c>
      <c r="OB436" s="1">
        <v>5</v>
      </c>
      <c r="OC436" s="1">
        <v>5</v>
      </c>
      <c r="OD436" s="1">
        <v>5</v>
      </c>
      <c r="SB436" s="1" t="s">
        <v>733</v>
      </c>
      <c r="SC436" s="1" t="s">
        <v>4639</v>
      </c>
      <c r="SF436" s="1" t="s">
        <v>4640</v>
      </c>
      <c r="SG436" s="1" t="s">
        <v>4641</v>
      </c>
      <c r="SH436" s="1" t="s">
        <v>438</v>
      </c>
      <c r="SI436" s="1" t="s">
        <v>438</v>
      </c>
      <c r="SK436" s="1" t="s">
        <v>955</v>
      </c>
      <c r="SL436" s="1" t="s">
        <v>540</v>
      </c>
    </row>
    <row r="437" spans="1:509" ht="48" x14ac:dyDescent="0.2">
      <c r="A437" s="1" t="s">
        <v>4642</v>
      </c>
      <c r="B437" s="1">
        <v>10</v>
      </c>
      <c r="C437" s="1">
        <v>5</v>
      </c>
      <c r="D437" s="3">
        <v>46029.40997685185</v>
      </c>
      <c r="E437" s="1">
        <v>5109857</v>
      </c>
      <c r="F437" s="1" t="s">
        <v>428</v>
      </c>
      <c r="H437" s="1" t="s">
        <v>4643</v>
      </c>
      <c r="J437" s="1" t="s">
        <v>4644</v>
      </c>
      <c r="N437" s="1" t="s">
        <v>4618</v>
      </c>
      <c r="O437" s="1" t="s">
        <v>432</v>
      </c>
      <c r="R437" s="1" t="s">
        <v>4644</v>
      </c>
      <c r="S437" s="1" t="s">
        <v>4619</v>
      </c>
      <c r="AB437" s="3">
        <v>46029.559062499997</v>
      </c>
      <c r="AC437" s="3">
        <v>46029.534259259257</v>
      </c>
      <c r="AE437" s="1" t="s">
        <v>4645</v>
      </c>
      <c r="BB437" s="1" t="s">
        <v>4646</v>
      </c>
      <c r="CO437" s="1" t="s">
        <v>435</v>
      </c>
      <c r="CQ437" s="1" t="s">
        <v>432</v>
      </c>
      <c r="CR437" s="1" t="s">
        <v>691</v>
      </c>
      <c r="CS437" s="1" t="s">
        <v>691</v>
      </c>
      <c r="CT437" s="3">
        <v>46029.410208333335</v>
      </c>
      <c r="CU437" s="1" t="s">
        <v>436</v>
      </c>
      <c r="CV437" s="1" t="s">
        <v>512</v>
      </c>
      <c r="CY437" s="1" t="s">
        <v>438</v>
      </c>
      <c r="DP437" s="1" t="s">
        <v>4647</v>
      </c>
      <c r="GZ437" s="1" t="s">
        <v>4647</v>
      </c>
      <c r="NM437" s="1" t="s">
        <v>441</v>
      </c>
      <c r="NN437" s="1">
        <v>5</v>
      </c>
      <c r="NS437" s="1">
        <v>5</v>
      </c>
      <c r="NT437" s="1">
        <v>5</v>
      </c>
      <c r="OA437" s="1">
        <v>5</v>
      </c>
      <c r="OB437" s="1">
        <v>5</v>
      </c>
      <c r="OC437" s="1">
        <v>5</v>
      </c>
      <c r="OD437" s="1">
        <v>5</v>
      </c>
      <c r="SC437" s="1" t="s">
        <v>745</v>
      </c>
      <c r="SG437" s="1" t="s">
        <v>747</v>
      </c>
      <c r="SH437" s="1" t="s">
        <v>438</v>
      </c>
      <c r="SI437" s="1" t="s">
        <v>438</v>
      </c>
      <c r="SK437" s="1" t="s">
        <v>568</v>
      </c>
    </row>
    <row r="438" spans="1:509" ht="48" x14ac:dyDescent="0.2">
      <c r="A438" s="1" t="s">
        <v>4648</v>
      </c>
      <c r="B438" s="1">
        <v>10</v>
      </c>
      <c r="C438" s="1">
        <v>5</v>
      </c>
      <c r="D438" s="3">
        <v>46029.35765046296</v>
      </c>
      <c r="E438" s="1">
        <v>5109572</v>
      </c>
      <c r="F438" s="1" t="s">
        <v>428</v>
      </c>
      <c r="H438" s="1" t="s">
        <v>4649</v>
      </c>
      <c r="J438" s="1" t="s">
        <v>4650</v>
      </c>
      <c r="N438" s="1" t="s">
        <v>1528</v>
      </c>
      <c r="O438" s="1" t="s">
        <v>432</v>
      </c>
      <c r="R438" s="1" t="s">
        <v>4650</v>
      </c>
      <c r="S438" s="1" t="s">
        <v>1529</v>
      </c>
      <c r="AB438" s="3">
        <v>46029.740706018521</v>
      </c>
      <c r="AC438" s="3">
        <v>46028.638020833336</v>
      </c>
      <c r="AE438" s="1" t="s">
        <v>4651</v>
      </c>
      <c r="BB438" s="1" t="s">
        <v>4652</v>
      </c>
      <c r="CO438" s="1" t="s">
        <v>435</v>
      </c>
      <c r="CQ438" s="1" t="s">
        <v>432</v>
      </c>
      <c r="CR438" s="1" t="s">
        <v>1111</v>
      </c>
      <c r="CS438" s="1" t="s">
        <v>729</v>
      </c>
      <c r="CT438" s="3">
        <v>46029.357893518521</v>
      </c>
      <c r="CU438" s="1" t="s">
        <v>436</v>
      </c>
      <c r="CV438" s="1" t="s">
        <v>512</v>
      </c>
      <c r="CY438" s="1" t="s">
        <v>438</v>
      </c>
      <c r="DU438" s="1" t="s">
        <v>4653</v>
      </c>
      <c r="HA438" s="1" t="s">
        <v>4653</v>
      </c>
      <c r="NM438" s="1" t="s">
        <v>441</v>
      </c>
      <c r="NN438" s="1">
        <v>4</v>
      </c>
      <c r="NS438" s="1">
        <v>5</v>
      </c>
      <c r="NT438" s="1">
        <v>5</v>
      </c>
      <c r="OA438" s="1">
        <v>5</v>
      </c>
      <c r="OB438" s="1">
        <v>5</v>
      </c>
      <c r="OC438" s="1">
        <v>5</v>
      </c>
      <c r="OD438" s="1">
        <v>4</v>
      </c>
      <c r="SC438" s="1" t="s">
        <v>1958</v>
      </c>
      <c r="SG438" s="1" t="s">
        <v>2374</v>
      </c>
      <c r="SH438" s="1" t="s">
        <v>438</v>
      </c>
      <c r="SI438" s="1" t="s">
        <v>438</v>
      </c>
      <c r="SK438" s="1" t="s">
        <v>787</v>
      </c>
    </row>
    <row r="439" spans="1:509" ht="48" x14ac:dyDescent="0.2">
      <c r="A439" s="1" t="s">
        <v>4654</v>
      </c>
      <c r="B439" s="1">
        <v>10</v>
      </c>
      <c r="C439" s="1">
        <v>5</v>
      </c>
      <c r="D439" s="3">
        <v>46028.838842592595</v>
      </c>
      <c r="E439" s="1">
        <v>5108880</v>
      </c>
      <c r="F439" s="1" t="s">
        <v>428</v>
      </c>
      <c r="H439" s="1" t="s">
        <v>4655</v>
      </c>
      <c r="J439" s="1" t="s">
        <v>4656</v>
      </c>
      <c r="N439" s="1" t="s">
        <v>4657</v>
      </c>
      <c r="O439" s="1" t="s">
        <v>432</v>
      </c>
      <c r="R439" s="1" t="s">
        <v>4656</v>
      </c>
      <c r="S439" s="1" t="s">
        <v>4658</v>
      </c>
      <c r="AB439" s="3">
        <v>46029.434513888889</v>
      </c>
      <c r="AC439" s="3">
        <v>46022.536620370367</v>
      </c>
      <c r="AE439" s="1" t="s">
        <v>4659</v>
      </c>
      <c r="BB439" s="1" t="s">
        <v>4660</v>
      </c>
      <c r="CO439" s="1" t="s">
        <v>435</v>
      </c>
      <c r="CQ439" s="1" t="s">
        <v>432</v>
      </c>
      <c r="CR439" s="1" t="s">
        <v>691</v>
      </c>
      <c r="CS439" s="1" t="s">
        <v>691</v>
      </c>
      <c r="CT439" s="3">
        <v>46028.838726851849</v>
      </c>
      <c r="CU439" s="1" t="s">
        <v>436</v>
      </c>
      <c r="CV439" s="1" t="s">
        <v>512</v>
      </c>
      <c r="CY439" s="1" t="s">
        <v>438</v>
      </c>
      <c r="DP439" s="1" t="s">
        <v>4661</v>
      </c>
      <c r="GZ439" s="1" t="s">
        <v>4661</v>
      </c>
      <c r="NM439" s="1" t="s">
        <v>441</v>
      </c>
      <c r="NN439" s="1">
        <v>5</v>
      </c>
      <c r="NS439" s="1">
        <v>5</v>
      </c>
      <c r="NT439" s="1">
        <v>5</v>
      </c>
      <c r="OA439" s="1">
        <v>5</v>
      </c>
      <c r="OB439" s="1">
        <v>5</v>
      </c>
      <c r="OC439" s="1">
        <v>5</v>
      </c>
      <c r="OD439" s="1">
        <v>5</v>
      </c>
      <c r="SC439" s="1" t="s">
        <v>704</v>
      </c>
      <c r="SG439" s="1" t="s">
        <v>706</v>
      </c>
      <c r="SH439" s="1" t="s">
        <v>438</v>
      </c>
      <c r="SI439" s="1" t="s">
        <v>432</v>
      </c>
      <c r="SK439" s="1" t="s">
        <v>919</v>
      </c>
      <c r="SL439" s="1" t="s">
        <v>4662</v>
      </c>
    </row>
    <row r="440" spans="1:509" ht="32" x14ac:dyDescent="0.2">
      <c r="A440" s="1" t="s">
        <v>4663</v>
      </c>
      <c r="B440" s="1">
        <v>3</v>
      </c>
      <c r="C440" s="1">
        <v>2</v>
      </c>
      <c r="D440" s="3">
        <v>46028.784687500003</v>
      </c>
      <c r="E440" s="1">
        <v>5108627</v>
      </c>
      <c r="F440" s="1" t="s">
        <v>428</v>
      </c>
      <c r="H440" s="1" t="s">
        <v>4664</v>
      </c>
      <c r="J440" s="1" t="s">
        <v>4665</v>
      </c>
      <c r="N440" s="1" t="s">
        <v>2621</v>
      </c>
      <c r="O440" s="1" t="s">
        <v>432</v>
      </c>
      <c r="R440" s="1" t="s">
        <v>4665</v>
      </c>
      <c r="S440" s="1" t="s">
        <v>2622</v>
      </c>
      <c r="AB440" s="3">
        <v>46036.686689814815</v>
      </c>
      <c r="AC440" s="3">
        <v>46028.850335648145</v>
      </c>
      <c r="AE440" s="1" t="s">
        <v>4666</v>
      </c>
      <c r="BB440" s="1" t="s">
        <v>4667</v>
      </c>
      <c r="CO440" s="1" t="s">
        <v>435</v>
      </c>
      <c r="CQ440" s="1" t="s">
        <v>432</v>
      </c>
      <c r="CR440" s="1" t="s">
        <v>1111</v>
      </c>
      <c r="CS440" s="1" t="s">
        <v>729</v>
      </c>
      <c r="CT440" s="3">
        <v>46028.78396990741</v>
      </c>
      <c r="CU440" s="1" t="s">
        <v>1206</v>
      </c>
      <c r="CV440" s="1" t="s">
        <v>512</v>
      </c>
      <c r="CW440" s="3">
        <v>46036.686631944445</v>
      </c>
      <c r="CX440" s="1" t="s">
        <v>1057</v>
      </c>
      <c r="CY440" s="1" t="s">
        <v>438</v>
      </c>
      <c r="DP440" s="1" t="s">
        <v>4668</v>
      </c>
      <c r="DU440" s="1" t="s">
        <v>4669</v>
      </c>
      <c r="GZ440" s="1" t="s">
        <v>4668</v>
      </c>
      <c r="HA440" s="1" t="s">
        <v>4669</v>
      </c>
      <c r="NM440" s="1" t="s">
        <v>441</v>
      </c>
      <c r="NN440" s="1">
        <v>2</v>
      </c>
      <c r="NS440" s="1">
        <v>4</v>
      </c>
      <c r="NT440" s="1">
        <v>2</v>
      </c>
      <c r="OA440" s="1">
        <v>2</v>
      </c>
      <c r="OB440" s="1">
        <v>2</v>
      </c>
      <c r="OC440" s="1">
        <v>2</v>
      </c>
      <c r="OD440" s="1">
        <v>2</v>
      </c>
      <c r="SC440" s="1" t="s">
        <v>2651</v>
      </c>
      <c r="SG440" s="1" t="s">
        <v>4670</v>
      </c>
      <c r="SH440" s="1" t="s">
        <v>438</v>
      </c>
      <c r="SI440" s="1" t="s">
        <v>432</v>
      </c>
      <c r="SK440" s="1" t="s">
        <v>1126</v>
      </c>
    </row>
    <row r="441" spans="1:509" ht="64" x14ac:dyDescent="0.2">
      <c r="A441" s="1" t="s">
        <v>4671</v>
      </c>
      <c r="B441" s="1">
        <v>10</v>
      </c>
      <c r="C441" s="1">
        <v>5</v>
      </c>
      <c r="D441" s="3">
        <v>46028.558368055557</v>
      </c>
      <c r="E441" s="1">
        <v>5107771</v>
      </c>
      <c r="F441" s="1" t="s">
        <v>428</v>
      </c>
      <c r="H441" s="1" t="s">
        <v>4672</v>
      </c>
      <c r="J441" s="1" t="s">
        <v>4673</v>
      </c>
      <c r="N441" s="1" t="s">
        <v>724</v>
      </c>
      <c r="O441" s="1" t="s">
        <v>432</v>
      </c>
      <c r="R441" s="1" t="s">
        <v>4673</v>
      </c>
      <c r="S441" s="1" t="s">
        <v>725</v>
      </c>
      <c r="AB441" s="3">
        <v>46028.671666666669</v>
      </c>
      <c r="AC441" s="3">
        <v>46028.533807870372</v>
      </c>
      <c r="AE441" s="1" t="s">
        <v>4674</v>
      </c>
      <c r="BB441" s="1" t="s">
        <v>4675</v>
      </c>
      <c r="CO441" s="1" t="s">
        <v>435</v>
      </c>
      <c r="CQ441" s="1" t="s">
        <v>432</v>
      </c>
      <c r="CR441" s="1" t="s">
        <v>691</v>
      </c>
      <c r="CS441" s="1" t="s">
        <v>691</v>
      </c>
      <c r="CT441" s="3">
        <v>46028.556238425925</v>
      </c>
      <c r="CU441" s="1" t="s">
        <v>436</v>
      </c>
      <c r="CV441" s="1" t="s">
        <v>512</v>
      </c>
      <c r="CY441" s="1" t="s">
        <v>438</v>
      </c>
      <c r="DP441" s="1" t="s">
        <v>4676</v>
      </c>
      <c r="GZ441" s="1" t="s">
        <v>4676</v>
      </c>
      <c r="NM441" s="1" t="s">
        <v>441</v>
      </c>
      <c r="NN441" s="1">
        <v>5</v>
      </c>
      <c r="NS441" s="1">
        <v>5</v>
      </c>
      <c r="NT441" s="1">
        <v>5</v>
      </c>
      <c r="OA441" s="1">
        <v>5</v>
      </c>
      <c r="OB441" s="1">
        <v>5</v>
      </c>
      <c r="OC441" s="1">
        <v>5</v>
      </c>
      <c r="OD441" s="1">
        <v>5</v>
      </c>
      <c r="SB441" s="1" t="s">
        <v>1804</v>
      </c>
      <c r="SC441" s="1" t="s">
        <v>443</v>
      </c>
      <c r="SF441" s="1" t="s">
        <v>2058</v>
      </c>
      <c r="SG441" s="1" t="s">
        <v>444</v>
      </c>
      <c r="SH441" s="1" t="s">
        <v>438</v>
      </c>
      <c r="SI441" s="1" t="s">
        <v>432</v>
      </c>
      <c r="SK441" s="1" t="s">
        <v>445</v>
      </c>
      <c r="SL441" s="1" t="s">
        <v>1989</v>
      </c>
    </row>
    <row r="442" spans="1:509" ht="112" x14ac:dyDescent="0.2">
      <c r="A442" s="1" t="s">
        <v>4677</v>
      </c>
      <c r="B442" s="1">
        <v>7</v>
      </c>
      <c r="C442" s="1">
        <v>4</v>
      </c>
      <c r="D442" s="3">
        <v>46028.484976851854</v>
      </c>
      <c r="E442" s="1">
        <v>5107378</v>
      </c>
      <c r="F442" s="1" t="s">
        <v>428</v>
      </c>
      <c r="H442" s="1" t="s">
        <v>4678</v>
      </c>
      <c r="J442" s="1" t="s">
        <v>4679</v>
      </c>
      <c r="N442" s="1" t="s">
        <v>2658</v>
      </c>
      <c r="O442" s="1" t="s">
        <v>432</v>
      </c>
      <c r="R442" s="1" t="s">
        <v>4679</v>
      </c>
      <c r="S442" s="1" t="s">
        <v>2659</v>
      </c>
      <c r="AB442" s="3">
        <v>46028.64912037037</v>
      </c>
      <c r="AC442" s="3">
        <v>46028.533437500002</v>
      </c>
      <c r="AE442" s="1" t="s">
        <v>4680</v>
      </c>
      <c r="BB442" s="1" t="s">
        <v>4681</v>
      </c>
      <c r="CO442" s="1" t="s">
        <v>435</v>
      </c>
      <c r="CQ442" s="1" t="s">
        <v>432</v>
      </c>
      <c r="CR442" s="1" t="s">
        <v>511</v>
      </c>
      <c r="CS442" s="1" t="s">
        <v>511</v>
      </c>
      <c r="CT442" s="3">
        <v>46028.483738425923</v>
      </c>
      <c r="CU442" s="1" t="s">
        <v>524</v>
      </c>
      <c r="CV442" s="1" t="s">
        <v>512</v>
      </c>
      <c r="CY442" s="1" t="s">
        <v>438</v>
      </c>
      <c r="DP442" s="1" t="s">
        <v>4682</v>
      </c>
      <c r="DU442" s="1" t="s">
        <v>4683</v>
      </c>
      <c r="GZ442" s="1" t="s">
        <v>4682</v>
      </c>
      <c r="HA442" s="1" t="s">
        <v>4683</v>
      </c>
      <c r="NM442" s="1" t="s">
        <v>441</v>
      </c>
      <c r="NN442" s="1">
        <v>4</v>
      </c>
      <c r="NS442" s="1">
        <v>5</v>
      </c>
      <c r="NT442" s="1">
        <v>5</v>
      </c>
      <c r="OA442" s="1">
        <v>4</v>
      </c>
      <c r="OB442" s="1">
        <v>4</v>
      </c>
      <c r="OC442" s="1">
        <v>5</v>
      </c>
      <c r="OD442" s="1">
        <v>5</v>
      </c>
      <c r="SB442" s="1" t="s">
        <v>4684</v>
      </c>
      <c r="SC442" s="1" t="s">
        <v>4685</v>
      </c>
      <c r="SF442" s="1" t="s">
        <v>4686</v>
      </c>
      <c r="SG442" s="1" t="s">
        <v>4687</v>
      </c>
      <c r="SH442" s="1" t="s">
        <v>438</v>
      </c>
      <c r="SI442" s="1" t="s">
        <v>438</v>
      </c>
      <c r="SK442" s="1" t="s">
        <v>1546</v>
      </c>
      <c r="SL442" s="1" t="s">
        <v>1126</v>
      </c>
      <c r="SM442" s="1" t="s">
        <v>3663</v>
      </c>
      <c r="SN442" s="1" t="s">
        <v>799</v>
      </c>
      <c r="SO442" s="1" t="s">
        <v>619</v>
      </c>
    </row>
    <row r="443" spans="1:509" ht="160" x14ac:dyDescent="0.2">
      <c r="A443" s="1" t="s">
        <v>2555</v>
      </c>
      <c r="B443" s="1">
        <v>10</v>
      </c>
      <c r="C443" s="1">
        <v>5</v>
      </c>
      <c r="D443" s="3">
        <v>46028.455763888887</v>
      </c>
      <c r="E443" s="1">
        <v>5107244</v>
      </c>
      <c r="F443" s="1" t="s">
        <v>428</v>
      </c>
      <c r="H443" s="1" t="s">
        <v>2556</v>
      </c>
      <c r="J443" s="1" t="s">
        <v>2557</v>
      </c>
      <c r="N443" s="1" t="s">
        <v>724</v>
      </c>
      <c r="O443" s="1" t="s">
        <v>432</v>
      </c>
      <c r="R443" s="1" t="s">
        <v>2557</v>
      </c>
      <c r="S443" s="1" t="s">
        <v>725</v>
      </c>
      <c r="AB443" s="3">
        <v>46028.627685185187</v>
      </c>
      <c r="AC443" s="3">
        <v>46027.637314814812</v>
      </c>
      <c r="AE443" s="1" t="s">
        <v>4688</v>
      </c>
      <c r="BB443" s="1" t="s">
        <v>2562</v>
      </c>
      <c r="CO443" s="1" t="s">
        <v>435</v>
      </c>
      <c r="CQ443" s="1" t="s">
        <v>432</v>
      </c>
      <c r="CR443" s="1" t="s">
        <v>511</v>
      </c>
      <c r="CS443" s="1" t="s">
        <v>511</v>
      </c>
      <c r="CT443" s="3">
        <v>46028.452939814815</v>
      </c>
      <c r="CU443" s="1" t="s">
        <v>436</v>
      </c>
      <c r="CV443" s="1" t="s">
        <v>512</v>
      </c>
      <c r="CY443" s="1" t="s">
        <v>438</v>
      </c>
      <c r="DP443" s="1" t="s">
        <v>4689</v>
      </c>
      <c r="DU443" s="1" t="s">
        <v>4690</v>
      </c>
      <c r="GZ443" s="1" t="s">
        <v>4689</v>
      </c>
      <c r="HA443" s="1" t="s">
        <v>4690</v>
      </c>
      <c r="NM443" s="1" t="s">
        <v>441</v>
      </c>
      <c r="NN443" s="1">
        <v>5</v>
      </c>
      <c r="NS443" s="1">
        <v>5</v>
      </c>
      <c r="NT443" s="1">
        <v>5</v>
      </c>
      <c r="OA443" s="1">
        <v>5</v>
      </c>
      <c r="OB443" s="1">
        <v>5</v>
      </c>
      <c r="OC443" s="1">
        <v>5</v>
      </c>
      <c r="OD443" s="1">
        <v>5</v>
      </c>
      <c r="SB443" s="1" t="s">
        <v>4691</v>
      </c>
      <c r="SC443" s="1" t="s">
        <v>4692</v>
      </c>
      <c r="SE443" s="1" t="s">
        <v>633</v>
      </c>
      <c r="SF443" s="1" t="s">
        <v>4693</v>
      </c>
      <c r="SG443" s="1" t="s">
        <v>4694</v>
      </c>
      <c r="SH443" s="1" t="s">
        <v>438</v>
      </c>
      <c r="SI443" s="1" t="s">
        <v>438</v>
      </c>
      <c r="SK443" s="1" t="s">
        <v>445</v>
      </c>
      <c r="SL443" s="1" t="s">
        <v>919</v>
      </c>
      <c r="SM443" s="1" t="s">
        <v>1807</v>
      </c>
      <c r="SN443" s="1" t="s">
        <v>4695</v>
      </c>
    </row>
    <row r="444" spans="1:509" ht="48" x14ac:dyDescent="0.2">
      <c r="A444" s="1" t="s">
        <v>4696</v>
      </c>
      <c r="B444" s="1">
        <v>10</v>
      </c>
      <c r="C444" s="1">
        <v>5</v>
      </c>
      <c r="D444" s="3">
        <v>46028.420324074075</v>
      </c>
      <c r="E444" s="1">
        <v>5107061</v>
      </c>
      <c r="F444" s="1" t="s">
        <v>428</v>
      </c>
      <c r="H444" s="1" t="s">
        <v>4697</v>
      </c>
      <c r="J444" s="1" t="s">
        <v>4698</v>
      </c>
      <c r="N444" s="1" t="s">
        <v>724</v>
      </c>
      <c r="O444" s="1" t="s">
        <v>432</v>
      </c>
      <c r="R444" s="1" t="s">
        <v>4698</v>
      </c>
      <c r="S444" s="1" t="s">
        <v>725</v>
      </c>
      <c r="AB444" s="3">
        <v>46028.646770833337</v>
      </c>
      <c r="AC444" s="3">
        <v>46028.534479166665</v>
      </c>
      <c r="AE444" s="1" t="s">
        <v>4699</v>
      </c>
      <c r="BB444" s="1" t="s">
        <v>4700</v>
      </c>
      <c r="CO444" s="1" t="s">
        <v>435</v>
      </c>
      <c r="CQ444" s="1" t="s">
        <v>432</v>
      </c>
      <c r="CR444" s="1" t="s">
        <v>511</v>
      </c>
      <c r="CS444" s="1" t="s">
        <v>511</v>
      </c>
      <c r="CT444" s="3">
        <v>46028.419027777774</v>
      </c>
      <c r="CU444" s="1" t="s">
        <v>436</v>
      </c>
      <c r="CV444" s="1" t="s">
        <v>512</v>
      </c>
      <c r="CY444" s="1" t="s">
        <v>438</v>
      </c>
      <c r="DP444" s="1" t="s">
        <v>4701</v>
      </c>
      <c r="DU444" s="1" t="s">
        <v>4702</v>
      </c>
      <c r="GZ444" s="1" t="s">
        <v>4701</v>
      </c>
      <c r="HA444" s="1" t="s">
        <v>4702</v>
      </c>
      <c r="NM444" s="1" t="s">
        <v>441</v>
      </c>
      <c r="NN444" s="1">
        <v>3</v>
      </c>
      <c r="NS444" s="1">
        <v>2</v>
      </c>
      <c r="NT444" s="1">
        <v>5</v>
      </c>
      <c r="OA444" s="1">
        <v>5</v>
      </c>
      <c r="OB444" s="1">
        <v>5</v>
      </c>
      <c r="OC444" s="1">
        <v>5</v>
      </c>
      <c r="OD444" s="1">
        <v>5</v>
      </c>
      <c r="SC444" s="1" t="s">
        <v>2651</v>
      </c>
      <c r="SG444" s="1" t="s">
        <v>3393</v>
      </c>
      <c r="SH444" s="1" t="s">
        <v>438</v>
      </c>
      <c r="SI444" s="1" t="s">
        <v>438</v>
      </c>
      <c r="SK444" s="1" t="s">
        <v>2947</v>
      </c>
    </row>
    <row r="445" spans="1:509" ht="48" x14ac:dyDescent="0.2">
      <c r="A445" s="1" t="s">
        <v>4703</v>
      </c>
      <c r="B445" s="1">
        <v>10</v>
      </c>
      <c r="C445" s="1">
        <v>5</v>
      </c>
      <c r="D445" s="3">
        <v>46028.399629629632</v>
      </c>
      <c r="E445" s="1">
        <v>5106888</v>
      </c>
      <c r="F445" s="1" t="s">
        <v>428</v>
      </c>
      <c r="H445" s="1" t="s">
        <v>4704</v>
      </c>
      <c r="J445" s="1" t="s">
        <v>4705</v>
      </c>
      <c r="N445" s="1" t="s">
        <v>4618</v>
      </c>
      <c r="O445" s="1" t="s">
        <v>432</v>
      </c>
      <c r="R445" s="1" t="s">
        <v>4705</v>
      </c>
      <c r="S445" s="1" t="s">
        <v>4619</v>
      </c>
      <c r="AB445" s="3">
        <v>46028.669583333336</v>
      </c>
      <c r="AC445" s="3">
        <v>46017.54896990741</v>
      </c>
      <c r="AE445" s="1" t="s">
        <v>4706</v>
      </c>
      <c r="BB445" s="1" t="s">
        <v>4707</v>
      </c>
      <c r="CO445" s="1" t="s">
        <v>435</v>
      </c>
      <c r="CQ445" s="1" t="s">
        <v>432</v>
      </c>
      <c r="CR445" s="1" t="s">
        <v>1227</v>
      </c>
      <c r="CS445" s="1" t="s">
        <v>1227</v>
      </c>
      <c r="CT445" s="3">
        <v>46028.397337962961</v>
      </c>
      <c r="CU445" s="1" t="s">
        <v>436</v>
      </c>
      <c r="CV445" s="1" t="s">
        <v>512</v>
      </c>
      <c r="CY445" s="1" t="s">
        <v>438</v>
      </c>
      <c r="DP445" s="1" t="s">
        <v>4708</v>
      </c>
      <c r="DU445" s="1" t="s">
        <v>4709</v>
      </c>
      <c r="GZ445" s="1" t="s">
        <v>4708</v>
      </c>
      <c r="HA445" s="1" t="s">
        <v>4709</v>
      </c>
      <c r="NM445" s="1" t="s">
        <v>441</v>
      </c>
      <c r="NN445" s="1">
        <v>5</v>
      </c>
      <c r="NS445" s="1">
        <v>5</v>
      </c>
      <c r="NT445" s="1">
        <v>5</v>
      </c>
      <c r="OA445" s="1">
        <v>5</v>
      </c>
      <c r="OB445" s="1">
        <v>5</v>
      </c>
      <c r="OC445" s="1">
        <v>5</v>
      </c>
      <c r="OD445" s="1">
        <v>5</v>
      </c>
      <c r="SB445" s="1" t="s">
        <v>4710</v>
      </c>
      <c r="SC445" s="1" t="s">
        <v>4711</v>
      </c>
      <c r="SE445" s="1" t="s">
        <v>484</v>
      </c>
      <c r="SF445" s="1" t="s">
        <v>4712</v>
      </c>
      <c r="SG445" s="1" t="s">
        <v>4713</v>
      </c>
      <c r="SH445" s="1" t="s">
        <v>438</v>
      </c>
      <c r="SI445" s="1" t="s">
        <v>438</v>
      </c>
      <c r="SK445" s="1" t="s">
        <v>445</v>
      </c>
      <c r="SL445" s="1" t="s">
        <v>486</v>
      </c>
    </row>
    <row r="446" spans="1:509" ht="48" x14ac:dyDescent="0.2">
      <c r="A446" s="1" t="s">
        <v>4714</v>
      </c>
      <c r="B446" s="1">
        <v>10</v>
      </c>
      <c r="C446" s="1">
        <v>5</v>
      </c>
      <c r="D446" s="3">
        <v>46027.671099537038</v>
      </c>
      <c r="E446" s="1">
        <v>5105305</v>
      </c>
      <c r="F446" s="1" t="s">
        <v>428</v>
      </c>
      <c r="H446" s="1" t="s">
        <v>4715</v>
      </c>
      <c r="J446" s="1" t="s">
        <v>4716</v>
      </c>
      <c r="N446" s="1" t="s">
        <v>724</v>
      </c>
      <c r="O446" s="1" t="s">
        <v>432</v>
      </c>
      <c r="R446" s="1" t="s">
        <v>4716</v>
      </c>
      <c r="S446" s="1" t="s">
        <v>725</v>
      </c>
      <c r="AB446" s="3">
        <v>46028.423298611109</v>
      </c>
      <c r="AC446" s="3">
        <v>46027.544930555552</v>
      </c>
      <c r="AE446" s="1" t="s">
        <v>4717</v>
      </c>
      <c r="BB446" s="1" t="s">
        <v>4718</v>
      </c>
      <c r="CO446" s="1" t="s">
        <v>435</v>
      </c>
      <c r="CQ446" s="1" t="s">
        <v>432</v>
      </c>
      <c r="CR446" s="1" t="s">
        <v>511</v>
      </c>
      <c r="CS446" s="1" t="s">
        <v>511</v>
      </c>
      <c r="CT446" s="3">
        <v>46027.670578703706</v>
      </c>
      <c r="CU446" s="1" t="s">
        <v>436</v>
      </c>
      <c r="CV446" s="1" t="s">
        <v>512</v>
      </c>
      <c r="CY446" s="1" t="s">
        <v>438</v>
      </c>
      <c r="DP446" s="1" t="s">
        <v>4719</v>
      </c>
      <c r="DU446" s="1" t="s">
        <v>2189</v>
      </c>
      <c r="GZ446" s="1" t="s">
        <v>4719</v>
      </c>
      <c r="HA446" s="1" t="s">
        <v>2189</v>
      </c>
      <c r="NM446" s="1" t="s">
        <v>441</v>
      </c>
      <c r="NN446" s="1">
        <v>5</v>
      </c>
      <c r="NS446" s="1">
        <v>5</v>
      </c>
      <c r="NT446" s="1">
        <v>5</v>
      </c>
      <c r="OA446" s="1">
        <v>5</v>
      </c>
      <c r="OB446" s="1" t="s">
        <v>442</v>
      </c>
      <c r="OC446" s="1">
        <v>5</v>
      </c>
      <c r="OD446" s="1">
        <v>5</v>
      </c>
      <c r="SB446" s="1" t="s">
        <v>443</v>
      </c>
      <c r="SC446" s="1" t="s">
        <v>1345</v>
      </c>
      <c r="SF446" s="1" t="s">
        <v>579</v>
      </c>
      <c r="SG446" s="1" t="s">
        <v>1347</v>
      </c>
      <c r="SH446" s="1" t="s">
        <v>438</v>
      </c>
      <c r="SI446" s="1" t="s">
        <v>438</v>
      </c>
      <c r="SK446" s="1" t="s">
        <v>500</v>
      </c>
    </row>
    <row r="447" spans="1:509" ht="32" x14ac:dyDescent="0.2">
      <c r="A447" s="1" t="s">
        <v>4720</v>
      </c>
      <c r="B447" s="1">
        <v>10</v>
      </c>
      <c r="C447" s="1">
        <v>5</v>
      </c>
      <c r="D447" s="3">
        <v>46027.596678240741</v>
      </c>
      <c r="E447" s="1">
        <v>5105048</v>
      </c>
      <c r="F447" s="1" t="s">
        <v>428</v>
      </c>
      <c r="H447" s="1" t="s">
        <v>4721</v>
      </c>
      <c r="J447" s="1" t="s">
        <v>4722</v>
      </c>
      <c r="N447" s="1" t="s">
        <v>724</v>
      </c>
      <c r="O447" s="1" t="s">
        <v>432</v>
      </c>
      <c r="R447" s="1" t="s">
        <v>4722</v>
      </c>
      <c r="S447" s="1" t="s">
        <v>725</v>
      </c>
      <c r="AB447" s="3">
        <v>46028.397233796299</v>
      </c>
      <c r="AC447" s="3">
        <v>46027.637372685182</v>
      </c>
      <c r="AE447" s="1" t="s">
        <v>4723</v>
      </c>
      <c r="BB447" s="1" t="s">
        <v>4724</v>
      </c>
      <c r="CO447" s="1" t="s">
        <v>435</v>
      </c>
      <c r="CQ447" s="1" t="s">
        <v>432</v>
      </c>
      <c r="CR447" s="1" t="s">
        <v>511</v>
      </c>
      <c r="CS447" s="1" t="s">
        <v>511</v>
      </c>
      <c r="CT447" s="3">
        <v>46027.597418981481</v>
      </c>
      <c r="CU447" s="1" t="s">
        <v>436</v>
      </c>
      <c r="CV447" s="1" t="s">
        <v>512</v>
      </c>
      <c r="CY447" s="1" t="s">
        <v>438</v>
      </c>
      <c r="DP447" s="1" t="s">
        <v>4725</v>
      </c>
      <c r="GZ447" s="1" t="s">
        <v>4725</v>
      </c>
      <c r="NM447" s="1" t="s">
        <v>441</v>
      </c>
      <c r="NN447" s="1">
        <v>5</v>
      </c>
      <c r="NS447" s="1">
        <v>5</v>
      </c>
      <c r="NT447" s="1">
        <v>5</v>
      </c>
      <c r="OA447" s="1">
        <v>5</v>
      </c>
      <c r="OB447" s="1">
        <v>4</v>
      </c>
      <c r="OC447" s="1">
        <v>5</v>
      </c>
      <c r="OD447" s="1">
        <v>5</v>
      </c>
      <c r="SB447" s="1" t="s">
        <v>443</v>
      </c>
      <c r="SC447" s="1" t="s">
        <v>443</v>
      </c>
      <c r="SF447" s="1" t="s">
        <v>444</v>
      </c>
      <c r="SG447" s="1" t="s">
        <v>444</v>
      </c>
      <c r="SH447" s="1" t="s">
        <v>432</v>
      </c>
      <c r="SI447" s="1" t="s">
        <v>432</v>
      </c>
      <c r="SK447" s="1" t="s">
        <v>1265</v>
      </c>
      <c r="SL447" s="1" t="s">
        <v>760</v>
      </c>
    </row>
    <row r="448" spans="1:509" ht="32" x14ac:dyDescent="0.2">
      <c r="A448" s="1" t="s">
        <v>4726</v>
      </c>
      <c r="B448" s="1">
        <v>10</v>
      </c>
      <c r="C448" s="1">
        <v>4</v>
      </c>
      <c r="D448" s="3">
        <v>46027.572743055556</v>
      </c>
      <c r="E448" s="1">
        <v>5104963</v>
      </c>
      <c r="F448" s="1" t="s">
        <v>428</v>
      </c>
      <c r="H448" s="1" t="s">
        <v>4727</v>
      </c>
      <c r="J448" s="1" t="s">
        <v>4728</v>
      </c>
      <c r="N448" s="1" t="s">
        <v>609</v>
      </c>
      <c r="O448" s="1" t="s">
        <v>432</v>
      </c>
      <c r="R448" s="1" t="s">
        <v>4728</v>
      </c>
      <c r="S448" s="1" t="s">
        <v>610</v>
      </c>
      <c r="AB448" s="3">
        <v>46028.391886574071</v>
      </c>
      <c r="AC448" s="3">
        <v>46027.593194444446</v>
      </c>
      <c r="AE448" s="1" t="s">
        <v>4729</v>
      </c>
      <c r="BB448" s="1" t="s">
        <v>4730</v>
      </c>
      <c r="CO448" s="1" t="s">
        <v>435</v>
      </c>
      <c r="CQ448" s="1" t="s">
        <v>432</v>
      </c>
      <c r="CR448" s="1" t="s">
        <v>511</v>
      </c>
      <c r="CS448" s="1" t="s">
        <v>511</v>
      </c>
      <c r="CT448" s="3">
        <v>46027.57236111111</v>
      </c>
      <c r="CU448" s="1" t="s">
        <v>436</v>
      </c>
      <c r="CV448" s="1" t="s">
        <v>512</v>
      </c>
      <c r="CY448" s="1" t="s">
        <v>438</v>
      </c>
      <c r="DU448" s="1" t="s">
        <v>4731</v>
      </c>
      <c r="HA448" s="1" t="s">
        <v>4731</v>
      </c>
      <c r="NM448" s="1" t="s">
        <v>441</v>
      </c>
      <c r="NN448" s="1">
        <v>3</v>
      </c>
      <c r="NS448" s="1">
        <v>5</v>
      </c>
      <c r="NT448" s="1">
        <v>5</v>
      </c>
      <c r="OA448" s="1">
        <v>4</v>
      </c>
      <c r="OB448" s="1">
        <v>4</v>
      </c>
      <c r="OC448" s="1">
        <v>5</v>
      </c>
      <c r="OD448" s="1">
        <v>4</v>
      </c>
      <c r="SB448" s="1" t="s">
        <v>443</v>
      </c>
      <c r="SC448" s="1" t="s">
        <v>773</v>
      </c>
      <c r="SF448" s="1" t="s">
        <v>579</v>
      </c>
      <c r="SG448" s="1" t="s">
        <v>4732</v>
      </c>
      <c r="SH448" s="1" t="s">
        <v>438</v>
      </c>
      <c r="SI448" s="1" t="s">
        <v>438</v>
      </c>
      <c r="SK448" s="1" t="s">
        <v>540</v>
      </c>
    </row>
    <row r="449" spans="1:506" ht="48" x14ac:dyDescent="0.2">
      <c r="A449" s="1" t="s">
        <v>4733</v>
      </c>
      <c r="B449" s="1">
        <v>10</v>
      </c>
      <c r="C449" s="1">
        <v>5</v>
      </c>
      <c r="D449" s="3">
        <v>46026.829756944448</v>
      </c>
      <c r="E449" s="1">
        <v>5103118</v>
      </c>
      <c r="F449" s="1" t="s">
        <v>428</v>
      </c>
      <c r="H449" s="1" t="s">
        <v>4734</v>
      </c>
      <c r="J449" s="1" t="s">
        <v>4735</v>
      </c>
      <c r="N449" s="1" t="s">
        <v>4618</v>
      </c>
      <c r="O449" s="1" t="s">
        <v>432</v>
      </c>
      <c r="R449" s="1" t="s">
        <v>4735</v>
      </c>
      <c r="S449" s="1" t="s">
        <v>4619</v>
      </c>
      <c r="AB449" s="3">
        <v>46027.411365740743</v>
      </c>
      <c r="AC449" s="3">
        <v>46022.538043981483</v>
      </c>
      <c r="AE449" s="1" t="s">
        <v>4736</v>
      </c>
      <c r="BB449" s="1" t="s">
        <v>4737</v>
      </c>
      <c r="CO449" s="1" t="s">
        <v>435</v>
      </c>
      <c r="CQ449" s="1" t="s">
        <v>432</v>
      </c>
      <c r="CR449" s="1" t="s">
        <v>691</v>
      </c>
      <c r="CS449" s="1" t="s">
        <v>691</v>
      </c>
      <c r="CT449" s="3">
        <v>46026.828958333332</v>
      </c>
      <c r="CU449" s="1" t="s">
        <v>436</v>
      </c>
      <c r="CV449" s="1" t="s">
        <v>512</v>
      </c>
      <c r="CY449" s="1" t="s">
        <v>438</v>
      </c>
      <c r="DP449" s="1" t="s">
        <v>4738</v>
      </c>
      <c r="DU449" s="1" t="s">
        <v>682</v>
      </c>
      <c r="GZ449" s="1" t="s">
        <v>4738</v>
      </c>
      <c r="HA449" s="1" t="s">
        <v>682</v>
      </c>
      <c r="NM449" s="1" t="s">
        <v>441</v>
      </c>
      <c r="NN449" s="1">
        <v>5</v>
      </c>
      <c r="NS449" s="1">
        <v>5</v>
      </c>
      <c r="NT449" s="1">
        <v>5</v>
      </c>
      <c r="OA449" s="1">
        <v>5</v>
      </c>
      <c r="OB449" s="1">
        <v>5</v>
      </c>
      <c r="OC449" s="1">
        <v>5</v>
      </c>
      <c r="OD449" s="1">
        <v>5</v>
      </c>
      <c r="SC449" s="1" t="s">
        <v>4739</v>
      </c>
      <c r="SG449" s="1" t="s">
        <v>4740</v>
      </c>
      <c r="SH449" s="1" t="s">
        <v>438</v>
      </c>
      <c r="SI449" s="1" t="s">
        <v>432</v>
      </c>
      <c r="SK449" s="1" t="s">
        <v>568</v>
      </c>
    </row>
    <row r="450" spans="1:506" ht="32" x14ac:dyDescent="0.2">
      <c r="A450" s="1" t="s">
        <v>4741</v>
      </c>
      <c r="B450" s="1">
        <v>10</v>
      </c>
      <c r="C450" s="1">
        <v>5</v>
      </c>
      <c r="D450" s="3">
        <v>46025.499745370369</v>
      </c>
      <c r="E450" s="1">
        <v>5100981</v>
      </c>
      <c r="F450" s="1" t="s">
        <v>428</v>
      </c>
      <c r="H450" s="1" t="s">
        <v>4742</v>
      </c>
      <c r="J450" s="1" t="s">
        <v>4743</v>
      </c>
      <c r="N450" s="1" t="s">
        <v>4744</v>
      </c>
      <c r="O450" s="1" t="s">
        <v>432</v>
      </c>
      <c r="R450" s="1" t="s">
        <v>4743</v>
      </c>
      <c r="S450" s="1" t="s">
        <v>4745</v>
      </c>
      <c r="AB450" s="3">
        <v>46027.370312500003</v>
      </c>
      <c r="AC450" s="3">
        <v>46024.594884259262</v>
      </c>
      <c r="AE450" s="1" t="s">
        <v>4746</v>
      </c>
      <c r="BB450" s="1" t="s">
        <v>4747</v>
      </c>
      <c r="CO450" s="1" t="s">
        <v>435</v>
      </c>
      <c r="CQ450" s="1" t="s">
        <v>432</v>
      </c>
      <c r="CR450" s="1" t="s">
        <v>549</v>
      </c>
      <c r="CS450" s="1" t="s">
        <v>549</v>
      </c>
      <c r="CT450" s="3">
        <v>46025.499108796299</v>
      </c>
      <c r="CU450" s="1" t="s">
        <v>436</v>
      </c>
      <c r="CV450" s="1" t="s">
        <v>512</v>
      </c>
      <c r="CY450" s="1" t="s">
        <v>438</v>
      </c>
      <c r="DP450" s="1" t="s">
        <v>4748</v>
      </c>
      <c r="GZ450" s="1" t="s">
        <v>4748</v>
      </c>
      <c r="NM450" s="1" t="s">
        <v>441</v>
      </c>
      <c r="NN450" s="1">
        <v>4</v>
      </c>
      <c r="NS450" s="1">
        <v>5</v>
      </c>
      <c r="NT450" s="1">
        <v>5</v>
      </c>
      <c r="OA450" s="1">
        <v>5</v>
      </c>
      <c r="OB450" s="1">
        <v>5</v>
      </c>
      <c r="OC450" s="1">
        <v>5</v>
      </c>
      <c r="OD450" s="1">
        <v>5</v>
      </c>
      <c r="SB450" s="1" t="s">
        <v>443</v>
      </c>
      <c r="SC450" s="1" t="s">
        <v>443</v>
      </c>
      <c r="SF450" s="1" t="s">
        <v>444</v>
      </c>
      <c r="SG450" s="1" t="s">
        <v>444</v>
      </c>
      <c r="SH450" s="1" t="s">
        <v>432</v>
      </c>
      <c r="SI450" s="1" t="s">
        <v>432</v>
      </c>
      <c r="SK450" s="1" t="s">
        <v>445</v>
      </c>
    </row>
    <row r="451" spans="1:506" ht="48" x14ac:dyDescent="0.2">
      <c r="A451" s="1" t="s">
        <v>4749</v>
      </c>
      <c r="B451" s="1">
        <v>10</v>
      </c>
      <c r="C451" s="1">
        <v>5</v>
      </c>
      <c r="D451" s="3">
        <v>46024.654467592591</v>
      </c>
      <c r="E451" s="1">
        <v>5100288</v>
      </c>
      <c r="F451" s="1" t="s">
        <v>428</v>
      </c>
      <c r="H451" s="1" t="s">
        <v>4750</v>
      </c>
      <c r="J451" s="1" t="s">
        <v>4751</v>
      </c>
      <c r="N451" s="1" t="s">
        <v>3216</v>
      </c>
      <c r="O451" s="1" t="s">
        <v>432</v>
      </c>
      <c r="R451" s="1" t="s">
        <v>4751</v>
      </c>
      <c r="S451" s="1" t="s">
        <v>3217</v>
      </c>
      <c r="AB451" s="3">
        <v>46027.368287037039</v>
      </c>
      <c r="AC451" s="3">
        <v>46024.677569444444</v>
      </c>
      <c r="AE451" s="1" t="s">
        <v>4752</v>
      </c>
      <c r="BB451" s="1" t="s">
        <v>4753</v>
      </c>
      <c r="CO451" s="1" t="s">
        <v>435</v>
      </c>
      <c r="CQ451" s="1" t="s">
        <v>432</v>
      </c>
      <c r="CR451" s="1" t="s">
        <v>511</v>
      </c>
      <c r="CS451" s="1" t="s">
        <v>511</v>
      </c>
      <c r="CT451" s="3">
        <v>46024.65384259259</v>
      </c>
      <c r="CU451" s="1" t="s">
        <v>436</v>
      </c>
      <c r="CV451" s="1" t="s">
        <v>512</v>
      </c>
      <c r="CY451" s="1" t="s">
        <v>438</v>
      </c>
      <c r="DP451" s="1" t="s">
        <v>4754</v>
      </c>
      <c r="DU451" s="1" t="s">
        <v>4755</v>
      </c>
      <c r="GZ451" s="1" t="s">
        <v>4754</v>
      </c>
      <c r="HA451" s="1" t="s">
        <v>4755</v>
      </c>
      <c r="NM451" s="1" t="s">
        <v>441</v>
      </c>
      <c r="NN451" s="1">
        <v>5</v>
      </c>
      <c r="NS451" s="1">
        <v>5</v>
      </c>
      <c r="NT451" s="1">
        <v>5</v>
      </c>
      <c r="OA451" s="1">
        <v>5</v>
      </c>
      <c r="OB451" s="1">
        <v>5</v>
      </c>
      <c r="OC451" s="1">
        <v>5</v>
      </c>
      <c r="OD451" s="1">
        <v>5</v>
      </c>
      <c r="SB451" s="1" t="s">
        <v>443</v>
      </c>
      <c r="SC451" s="1" t="s">
        <v>537</v>
      </c>
      <c r="SF451" s="1" t="s">
        <v>444</v>
      </c>
      <c r="SG451" s="1" t="s">
        <v>4756</v>
      </c>
      <c r="SH451" s="1" t="s">
        <v>438</v>
      </c>
      <c r="SI451" s="1" t="s">
        <v>432</v>
      </c>
      <c r="SK451" s="1" t="s">
        <v>760</v>
      </c>
      <c r="SL451" s="1" t="s">
        <v>1166</v>
      </c>
    </row>
  </sheetData>
  <autoFilter ref="A1:SN453"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7156B-1B97-4389-AEC8-4F14A6F37957}">
  <dimension ref="A2:B50"/>
  <sheetViews>
    <sheetView workbookViewId="0">
      <selection activeCell="A9" sqref="A9:XFD9"/>
    </sheetView>
  </sheetViews>
  <sheetFormatPr baseColWidth="10" defaultColWidth="8.83203125" defaultRowHeight="15" x14ac:dyDescent="0.2"/>
  <cols>
    <col min="1" max="1" width="89.5" bestFit="1" customWidth="1"/>
    <col min="2" max="2" width="17.1640625" bestFit="1" customWidth="1"/>
  </cols>
  <sheetData>
    <row r="2" spans="1:2" x14ac:dyDescent="0.2">
      <c r="A2" s="6" t="s">
        <v>421</v>
      </c>
      <c r="B2" t="s">
        <v>4757</v>
      </c>
    </row>
    <row r="3" spans="1:2" x14ac:dyDescent="0.2">
      <c r="A3" t="s">
        <v>1047</v>
      </c>
      <c r="B3">
        <v>5</v>
      </c>
    </row>
    <row r="4" spans="1:2" x14ac:dyDescent="0.2">
      <c r="A4" t="s">
        <v>749</v>
      </c>
      <c r="B4">
        <v>1</v>
      </c>
    </row>
    <row r="5" spans="1:2" x14ac:dyDescent="0.2">
      <c r="A5" t="s">
        <v>854</v>
      </c>
      <c r="B5">
        <v>5</v>
      </c>
    </row>
    <row r="6" spans="1:2" x14ac:dyDescent="0.2">
      <c r="A6" t="s">
        <v>955</v>
      </c>
      <c r="B6">
        <v>11</v>
      </c>
    </row>
    <row r="7" spans="1:2" x14ac:dyDescent="0.2">
      <c r="A7" t="s">
        <v>2790</v>
      </c>
      <c r="B7">
        <v>2</v>
      </c>
    </row>
    <row r="8" spans="1:2" x14ac:dyDescent="0.2">
      <c r="A8" t="s">
        <v>866</v>
      </c>
      <c r="B8">
        <v>3</v>
      </c>
    </row>
    <row r="9" spans="1:2" x14ac:dyDescent="0.2">
      <c r="A9" t="s">
        <v>2947</v>
      </c>
      <c r="B9">
        <v>4</v>
      </c>
    </row>
    <row r="10" spans="1:2" x14ac:dyDescent="0.2">
      <c r="A10" t="s">
        <v>1166</v>
      </c>
      <c r="B10">
        <v>7</v>
      </c>
    </row>
    <row r="11" spans="1:2" x14ac:dyDescent="0.2">
      <c r="A11" t="s">
        <v>760</v>
      </c>
      <c r="B11">
        <v>24</v>
      </c>
    </row>
    <row r="12" spans="1:2" x14ac:dyDescent="0.2">
      <c r="A12" t="s">
        <v>1561</v>
      </c>
      <c r="B12">
        <v>3</v>
      </c>
    </row>
    <row r="13" spans="1:2" x14ac:dyDescent="0.2">
      <c r="A13" t="s">
        <v>3112</v>
      </c>
      <c r="B13">
        <v>3</v>
      </c>
    </row>
    <row r="14" spans="1:2" x14ac:dyDescent="0.2">
      <c r="A14" t="s">
        <v>919</v>
      </c>
      <c r="B14">
        <v>8</v>
      </c>
    </row>
    <row r="15" spans="1:2" x14ac:dyDescent="0.2">
      <c r="A15" t="s">
        <v>500</v>
      </c>
      <c r="B15">
        <v>12</v>
      </c>
    </row>
    <row r="16" spans="1:2" x14ac:dyDescent="0.2">
      <c r="A16" t="s">
        <v>3663</v>
      </c>
      <c r="B16">
        <v>1</v>
      </c>
    </row>
    <row r="17" spans="1:2" x14ac:dyDescent="0.2">
      <c r="A17" t="s">
        <v>799</v>
      </c>
      <c r="B17">
        <v>1</v>
      </c>
    </row>
    <row r="18" spans="1:2" x14ac:dyDescent="0.2">
      <c r="A18" t="s">
        <v>486</v>
      </c>
      <c r="B18">
        <v>25</v>
      </c>
    </row>
    <row r="19" spans="1:2" x14ac:dyDescent="0.2">
      <c r="A19" t="s">
        <v>1372</v>
      </c>
      <c r="B19">
        <v>4</v>
      </c>
    </row>
    <row r="20" spans="1:2" x14ac:dyDescent="0.2">
      <c r="A20" t="s">
        <v>672</v>
      </c>
      <c r="B20">
        <v>15</v>
      </c>
    </row>
    <row r="21" spans="1:2" x14ac:dyDescent="0.2">
      <c r="A21" t="s">
        <v>458</v>
      </c>
      <c r="B21">
        <v>2</v>
      </c>
    </row>
    <row r="22" spans="1:2" x14ac:dyDescent="0.2">
      <c r="A22" t="s">
        <v>445</v>
      </c>
      <c r="B22">
        <v>134</v>
      </c>
    </row>
    <row r="23" spans="1:2" x14ac:dyDescent="0.2">
      <c r="A23" t="s">
        <v>832</v>
      </c>
      <c r="B23">
        <v>5</v>
      </c>
    </row>
    <row r="24" spans="1:2" x14ac:dyDescent="0.2">
      <c r="A24" t="s">
        <v>1265</v>
      </c>
      <c r="B24">
        <v>10</v>
      </c>
    </row>
    <row r="25" spans="1:2" x14ac:dyDescent="0.2">
      <c r="A25" t="s">
        <v>568</v>
      </c>
      <c r="B25">
        <v>74</v>
      </c>
    </row>
    <row r="26" spans="1:2" x14ac:dyDescent="0.2">
      <c r="A26" t="s">
        <v>1546</v>
      </c>
      <c r="B26">
        <v>25</v>
      </c>
    </row>
    <row r="27" spans="1:2" x14ac:dyDescent="0.2">
      <c r="A27" t="s">
        <v>619</v>
      </c>
      <c r="B27">
        <v>4</v>
      </c>
    </row>
    <row r="28" spans="1:2" x14ac:dyDescent="0.2">
      <c r="A28" t="s">
        <v>1210</v>
      </c>
      <c r="B28">
        <v>1</v>
      </c>
    </row>
    <row r="29" spans="1:2" x14ac:dyDescent="0.2">
      <c r="A29" t="s">
        <v>2363</v>
      </c>
      <c r="B29">
        <v>1</v>
      </c>
    </row>
    <row r="30" spans="1:2" x14ac:dyDescent="0.2">
      <c r="A30" t="s">
        <v>2108</v>
      </c>
      <c r="B30">
        <v>4</v>
      </c>
    </row>
    <row r="31" spans="1:2" x14ac:dyDescent="0.2">
      <c r="A31" t="s">
        <v>3046</v>
      </c>
      <c r="B31">
        <v>1</v>
      </c>
    </row>
    <row r="32" spans="1:2" x14ac:dyDescent="0.2">
      <c r="A32" t="s">
        <v>580</v>
      </c>
      <c r="B32">
        <v>1</v>
      </c>
    </row>
    <row r="33" spans="1:2" x14ac:dyDescent="0.2">
      <c r="A33" t="s">
        <v>539</v>
      </c>
      <c r="B33">
        <v>1</v>
      </c>
    </row>
    <row r="34" spans="1:2" x14ac:dyDescent="0.2">
      <c r="A34" t="s">
        <v>1989</v>
      </c>
      <c r="B34">
        <v>3</v>
      </c>
    </row>
    <row r="35" spans="1:2" x14ac:dyDescent="0.2">
      <c r="A35" t="s">
        <v>620</v>
      </c>
      <c r="B35">
        <v>10</v>
      </c>
    </row>
    <row r="36" spans="1:2" x14ac:dyDescent="0.2">
      <c r="A36" t="s">
        <v>1746</v>
      </c>
      <c r="B36">
        <v>2</v>
      </c>
    </row>
    <row r="37" spans="1:2" x14ac:dyDescent="0.2">
      <c r="A37" t="s">
        <v>2325</v>
      </c>
      <c r="B37">
        <v>9</v>
      </c>
    </row>
    <row r="38" spans="1:2" x14ac:dyDescent="0.2">
      <c r="A38" t="s">
        <v>2293</v>
      </c>
      <c r="B38">
        <v>4</v>
      </c>
    </row>
    <row r="39" spans="1:2" x14ac:dyDescent="0.2">
      <c r="A39" t="s">
        <v>472</v>
      </c>
      <c r="B39">
        <v>1</v>
      </c>
    </row>
    <row r="40" spans="1:2" x14ac:dyDescent="0.2">
      <c r="A40" t="s">
        <v>1126</v>
      </c>
      <c r="B40">
        <v>10</v>
      </c>
    </row>
    <row r="41" spans="1:2" x14ac:dyDescent="0.2">
      <c r="A41" t="s">
        <v>540</v>
      </c>
      <c r="B41">
        <v>3</v>
      </c>
    </row>
    <row r="42" spans="1:2" x14ac:dyDescent="0.2">
      <c r="A42" t="s">
        <v>787</v>
      </c>
      <c r="B42">
        <v>3</v>
      </c>
    </row>
    <row r="43" spans="1:2" x14ac:dyDescent="0.2">
      <c r="A43" t="s">
        <v>2278</v>
      </c>
      <c r="B43">
        <v>1</v>
      </c>
    </row>
    <row r="44" spans="1:2" x14ac:dyDescent="0.2">
      <c r="A44" t="s">
        <v>1060</v>
      </c>
      <c r="B44">
        <v>1</v>
      </c>
    </row>
    <row r="45" spans="1:2" x14ac:dyDescent="0.2">
      <c r="A45" t="s">
        <v>659</v>
      </c>
      <c r="B45">
        <v>1</v>
      </c>
    </row>
    <row r="46" spans="1:2" x14ac:dyDescent="0.2">
      <c r="A46" t="s">
        <v>736</v>
      </c>
      <c r="B46">
        <v>1</v>
      </c>
    </row>
    <row r="47" spans="1:2" x14ac:dyDescent="0.2">
      <c r="A47" t="s">
        <v>928</v>
      </c>
      <c r="B47">
        <v>2</v>
      </c>
    </row>
    <row r="48" spans="1:2" x14ac:dyDescent="0.2">
      <c r="A48" t="s">
        <v>1807</v>
      </c>
      <c r="B48">
        <v>2</v>
      </c>
    </row>
    <row r="49" spans="1:2" x14ac:dyDescent="0.2">
      <c r="A49" t="s">
        <v>4758</v>
      </c>
    </row>
    <row r="50" spans="1:2" x14ac:dyDescent="0.2">
      <c r="A50" t="s">
        <v>4759</v>
      </c>
      <c r="B50">
        <v>450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F32A-CA46-498B-BB13-D7C7571FD1C4}">
  <dimension ref="A2:B69"/>
  <sheetViews>
    <sheetView workbookViewId="0">
      <selection activeCell="A8" sqref="A8"/>
    </sheetView>
  </sheetViews>
  <sheetFormatPr baseColWidth="10" defaultColWidth="8.83203125" defaultRowHeight="15" x14ac:dyDescent="0.2"/>
  <cols>
    <col min="1" max="1" width="112.33203125" bestFit="1" customWidth="1"/>
    <col min="2" max="2" width="17.1640625" bestFit="1" customWidth="1"/>
  </cols>
  <sheetData>
    <row r="2" spans="1:2" x14ac:dyDescent="0.2">
      <c r="A2" s="6" t="s">
        <v>422</v>
      </c>
      <c r="B2" t="s">
        <v>4760</v>
      </c>
    </row>
    <row r="3" spans="1:2" x14ac:dyDescent="0.2">
      <c r="A3" t="s">
        <v>854</v>
      </c>
      <c r="B3">
        <v>2</v>
      </c>
    </row>
    <row r="4" spans="1:2" x14ac:dyDescent="0.2">
      <c r="A4" t="s">
        <v>955</v>
      </c>
      <c r="B4">
        <v>4</v>
      </c>
    </row>
    <row r="5" spans="1:2" x14ac:dyDescent="0.2">
      <c r="A5" t="s">
        <v>2790</v>
      </c>
      <c r="B5">
        <v>1</v>
      </c>
    </row>
    <row r="6" spans="1:2" x14ac:dyDescent="0.2">
      <c r="A6" t="s">
        <v>866</v>
      </c>
      <c r="B6">
        <v>6</v>
      </c>
    </row>
    <row r="7" spans="1:2" x14ac:dyDescent="0.2">
      <c r="A7" t="s">
        <v>459</v>
      </c>
      <c r="B7">
        <v>1</v>
      </c>
    </row>
    <row r="8" spans="1:2" x14ac:dyDescent="0.2">
      <c r="A8" t="s">
        <v>2947</v>
      </c>
      <c r="B8">
        <v>5</v>
      </c>
    </row>
    <row r="9" spans="1:2" x14ac:dyDescent="0.2">
      <c r="A9" t="s">
        <v>2162</v>
      </c>
      <c r="B9">
        <v>1</v>
      </c>
    </row>
    <row r="10" spans="1:2" x14ac:dyDescent="0.2">
      <c r="A10" t="s">
        <v>3597</v>
      </c>
      <c r="B10">
        <v>2</v>
      </c>
    </row>
    <row r="11" spans="1:2" x14ac:dyDescent="0.2">
      <c r="A11" t="s">
        <v>1278</v>
      </c>
      <c r="B11">
        <v>2</v>
      </c>
    </row>
    <row r="12" spans="1:2" x14ac:dyDescent="0.2">
      <c r="A12" t="s">
        <v>3156</v>
      </c>
      <c r="B12">
        <v>1</v>
      </c>
    </row>
    <row r="13" spans="1:2" x14ac:dyDescent="0.2">
      <c r="A13" t="s">
        <v>707</v>
      </c>
      <c r="B13">
        <v>2</v>
      </c>
    </row>
    <row r="14" spans="1:2" x14ac:dyDescent="0.2">
      <c r="A14" t="s">
        <v>1166</v>
      </c>
      <c r="B14">
        <v>12</v>
      </c>
    </row>
    <row r="15" spans="1:2" x14ac:dyDescent="0.2">
      <c r="A15" t="s">
        <v>3913</v>
      </c>
      <c r="B15">
        <v>1</v>
      </c>
    </row>
    <row r="16" spans="1:2" x14ac:dyDescent="0.2">
      <c r="A16" t="s">
        <v>760</v>
      </c>
      <c r="B16">
        <v>5</v>
      </c>
    </row>
    <row r="17" spans="1:2" x14ac:dyDescent="0.2">
      <c r="A17" t="s">
        <v>3905</v>
      </c>
      <c r="B17">
        <v>1</v>
      </c>
    </row>
    <row r="18" spans="1:2" x14ac:dyDescent="0.2">
      <c r="A18" t="s">
        <v>3112</v>
      </c>
      <c r="B18">
        <v>2</v>
      </c>
    </row>
    <row r="19" spans="1:2" x14ac:dyDescent="0.2">
      <c r="A19" t="s">
        <v>919</v>
      </c>
      <c r="B19">
        <v>16</v>
      </c>
    </row>
    <row r="20" spans="1:2" x14ac:dyDescent="0.2">
      <c r="A20" t="s">
        <v>500</v>
      </c>
      <c r="B20">
        <v>8</v>
      </c>
    </row>
    <row r="21" spans="1:2" x14ac:dyDescent="0.2">
      <c r="A21" t="s">
        <v>3663</v>
      </c>
      <c r="B21">
        <v>1</v>
      </c>
    </row>
    <row r="22" spans="1:2" x14ac:dyDescent="0.2">
      <c r="A22" t="s">
        <v>1654</v>
      </c>
      <c r="B22">
        <v>1</v>
      </c>
    </row>
    <row r="23" spans="1:2" x14ac:dyDescent="0.2">
      <c r="A23" t="s">
        <v>799</v>
      </c>
      <c r="B23">
        <v>10</v>
      </c>
    </row>
    <row r="24" spans="1:2" x14ac:dyDescent="0.2">
      <c r="A24" t="s">
        <v>486</v>
      </c>
      <c r="B24">
        <v>16</v>
      </c>
    </row>
    <row r="25" spans="1:2" x14ac:dyDescent="0.2">
      <c r="A25" t="s">
        <v>1196</v>
      </c>
      <c r="B25">
        <v>1</v>
      </c>
    </row>
    <row r="26" spans="1:2" x14ac:dyDescent="0.2">
      <c r="A26" t="s">
        <v>1372</v>
      </c>
      <c r="B26">
        <v>1</v>
      </c>
    </row>
    <row r="27" spans="1:2" x14ac:dyDescent="0.2">
      <c r="A27" t="s">
        <v>672</v>
      </c>
      <c r="B27">
        <v>7</v>
      </c>
    </row>
    <row r="28" spans="1:2" x14ac:dyDescent="0.2">
      <c r="A28" t="s">
        <v>1974</v>
      </c>
      <c r="B28">
        <v>1</v>
      </c>
    </row>
    <row r="29" spans="1:2" x14ac:dyDescent="0.2">
      <c r="A29" t="s">
        <v>3857</v>
      </c>
      <c r="B29">
        <v>1</v>
      </c>
    </row>
    <row r="30" spans="1:2" x14ac:dyDescent="0.2">
      <c r="A30" t="s">
        <v>3951</v>
      </c>
      <c r="B30">
        <v>1</v>
      </c>
    </row>
    <row r="31" spans="1:2" x14ac:dyDescent="0.2">
      <c r="A31" t="s">
        <v>445</v>
      </c>
      <c r="B31">
        <v>1</v>
      </c>
    </row>
    <row r="32" spans="1:2" x14ac:dyDescent="0.2">
      <c r="A32" t="s">
        <v>568</v>
      </c>
      <c r="B32">
        <v>5</v>
      </c>
    </row>
    <row r="33" spans="1:2" x14ac:dyDescent="0.2">
      <c r="A33" t="s">
        <v>1546</v>
      </c>
      <c r="B33">
        <v>3</v>
      </c>
    </row>
    <row r="34" spans="1:2" x14ac:dyDescent="0.2">
      <c r="A34" t="s">
        <v>619</v>
      </c>
      <c r="B34">
        <v>8</v>
      </c>
    </row>
    <row r="35" spans="1:2" x14ac:dyDescent="0.2">
      <c r="A35" t="s">
        <v>1210</v>
      </c>
      <c r="B35">
        <v>1</v>
      </c>
    </row>
    <row r="36" spans="1:2" x14ac:dyDescent="0.2">
      <c r="A36" t="s">
        <v>2108</v>
      </c>
      <c r="B36">
        <v>6</v>
      </c>
    </row>
    <row r="37" spans="1:2" x14ac:dyDescent="0.2">
      <c r="A37" t="s">
        <v>2404</v>
      </c>
      <c r="B37">
        <v>1</v>
      </c>
    </row>
    <row r="38" spans="1:2" x14ac:dyDescent="0.2">
      <c r="A38" t="s">
        <v>580</v>
      </c>
      <c r="B38">
        <v>1</v>
      </c>
    </row>
    <row r="39" spans="1:2" x14ac:dyDescent="0.2">
      <c r="A39" t="s">
        <v>1989</v>
      </c>
      <c r="B39">
        <v>2</v>
      </c>
    </row>
    <row r="40" spans="1:2" x14ac:dyDescent="0.2">
      <c r="A40" t="s">
        <v>620</v>
      </c>
      <c r="B40">
        <v>28</v>
      </c>
    </row>
    <row r="41" spans="1:2" x14ac:dyDescent="0.2">
      <c r="A41" t="s">
        <v>554</v>
      </c>
      <c r="B41">
        <v>1</v>
      </c>
    </row>
    <row r="42" spans="1:2" x14ac:dyDescent="0.2">
      <c r="A42" t="s">
        <v>4232</v>
      </c>
      <c r="B42">
        <v>2</v>
      </c>
    </row>
    <row r="43" spans="1:2" x14ac:dyDescent="0.2">
      <c r="A43" t="s">
        <v>808</v>
      </c>
      <c r="B43">
        <v>1</v>
      </c>
    </row>
    <row r="44" spans="1:2" x14ac:dyDescent="0.2">
      <c r="A44" t="s">
        <v>1746</v>
      </c>
      <c r="B44">
        <v>3</v>
      </c>
    </row>
    <row r="45" spans="1:2" x14ac:dyDescent="0.2">
      <c r="A45" t="s">
        <v>2325</v>
      </c>
      <c r="B45">
        <v>3</v>
      </c>
    </row>
    <row r="46" spans="1:2" x14ac:dyDescent="0.2">
      <c r="A46" t="s">
        <v>2293</v>
      </c>
      <c r="B46">
        <v>2</v>
      </c>
    </row>
    <row r="47" spans="1:2" x14ac:dyDescent="0.2">
      <c r="A47" t="s">
        <v>1126</v>
      </c>
      <c r="B47">
        <v>14</v>
      </c>
    </row>
    <row r="48" spans="1:2" x14ac:dyDescent="0.2">
      <c r="A48" t="s">
        <v>4662</v>
      </c>
      <c r="B48">
        <v>1</v>
      </c>
    </row>
    <row r="49" spans="1:2" x14ac:dyDescent="0.2">
      <c r="A49" t="s">
        <v>540</v>
      </c>
      <c r="B49">
        <v>22</v>
      </c>
    </row>
    <row r="50" spans="1:2" x14ac:dyDescent="0.2">
      <c r="A50" t="s">
        <v>787</v>
      </c>
      <c r="B50">
        <v>13</v>
      </c>
    </row>
    <row r="51" spans="1:2" x14ac:dyDescent="0.2">
      <c r="A51" t="s">
        <v>3675</v>
      </c>
      <c r="B51">
        <v>1</v>
      </c>
    </row>
    <row r="52" spans="1:2" x14ac:dyDescent="0.2">
      <c r="A52" t="s">
        <v>1002</v>
      </c>
      <c r="B52">
        <v>1</v>
      </c>
    </row>
    <row r="53" spans="1:2" x14ac:dyDescent="0.2">
      <c r="A53" t="s">
        <v>501</v>
      </c>
      <c r="B53">
        <v>1</v>
      </c>
    </row>
    <row r="54" spans="1:2" x14ac:dyDescent="0.2">
      <c r="A54" t="s">
        <v>4061</v>
      </c>
      <c r="B54">
        <v>1</v>
      </c>
    </row>
    <row r="55" spans="1:2" x14ac:dyDescent="0.2">
      <c r="A55" t="s">
        <v>1060</v>
      </c>
      <c r="B55">
        <v>1</v>
      </c>
    </row>
    <row r="56" spans="1:2" x14ac:dyDescent="0.2">
      <c r="A56" t="s">
        <v>659</v>
      </c>
      <c r="B56">
        <v>1</v>
      </c>
    </row>
    <row r="57" spans="1:2" x14ac:dyDescent="0.2">
      <c r="A57" t="s">
        <v>2547</v>
      </c>
      <c r="B57">
        <v>2</v>
      </c>
    </row>
    <row r="58" spans="1:2" x14ac:dyDescent="0.2">
      <c r="A58" t="s">
        <v>736</v>
      </c>
      <c r="B58">
        <v>2</v>
      </c>
    </row>
    <row r="59" spans="1:2" x14ac:dyDescent="0.2">
      <c r="A59" t="s">
        <v>604</v>
      </c>
      <c r="B59">
        <v>1</v>
      </c>
    </row>
    <row r="60" spans="1:2" x14ac:dyDescent="0.2">
      <c r="A60" t="s">
        <v>3234</v>
      </c>
      <c r="B60">
        <v>2</v>
      </c>
    </row>
    <row r="61" spans="1:2" x14ac:dyDescent="0.2">
      <c r="A61" t="s">
        <v>4303</v>
      </c>
      <c r="B61">
        <v>1</v>
      </c>
    </row>
    <row r="62" spans="1:2" x14ac:dyDescent="0.2">
      <c r="A62" t="s">
        <v>569</v>
      </c>
      <c r="B62">
        <v>1</v>
      </c>
    </row>
    <row r="63" spans="1:2" x14ac:dyDescent="0.2">
      <c r="A63" t="s">
        <v>2423</v>
      </c>
      <c r="B63">
        <v>1</v>
      </c>
    </row>
    <row r="64" spans="1:2" x14ac:dyDescent="0.2">
      <c r="A64" t="s">
        <v>928</v>
      </c>
      <c r="B64">
        <v>7</v>
      </c>
    </row>
    <row r="65" spans="1:2" x14ac:dyDescent="0.2">
      <c r="A65" t="s">
        <v>2141</v>
      </c>
      <c r="B65">
        <v>2</v>
      </c>
    </row>
    <row r="66" spans="1:2" x14ac:dyDescent="0.2">
      <c r="A66" t="s">
        <v>1807</v>
      </c>
      <c r="B66">
        <v>2</v>
      </c>
    </row>
    <row r="67" spans="1:2" x14ac:dyDescent="0.2">
      <c r="A67" t="s">
        <v>1085</v>
      </c>
      <c r="B67">
        <v>1</v>
      </c>
    </row>
    <row r="68" spans="1:2" x14ac:dyDescent="0.2">
      <c r="A68" t="s">
        <v>4758</v>
      </c>
    </row>
    <row r="69" spans="1:2" x14ac:dyDescent="0.2">
      <c r="A69" t="s">
        <v>4759</v>
      </c>
      <c r="B69">
        <v>258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E7A7A-02D9-46AC-A90E-930D82072EA1}">
  <dimension ref="A2:B41"/>
  <sheetViews>
    <sheetView workbookViewId="0">
      <selection activeCell="A2" sqref="A2:C19"/>
    </sheetView>
  </sheetViews>
  <sheetFormatPr baseColWidth="10" defaultColWidth="8.83203125" defaultRowHeight="15" x14ac:dyDescent="0.2"/>
  <cols>
    <col min="1" max="1" width="112.33203125" bestFit="1" customWidth="1"/>
    <col min="2" max="2" width="17.1640625" bestFit="1" customWidth="1"/>
  </cols>
  <sheetData>
    <row r="2" spans="1:2" x14ac:dyDescent="0.2">
      <c r="A2" s="6" t="s">
        <v>423</v>
      </c>
      <c r="B2" t="s">
        <v>4761</v>
      </c>
    </row>
    <row r="3" spans="1:2" x14ac:dyDescent="0.2">
      <c r="A3" t="s">
        <v>866</v>
      </c>
      <c r="B3">
        <v>3</v>
      </c>
    </row>
    <row r="4" spans="1:2" x14ac:dyDescent="0.2">
      <c r="A4" t="s">
        <v>2720</v>
      </c>
      <c r="B4">
        <v>1</v>
      </c>
    </row>
    <row r="5" spans="1:2" x14ac:dyDescent="0.2">
      <c r="A5" t="s">
        <v>460</v>
      </c>
      <c r="B5">
        <v>1</v>
      </c>
    </row>
    <row r="6" spans="1:2" x14ac:dyDescent="0.2">
      <c r="A6" t="s">
        <v>2947</v>
      </c>
      <c r="B6">
        <v>2</v>
      </c>
    </row>
    <row r="7" spans="1:2" x14ac:dyDescent="0.2">
      <c r="A7" t="s">
        <v>2162</v>
      </c>
      <c r="B7">
        <v>1</v>
      </c>
    </row>
    <row r="8" spans="1:2" x14ac:dyDescent="0.2">
      <c r="A8" t="s">
        <v>4188</v>
      </c>
      <c r="B8">
        <v>1</v>
      </c>
    </row>
    <row r="9" spans="1:2" x14ac:dyDescent="0.2">
      <c r="A9" t="s">
        <v>4091</v>
      </c>
      <c r="B9">
        <v>1</v>
      </c>
    </row>
    <row r="10" spans="1:2" x14ac:dyDescent="0.2">
      <c r="A10" t="s">
        <v>3177</v>
      </c>
      <c r="B10">
        <v>1</v>
      </c>
    </row>
    <row r="11" spans="1:2" x14ac:dyDescent="0.2">
      <c r="A11" t="s">
        <v>707</v>
      </c>
      <c r="B11">
        <v>1</v>
      </c>
    </row>
    <row r="12" spans="1:2" x14ac:dyDescent="0.2">
      <c r="A12" t="s">
        <v>1166</v>
      </c>
      <c r="B12">
        <v>4</v>
      </c>
    </row>
    <row r="13" spans="1:2" x14ac:dyDescent="0.2">
      <c r="A13" t="s">
        <v>919</v>
      </c>
      <c r="B13">
        <v>1</v>
      </c>
    </row>
    <row r="14" spans="1:2" x14ac:dyDescent="0.2">
      <c r="A14" t="s">
        <v>500</v>
      </c>
      <c r="B14">
        <v>1</v>
      </c>
    </row>
    <row r="15" spans="1:2" x14ac:dyDescent="0.2">
      <c r="A15" t="s">
        <v>3663</v>
      </c>
      <c r="B15">
        <v>1</v>
      </c>
    </row>
    <row r="16" spans="1:2" x14ac:dyDescent="0.2">
      <c r="A16" t="s">
        <v>799</v>
      </c>
      <c r="B16">
        <v>7</v>
      </c>
    </row>
    <row r="17" spans="1:2" x14ac:dyDescent="0.2">
      <c r="A17" t="s">
        <v>486</v>
      </c>
      <c r="B17">
        <v>2</v>
      </c>
    </row>
    <row r="18" spans="1:2" x14ac:dyDescent="0.2">
      <c r="A18" t="s">
        <v>1372</v>
      </c>
      <c r="B18">
        <v>2</v>
      </c>
    </row>
    <row r="19" spans="1:2" x14ac:dyDescent="0.2">
      <c r="A19" t="s">
        <v>445</v>
      </c>
      <c r="B19">
        <v>1</v>
      </c>
    </row>
    <row r="20" spans="1:2" x14ac:dyDescent="0.2">
      <c r="A20" t="s">
        <v>568</v>
      </c>
      <c r="B20">
        <v>2</v>
      </c>
    </row>
    <row r="21" spans="1:2" x14ac:dyDescent="0.2">
      <c r="A21" t="s">
        <v>1210</v>
      </c>
      <c r="B21">
        <v>1</v>
      </c>
    </row>
    <row r="22" spans="1:2" x14ac:dyDescent="0.2">
      <c r="A22" t="s">
        <v>2363</v>
      </c>
      <c r="B22">
        <v>1</v>
      </c>
    </row>
    <row r="23" spans="1:2" x14ac:dyDescent="0.2">
      <c r="A23" t="s">
        <v>2108</v>
      </c>
      <c r="B23">
        <v>3</v>
      </c>
    </row>
    <row r="24" spans="1:2" x14ac:dyDescent="0.2">
      <c r="A24" t="s">
        <v>3291</v>
      </c>
      <c r="B24">
        <v>1</v>
      </c>
    </row>
    <row r="25" spans="1:2" x14ac:dyDescent="0.2">
      <c r="A25" t="s">
        <v>620</v>
      </c>
      <c r="B25">
        <v>5</v>
      </c>
    </row>
    <row r="26" spans="1:2" x14ac:dyDescent="0.2">
      <c r="A26" t="s">
        <v>1746</v>
      </c>
      <c r="B26">
        <v>1</v>
      </c>
    </row>
    <row r="27" spans="1:2" x14ac:dyDescent="0.2">
      <c r="A27" t="s">
        <v>2293</v>
      </c>
      <c r="B27">
        <v>1</v>
      </c>
    </row>
    <row r="28" spans="1:2" x14ac:dyDescent="0.2">
      <c r="A28" t="s">
        <v>1126</v>
      </c>
      <c r="B28">
        <v>4</v>
      </c>
    </row>
    <row r="29" spans="1:2" x14ac:dyDescent="0.2">
      <c r="A29" t="s">
        <v>540</v>
      </c>
      <c r="B29">
        <v>9</v>
      </c>
    </row>
    <row r="30" spans="1:2" x14ac:dyDescent="0.2">
      <c r="A30" t="s">
        <v>787</v>
      </c>
      <c r="B30">
        <v>9</v>
      </c>
    </row>
    <row r="31" spans="1:2" x14ac:dyDescent="0.2">
      <c r="A31" t="s">
        <v>4577</v>
      </c>
      <c r="B31">
        <v>1</v>
      </c>
    </row>
    <row r="32" spans="1:2" x14ac:dyDescent="0.2">
      <c r="A32" t="s">
        <v>1416</v>
      </c>
      <c r="B32">
        <v>1</v>
      </c>
    </row>
    <row r="33" spans="1:2" x14ac:dyDescent="0.2">
      <c r="A33" t="s">
        <v>1060</v>
      </c>
      <c r="B33">
        <v>2</v>
      </c>
    </row>
    <row r="34" spans="1:2" x14ac:dyDescent="0.2">
      <c r="A34" t="s">
        <v>736</v>
      </c>
      <c r="B34">
        <v>1</v>
      </c>
    </row>
    <row r="35" spans="1:2" x14ac:dyDescent="0.2">
      <c r="A35" t="s">
        <v>2616</v>
      </c>
      <c r="B35">
        <v>1</v>
      </c>
    </row>
    <row r="36" spans="1:2" x14ac:dyDescent="0.2">
      <c r="A36" t="s">
        <v>3234</v>
      </c>
      <c r="B36">
        <v>1</v>
      </c>
    </row>
    <row r="37" spans="1:2" x14ac:dyDescent="0.2">
      <c r="A37" t="s">
        <v>569</v>
      </c>
      <c r="B37">
        <v>2</v>
      </c>
    </row>
    <row r="38" spans="1:2" x14ac:dyDescent="0.2">
      <c r="A38" t="s">
        <v>1807</v>
      </c>
      <c r="B38">
        <v>2</v>
      </c>
    </row>
    <row r="39" spans="1:2" x14ac:dyDescent="0.2">
      <c r="A39" t="s">
        <v>4432</v>
      </c>
      <c r="B39">
        <v>1</v>
      </c>
    </row>
    <row r="40" spans="1:2" x14ac:dyDescent="0.2">
      <c r="A40" t="s">
        <v>4758</v>
      </c>
    </row>
    <row r="41" spans="1:2" x14ac:dyDescent="0.2">
      <c r="A41" t="s">
        <v>4759</v>
      </c>
      <c r="B41">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21736-364A-49DF-9C6D-56F0D850D34A}">
  <dimension ref="A2:B9"/>
  <sheetViews>
    <sheetView workbookViewId="0">
      <selection activeCell="A2" sqref="A2:C19"/>
    </sheetView>
  </sheetViews>
  <sheetFormatPr baseColWidth="10" defaultColWidth="8.83203125" defaultRowHeight="15" x14ac:dyDescent="0.2"/>
  <cols>
    <col min="1" max="1" width="89" bestFit="1" customWidth="1"/>
    <col min="2" max="2" width="17.1640625" bestFit="1" customWidth="1"/>
  </cols>
  <sheetData>
    <row r="2" spans="1:2" x14ac:dyDescent="0.2">
      <c r="A2" s="6" t="s">
        <v>425</v>
      </c>
      <c r="B2" t="s">
        <v>4762</v>
      </c>
    </row>
    <row r="3" spans="1:2" x14ac:dyDescent="0.2">
      <c r="A3" t="s">
        <v>619</v>
      </c>
      <c r="B3">
        <v>1</v>
      </c>
    </row>
    <row r="4" spans="1:2" x14ac:dyDescent="0.2">
      <c r="A4" t="s">
        <v>620</v>
      </c>
      <c r="B4">
        <v>1</v>
      </c>
    </row>
    <row r="5" spans="1:2" x14ac:dyDescent="0.2">
      <c r="A5" t="s">
        <v>540</v>
      </c>
      <c r="B5">
        <v>1</v>
      </c>
    </row>
    <row r="6" spans="1:2" x14ac:dyDescent="0.2">
      <c r="A6" t="s">
        <v>787</v>
      </c>
      <c r="B6">
        <v>1</v>
      </c>
    </row>
    <row r="7" spans="1:2" x14ac:dyDescent="0.2">
      <c r="A7" t="s">
        <v>928</v>
      </c>
      <c r="B7">
        <v>1</v>
      </c>
    </row>
    <row r="8" spans="1:2" x14ac:dyDescent="0.2">
      <c r="A8" t="s">
        <v>4758</v>
      </c>
    </row>
    <row r="9" spans="1:2" x14ac:dyDescent="0.2">
      <c r="A9" t="s">
        <v>4759</v>
      </c>
      <c r="B9">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27AAA-0A16-40FA-8EAA-7626CA1F82E5}">
  <dimension ref="A2:B5"/>
  <sheetViews>
    <sheetView workbookViewId="0">
      <selection activeCell="A3" sqref="A3:B3"/>
    </sheetView>
  </sheetViews>
  <sheetFormatPr baseColWidth="10" defaultColWidth="8.83203125" defaultRowHeight="15" x14ac:dyDescent="0.2"/>
  <cols>
    <col min="1" max="1" width="89" bestFit="1" customWidth="1"/>
    <col min="2" max="2" width="17.1640625" bestFit="1" customWidth="1"/>
  </cols>
  <sheetData>
    <row r="2" spans="1:2" x14ac:dyDescent="0.2">
      <c r="A2" s="6" t="s">
        <v>426</v>
      </c>
      <c r="B2" t="s">
        <v>4763</v>
      </c>
    </row>
    <row r="3" spans="1:2" x14ac:dyDescent="0.2">
      <c r="A3" t="s">
        <v>928</v>
      </c>
      <c r="B3">
        <v>1</v>
      </c>
    </row>
    <row r="4" spans="1:2" x14ac:dyDescent="0.2">
      <c r="A4" t="s">
        <v>4758</v>
      </c>
    </row>
    <row r="5" spans="1:2" x14ac:dyDescent="0.2">
      <c r="A5" t="s">
        <v>4759</v>
      </c>
      <c r="B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F558A-9700-4DED-B20F-D8142DCB2B2C}">
  <dimension ref="A1:FT15"/>
  <sheetViews>
    <sheetView topLeftCell="FP1" workbookViewId="0">
      <selection activeCell="FS1" sqref="FS1"/>
    </sheetView>
  </sheetViews>
  <sheetFormatPr baseColWidth="10" defaultColWidth="8.83203125" defaultRowHeight="15" x14ac:dyDescent="0.2"/>
  <cols>
    <col min="1" max="1" width="51.33203125" customWidth="1"/>
    <col min="4" max="4" width="26.5" customWidth="1"/>
    <col min="7" max="7" width="23.33203125" customWidth="1"/>
    <col min="10" max="10" width="64" customWidth="1"/>
    <col min="13" max="13" width="67.33203125" customWidth="1"/>
    <col min="16" max="16" width="34.5" customWidth="1"/>
    <col min="19" max="19" width="65.1640625" customWidth="1"/>
    <col min="22" max="22" width="70.5" customWidth="1"/>
    <col min="25" max="25" width="43.1640625" customWidth="1"/>
    <col min="28" max="28" width="34.33203125" customWidth="1"/>
    <col min="31" max="31" width="48.5" customWidth="1"/>
    <col min="34" max="34" width="24.33203125" customWidth="1"/>
    <col min="37" max="37" width="19" customWidth="1"/>
    <col min="40" max="40" width="41.6640625" customWidth="1"/>
    <col min="43" max="43" width="33.6640625" customWidth="1"/>
    <col min="46" max="46" width="38" customWidth="1"/>
    <col min="49" max="49" width="33.83203125" customWidth="1"/>
    <col min="52" max="52" width="35.33203125" customWidth="1"/>
    <col min="55" max="55" width="38.1640625" customWidth="1"/>
    <col min="58" max="58" width="41" customWidth="1"/>
    <col min="61" max="61" width="37.33203125" customWidth="1"/>
    <col min="64" max="64" width="44.1640625" customWidth="1"/>
    <col min="67" max="67" width="66.5" customWidth="1"/>
    <col min="70" max="70" width="22" customWidth="1"/>
    <col min="73" max="73" width="63.5" customWidth="1"/>
    <col min="76" max="76" width="47" customWidth="1"/>
    <col min="79" max="79" width="29.5" customWidth="1"/>
    <col min="82" max="82" width="60.5" customWidth="1"/>
    <col min="85" max="85" width="51.33203125" customWidth="1"/>
    <col min="88" max="88" width="54.6640625" customWidth="1"/>
    <col min="91" max="91" width="61" customWidth="1"/>
    <col min="94" max="94" width="42.33203125" customWidth="1"/>
    <col min="97" max="97" width="30" customWidth="1"/>
    <col min="100" max="100" width="24.1640625" customWidth="1"/>
    <col min="103" max="103" width="24.6640625" customWidth="1"/>
    <col min="106" max="106" width="39.5" customWidth="1"/>
    <col min="109" max="109" width="51.33203125" customWidth="1"/>
    <col min="112" max="112" width="72.83203125" customWidth="1"/>
    <col min="115" max="115" width="52.5" customWidth="1"/>
    <col min="118" max="118" width="41.5" customWidth="1"/>
    <col min="121" max="121" width="25.33203125" customWidth="1"/>
    <col min="124" max="124" width="18" customWidth="1"/>
    <col min="127" max="127" width="16.1640625" customWidth="1"/>
    <col min="130" max="130" width="37.33203125" customWidth="1"/>
    <col min="133" max="133" width="44.6640625" customWidth="1"/>
    <col min="136" max="136" width="56.83203125" customWidth="1"/>
    <col min="139" max="139" width="38.5" customWidth="1"/>
    <col min="142" max="142" width="42.5" customWidth="1"/>
    <col min="145" max="145" width="59.5" customWidth="1"/>
    <col min="148" max="148" width="45.5" customWidth="1"/>
    <col min="151" max="151" width="67.1640625" customWidth="1"/>
    <col min="154" max="154" width="54.5" customWidth="1"/>
    <col min="157" max="157" width="44.1640625" customWidth="1"/>
    <col min="160" max="160" width="38.1640625" customWidth="1"/>
    <col min="163" max="163" width="99.33203125" customWidth="1"/>
    <col min="166" max="166" width="26.33203125" customWidth="1"/>
    <col min="169" max="169" width="52.83203125" customWidth="1"/>
    <col min="172" max="172" width="50.83203125" customWidth="1"/>
    <col min="175" max="175" width="84" customWidth="1"/>
  </cols>
  <sheetData>
    <row r="1" spans="1:176" x14ac:dyDescent="0.2">
      <c r="A1" t="s">
        <v>1047</v>
      </c>
      <c r="B1">
        <v>5</v>
      </c>
      <c r="D1" t="s">
        <v>866</v>
      </c>
      <c r="E1">
        <v>3</v>
      </c>
      <c r="G1" t="s">
        <v>2720</v>
      </c>
      <c r="H1">
        <v>1</v>
      </c>
      <c r="J1" t="s">
        <v>460</v>
      </c>
      <c r="K1">
        <v>1</v>
      </c>
      <c r="M1" t="s">
        <v>2947</v>
      </c>
      <c r="N1">
        <v>4</v>
      </c>
      <c r="P1" t="s">
        <v>2162</v>
      </c>
      <c r="Q1">
        <v>1</v>
      </c>
      <c r="S1" t="s">
        <v>3597</v>
      </c>
      <c r="T1">
        <v>2</v>
      </c>
      <c r="V1" t="s">
        <v>1278</v>
      </c>
      <c r="W1">
        <v>2</v>
      </c>
      <c r="Y1" t="s">
        <v>4091</v>
      </c>
      <c r="Z1">
        <v>1</v>
      </c>
      <c r="AB1" t="s">
        <v>3177</v>
      </c>
      <c r="AC1">
        <v>1</v>
      </c>
      <c r="AE1" t="s">
        <v>707</v>
      </c>
      <c r="AF1">
        <v>2</v>
      </c>
      <c r="AH1" t="s">
        <v>3913</v>
      </c>
      <c r="AI1">
        <v>1</v>
      </c>
      <c r="AK1" t="s">
        <v>1561</v>
      </c>
      <c r="AL1">
        <v>3</v>
      </c>
      <c r="AN1" t="s">
        <v>3905</v>
      </c>
      <c r="AO1">
        <v>1</v>
      </c>
      <c r="AQ1" t="s">
        <v>919</v>
      </c>
      <c r="AR1">
        <v>8</v>
      </c>
      <c r="AT1" t="s">
        <v>1654</v>
      </c>
      <c r="AU1">
        <v>1</v>
      </c>
      <c r="AW1" t="s">
        <v>799</v>
      </c>
      <c r="AX1">
        <v>1</v>
      </c>
      <c r="AZ1" t="s">
        <v>486</v>
      </c>
      <c r="BA1">
        <v>25</v>
      </c>
      <c r="BC1" t="s">
        <v>1196</v>
      </c>
      <c r="BD1">
        <v>1</v>
      </c>
      <c r="BF1" t="s">
        <v>1974</v>
      </c>
      <c r="BG1">
        <v>1</v>
      </c>
      <c r="BI1" t="s">
        <v>3857</v>
      </c>
      <c r="BJ1">
        <v>1</v>
      </c>
      <c r="BL1" t="s">
        <v>3951</v>
      </c>
      <c r="BM1">
        <v>1</v>
      </c>
      <c r="BO1" t="s">
        <v>458</v>
      </c>
      <c r="BP1">
        <v>2</v>
      </c>
      <c r="BR1" t="s">
        <v>619</v>
      </c>
      <c r="BS1">
        <v>4</v>
      </c>
      <c r="BU1" t="s">
        <v>1210</v>
      </c>
      <c r="BV1">
        <v>1</v>
      </c>
      <c r="BX1" t="s">
        <v>2363</v>
      </c>
      <c r="BY1">
        <v>1</v>
      </c>
      <c r="CA1" t="s">
        <v>2108</v>
      </c>
      <c r="CB1">
        <v>4</v>
      </c>
      <c r="CD1" t="s">
        <v>3046</v>
      </c>
      <c r="CE1">
        <v>1</v>
      </c>
      <c r="CG1" t="s">
        <v>3291</v>
      </c>
      <c r="CH1">
        <v>1</v>
      </c>
      <c r="CJ1" t="s">
        <v>2404</v>
      </c>
      <c r="CK1">
        <v>1</v>
      </c>
      <c r="CM1" t="s">
        <v>580</v>
      </c>
      <c r="CN1">
        <v>1</v>
      </c>
      <c r="CP1" t="s">
        <v>539</v>
      </c>
      <c r="CQ1">
        <v>1</v>
      </c>
      <c r="CS1" t="s">
        <v>1989</v>
      </c>
      <c r="CT1">
        <v>3</v>
      </c>
      <c r="CV1" t="s">
        <v>620</v>
      </c>
      <c r="CW1">
        <v>10</v>
      </c>
      <c r="CY1" t="s">
        <v>554</v>
      </c>
      <c r="CZ1">
        <v>1</v>
      </c>
      <c r="DB1" t="s">
        <v>4232</v>
      </c>
      <c r="DC1">
        <v>2</v>
      </c>
      <c r="DE1" t="s">
        <v>808</v>
      </c>
      <c r="DF1">
        <v>1</v>
      </c>
      <c r="DH1" t="s">
        <v>2293</v>
      </c>
      <c r="DI1">
        <v>4</v>
      </c>
      <c r="DK1" t="s">
        <v>472</v>
      </c>
      <c r="DL1">
        <v>1</v>
      </c>
      <c r="DN1" t="s">
        <v>4662</v>
      </c>
      <c r="DO1">
        <v>1</v>
      </c>
      <c r="DQ1" t="s">
        <v>540</v>
      </c>
      <c r="DR1">
        <v>3</v>
      </c>
      <c r="DT1" t="s">
        <v>787</v>
      </c>
      <c r="DU1">
        <v>3</v>
      </c>
      <c r="DW1" t="s">
        <v>3675</v>
      </c>
      <c r="DX1">
        <v>1</v>
      </c>
      <c r="DZ1" t="s">
        <v>4577</v>
      </c>
      <c r="EA1">
        <v>1</v>
      </c>
      <c r="EC1" t="s">
        <v>1002</v>
      </c>
      <c r="ED1">
        <v>1</v>
      </c>
      <c r="EF1" t="s">
        <v>2278</v>
      </c>
      <c r="EG1">
        <v>1</v>
      </c>
      <c r="EI1" t="s">
        <v>501</v>
      </c>
      <c r="EJ1">
        <v>1</v>
      </c>
      <c r="EL1" t="s">
        <v>4061</v>
      </c>
      <c r="EM1">
        <v>1</v>
      </c>
      <c r="EO1" t="s">
        <v>1060</v>
      </c>
      <c r="EP1">
        <v>1</v>
      </c>
      <c r="ER1" t="s">
        <v>659</v>
      </c>
      <c r="ES1">
        <v>1</v>
      </c>
      <c r="EU1" t="s">
        <v>2547</v>
      </c>
      <c r="EV1">
        <v>2</v>
      </c>
      <c r="EX1" t="s">
        <v>736</v>
      </c>
      <c r="EY1">
        <v>1</v>
      </c>
      <c r="FA1" t="s">
        <v>604</v>
      </c>
      <c r="FB1">
        <v>1</v>
      </c>
      <c r="FD1" t="s">
        <v>2616</v>
      </c>
      <c r="FE1">
        <v>1</v>
      </c>
      <c r="FG1" t="s">
        <v>3234</v>
      </c>
      <c r="FH1">
        <v>2</v>
      </c>
      <c r="FJ1" t="s">
        <v>569</v>
      </c>
      <c r="FK1">
        <v>1</v>
      </c>
      <c r="FM1" t="s">
        <v>2423</v>
      </c>
      <c r="FN1">
        <v>1</v>
      </c>
      <c r="FP1" t="s">
        <v>1807</v>
      </c>
      <c r="FQ1">
        <v>2</v>
      </c>
      <c r="FS1" t="s">
        <v>4432</v>
      </c>
      <c r="FT1">
        <v>1</v>
      </c>
    </row>
    <row r="2" spans="1:176" x14ac:dyDescent="0.2">
      <c r="A2" t="s">
        <v>749</v>
      </c>
      <c r="B2">
        <v>1</v>
      </c>
      <c r="D2" t="s">
        <v>866</v>
      </c>
      <c r="E2">
        <v>6</v>
      </c>
      <c r="J2" t="s">
        <v>459</v>
      </c>
      <c r="K2">
        <v>1</v>
      </c>
      <c r="M2" t="s">
        <v>2947</v>
      </c>
      <c r="N2">
        <v>5</v>
      </c>
      <c r="P2" t="s">
        <v>2162</v>
      </c>
      <c r="Q2">
        <v>1</v>
      </c>
      <c r="V2" t="s">
        <v>4188</v>
      </c>
      <c r="W2">
        <v>1</v>
      </c>
      <c r="Y2" t="s">
        <v>3156</v>
      </c>
      <c r="Z2">
        <v>1</v>
      </c>
      <c r="AE2" t="s">
        <v>707</v>
      </c>
      <c r="AF2">
        <v>1</v>
      </c>
      <c r="AH2" t="s">
        <v>760</v>
      </c>
      <c r="AI2">
        <v>24</v>
      </c>
      <c r="AQ2" t="s">
        <v>919</v>
      </c>
      <c r="AR2">
        <v>16</v>
      </c>
      <c r="AT2" t="s">
        <v>1126</v>
      </c>
      <c r="AU2">
        <v>10</v>
      </c>
      <c r="AW2" t="s">
        <v>799</v>
      </c>
      <c r="AX2">
        <v>10</v>
      </c>
      <c r="AZ2" t="s">
        <v>486</v>
      </c>
      <c r="BA2">
        <v>16</v>
      </c>
      <c r="BC2" t="s">
        <v>1372</v>
      </c>
      <c r="BD2">
        <v>4</v>
      </c>
      <c r="BO2" t="s">
        <v>445</v>
      </c>
      <c r="BP2">
        <v>134</v>
      </c>
      <c r="BR2" t="s">
        <v>619</v>
      </c>
      <c r="BS2">
        <v>8</v>
      </c>
      <c r="BU2" t="s">
        <v>1210</v>
      </c>
      <c r="BV2">
        <v>1</v>
      </c>
      <c r="BX2" t="s">
        <v>2363</v>
      </c>
      <c r="BY2">
        <v>1</v>
      </c>
      <c r="CA2" t="s">
        <v>2108</v>
      </c>
      <c r="CB2">
        <v>6</v>
      </c>
      <c r="CM2" t="s">
        <v>580</v>
      </c>
      <c r="CN2">
        <v>1</v>
      </c>
      <c r="CS2" t="s">
        <v>1989</v>
      </c>
      <c r="CT2">
        <v>2</v>
      </c>
      <c r="CV2" t="s">
        <v>620</v>
      </c>
      <c r="CW2">
        <v>28</v>
      </c>
      <c r="DE2" t="s">
        <v>1746</v>
      </c>
      <c r="DF2">
        <v>2</v>
      </c>
      <c r="DH2" t="s">
        <v>2293</v>
      </c>
      <c r="DI2">
        <v>2</v>
      </c>
      <c r="DQ2" t="s">
        <v>540</v>
      </c>
      <c r="DR2">
        <v>22</v>
      </c>
      <c r="DT2" t="s">
        <v>787</v>
      </c>
      <c r="DU2">
        <v>13</v>
      </c>
      <c r="EO2" t="s">
        <v>1060</v>
      </c>
      <c r="EP2">
        <v>1</v>
      </c>
      <c r="ER2" t="s">
        <v>659</v>
      </c>
      <c r="ES2">
        <v>1</v>
      </c>
      <c r="EX2" t="s">
        <v>736</v>
      </c>
      <c r="EY2">
        <v>2</v>
      </c>
      <c r="FG2" t="s">
        <v>3234</v>
      </c>
      <c r="FH2">
        <v>1</v>
      </c>
      <c r="FJ2" t="s">
        <v>569</v>
      </c>
      <c r="FK2">
        <v>2</v>
      </c>
      <c r="FM2" t="s">
        <v>928</v>
      </c>
      <c r="FN2">
        <v>2</v>
      </c>
      <c r="FP2" t="s">
        <v>1807</v>
      </c>
      <c r="FQ2">
        <v>2</v>
      </c>
    </row>
    <row r="3" spans="1:176" x14ac:dyDescent="0.2">
      <c r="A3" t="s">
        <v>854</v>
      </c>
      <c r="B3">
        <v>5</v>
      </c>
      <c r="D3" t="s">
        <v>866</v>
      </c>
      <c r="E3">
        <v>3</v>
      </c>
      <c r="M3" t="s">
        <v>2947</v>
      </c>
      <c r="N3">
        <v>2</v>
      </c>
      <c r="Y3" t="s">
        <v>1416</v>
      </c>
      <c r="Z3">
        <v>1</v>
      </c>
      <c r="AE3" t="s">
        <v>1166</v>
      </c>
      <c r="AF3">
        <v>7</v>
      </c>
      <c r="AH3" t="s">
        <v>760</v>
      </c>
      <c r="AI3">
        <v>5</v>
      </c>
      <c r="AQ3" t="s">
        <v>919</v>
      </c>
      <c r="AR3">
        <v>1</v>
      </c>
      <c r="AT3" t="s">
        <v>1126</v>
      </c>
      <c r="AU3">
        <v>14</v>
      </c>
      <c r="AW3" t="s">
        <v>799</v>
      </c>
      <c r="AX3">
        <v>7</v>
      </c>
      <c r="AZ3" t="s">
        <v>486</v>
      </c>
      <c r="BA3">
        <v>2</v>
      </c>
      <c r="BC3" t="s">
        <v>1372</v>
      </c>
      <c r="BD3">
        <v>1</v>
      </c>
      <c r="BO3" t="s">
        <v>445</v>
      </c>
      <c r="BP3">
        <v>1</v>
      </c>
      <c r="BR3" t="s">
        <v>619</v>
      </c>
      <c r="BS3">
        <v>1</v>
      </c>
      <c r="BU3" t="s">
        <v>1210</v>
      </c>
      <c r="BV3">
        <v>1</v>
      </c>
      <c r="CA3" t="s">
        <v>2108</v>
      </c>
      <c r="CB3">
        <v>3</v>
      </c>
      <c r="CV3" t="s">
        <v>620</v>
      </c>
      <c r="CW3">
        <v>5</v>
      </c>
      <c r="DE3" t="s">
        <v>1746</v>
      </c>
      <c r="DF3">
        <v>3</v>
      </c>
      <c r="DH3" t="s">
        <v>2293</v>
      </c>
      <c r="DI3">
        <v>1</v>
      </c>
      <c r="DQ3" t="s">
        <v>540</v>
      </c>
      <c r="DR3">
        <v>9</v>
      </c>
      <c r="DT3" t="s">
        <v>787</v>
      </c>
      <c r="DU3">
        <v>9</v>
      </c>
      <c r="EO3" t="s">
        <v>1060</v>
      </c>
      <c r="EP3">
        <v>2</v>
      </c>
      <c r="EX3" t="s">
        <v>736</v>
      </c>
      <c r="EY3">
        <v>1</v>
      </c>
      <c r="FG3" t="s">
        <v>4303</v>
      </c>
      <c r="FH3">
        <v>1</v>
      </c>
      <c r="FM3" t="s">
        <v>928</v>
      </c>
      <c r="FN3">
        <v>7</v>
      </c>
      <c r="FP3" t="s">
        <v>1807</v>
      </c>
      <c r="FQ3">
        <v>2</v>
      </c>
    </row>
    <row r="4" spans="1:176" x14ac:dyDescent="0.2">
      <c r="A4" t="s">
        <v>854</v>
      </c>
      <c r="B4">
        <v>2</v>
      </c>
      <c r="AE4" t="s">
        <v>1166</v>
      </c>
      <c r="AF4">
        <v>12</v>
      </c>
      <c r="AQ4" t="s">
        <v>500</v>
      </c>
      <c r="AR4">
        <v>12</v>
      </c>
      <c r="AT4" t="s">
        <v>1126</v>
      </c>
      <c r="AU4">
        <v>4</v>
      </c>
      <c r="BC4" t="s">
        <v>1372</v>
      </c>
      <c r="BD4">
        <v>2</v>
      </c>
      <c r="BO4" t="s">
        <v>445</v>
      </c>
      <c r="BP4">
        <v>1</v>
      </c>
      <c r="CV4" t="s">
        <v>620</v>
      </c>
      <c r="CW4">
        <v>1</v>
      </c>
      <c r="DE4" t="s">
        <v>1746</v>
      </c>
      <c r="DF4">
        <v>1</v>
      </c>
      <c r="DQ4" t="s">
        <v>540</v>
      </c>
      <c r="DR4">
        <v>1</v>
      </c>
      <c r="DT4" t="s">
        <v>787</v>
      </c>
      <c r="DU4">
        <v>1</v>
      </c>
      <c r="FM4" t="s">
        <v>928</v>
      </c>
      <c r="FN4">
        <v>1</v>
      </c>
      <c r="FP4" t="s">
        <v>1085</v>
      </c>
      <c r="FQ4">
        <v>1</v>
      </c>
    </row>
    <row r="5" spans="1:176" x14ac:dyDescent="0.2">
      <c r="A5" t="s">
        <v>955</v>
      </c>
      <c r="B5">
        <v>11</v>
      </c>
      <c r="AE5" t="s">
        <v>1166</v>
      </c>
      <c r="AF5">
        <v>4</v>
      </c>
      <c r="AQ5" t="s">
        <v>500</v>
      </c>
      <c r="AR5">
        <v>8</v>
      </c>
      <c r="BC5" t="s">
        <v>672</v>
      </c>
      <c r="BD5">
        <v>15</v>
      </c>
      <c r="BO5" t="s">
        <v>832</v>
      </c>
      <c r="BP5">
        <v>5</v>
      </c>
      <c r="DE5" t="s">
        <v>2325</v>
      </c>
      <c r="DF5">
        <v>9</v>
      </c>
      <c r="FM5" t="s">
        <v>928</v>
      </c>
      <c r="FN5">
        <v>1</v>
      </c>
    </row>
    <row r="6" spans="1:176" x14ac:dyDescent="0.2">
      <c r="A6" t="s">
        <v>955</v>
      </c>
      <c r="B6">
        <v>4</v>
      </c>
      <c r="AE6" t="s">
        <v>3112</v>
      </c>
      <c r="AF6">
        <v>3</v>
      </c>
      <c r="AQ6" t="s">
        <v>500</v>
      </c>
      <c r="AR6">
        <v>1</v>
      </c>
      <c r="BC6" t="s">
        <v>672</v>
      </c>
      <c r="BD6">
        <v>7</v>
      </c>
      <c r="BO6" t="s">
        <v>1265</v>
      </c>
      <c r="BP6">
        <v>10</v>
      </c>
      <c r="DE6" t="s">
        <v>2325</v>
      </c>
      <c r="DF6">
        <v>3</v>
      </c>
      <c r="FM6" t="s">
        <v>2141</v>
      </c>
      <c r="FN6">
        <v>2</v>
      </c>
    </row>
    <row r="7" spans="1:176" x14ac:dyDescent="0.2">
      <c r="A7" t="s">
        <v>2790</v>
      </c>
      <c r="B7">
        <v>2</v>
      </c>
      <c r="AE7" t="s">
        <v>3112</v>
      </c>
      <c r="AF7">
        <v>2</v>
      </c>
      <c r="AQ7" t="s">
        <v>3663</v>
      </c>
      <c r="AR7">
        <v>1</v>
      </c>
      <c r="BO7" t="s">
        <v>568</v>
      </c>
      <c r="BP7">
        <v>74</v>
      </c>
    </row>
    <row r="8" spans="1:176" x14ac:dyDescent="0.2">
      <c r="A8" t="s">
        <v>2790</v>
      </c>
      <c r="B8">
        <v>1</v>
      </c>
      <c r="AQ8" t="s">
        <v>3663</v>
      </c>
      <c r="AR8">
        <v>1</v>
      </c>
      <c r="BO8" t="s">
        <v>568</v>
      </c>
      <c r="BP8">
        <v>5</v>
      </c>
    </row>
    <row r="9" spans="1:176" x14ac:dyDescent="0.2">
      <c r="AQ9" t="s">
        <v>3663</v>
      </c>
      <c r="AR9">
        <v>1</v>
      </c>
      <c r="BO9" t="s">
        <v>568</v>
      </c>
      <c r="BP9">
        <v>2</v>
      </c>
    </row>
    <row r="10" spans="1:176" x14ac:dyDescent="0.2">
      <c r="BO10" t="s">
        <v>1546</v>
      </c>
      <c r="BP10">
        <v>25</v>
      </c>
    </row>
    <row r="11" spans="1:176" x14ac:dyDescent="0.2">
      <c r="BO11" t="s">
        <v>1546</v>
      </c>
      <c r="BP11">
        <v>3</v>
      </c>
    </row>
    <row r="13" spans="1:176" x14ac:dyDescent="0.2">
      <c r="A13" t="s">
        <v>4764</v>
      </c>
      <c r="B13">
        <f>SUM(B1:B8)</f>
        <v>31</v>
      </c>
      <c r="E13">
        <f>SUM(E1:E8)</f>
        <v>12</v>
      </c>
      <c r="H13">
        <f>SUM(H1:H8)</f>
        <v>1</v>
      </c>
      <c r="K13">
        <f>SUM(K1:K8)</f>
        <v>2</v>
      </c>
      <c r="N13">
        <f>SUM(N1:N8)</f>
        <v>11</v>
      </c>
      <c r="Q13">
        <f>SUM(Q1:Q8)</f>
        <v>2</v>
      </c>
      <c r="T13">
        <f>SUM(T1:T8)</f>
        <v>2</v>
      </c>
      <c r="W13">
        <f>SUM(W1:W8)</f>
        <v>3</v>
      </c>
      <c r="Z13">
        <f>SUM(Z1:Z8)</f>
        <v>3</v>
      </c>
      <c r="AC13">
        <f>SUM(AC1:AC8)</f>
        <v>1</v>
      </c>
      <c r="AF13">
        <f>SUM(AF1:AF8)</f>
        <v>31</v>
      </c>
      <c r="AI13">
        <f>SUM(AI1:AI8)</f>
        <v>30</v>
      </c>
      <c r="AL13">
        <f>SUM(AL1:AL8)</f>
        <v>3</v>
      </c>
      <c r="AO13">
        <f>SUM(AO1:AO8)</f>
        <v>1</v>
      </c>
      <c r="AR13">
        <f>SUM(AR1:AR8)</f>
        <v>48</v>
      </c>
      <c r="AU13">
        <f>SUM(AU1:AU8)</f>
        <v>29</v>
      </c>
      <c r="AX13">
        <f>SUM(AX1:AX8)</f>
        <v>18</v>
      </c>
      <c r="BA13">
        <f>SUM(BA1:BA8)</f>
        <v>43</v>
      </c>
      <c r="BD13">
        <f>SUM(BD1:BD8)</f>
        <v>30</v>
      </c>
      <c r="BG13">
        <f>SUM(BG1:BG8)</f>
        <v>1</v>
      </c>
      <c r="BJ13">
        <f>SUM(BJ1:BJ8)</f>
        <v>1</v>
      </c>
      <c r="BM13">
        <f>SUM(BM1:BM8)</f>
        <v>1</v>
      </c>
      <c r="BP13">
        <f>SUM(BP1:BP11)</f>
        <v>262</v>
      </c>
      <c r="BS13">
        <f>SUM(BS1:BS11)</f>
        <v>13</v>
      </c>
      <c r="BV13">
        <f>SUM(BV1:BV11)</f>
        <v>3</v>
      </c>
      <c r="BY13">
        <f>SUM(BY1:BY11)</f>
        <v>2</v>
      </c>
      <c r="CB13">
        <f>SUM(CB1:CB11)</f>
        <v>13</v>
      </c>
      <c r="CE13">
        <f>SUM(CE1:CE11)</f>
        <v>1</v>
      </c>
      <c r="CH13">
        <f>SUM(CH1:CH11)</f>
        <v>1</v>
      </c>
      <c r="CK13">
        <f>SUM(CK1:CK11)</f>
        <v>1</v>
      </c>
      <c r="CN13">
        <f>SUM(CN1:CN11)</f>
        <v>2</v>
      </c>
      <c r="CQ13">
        <f>SUM(CQ1:CQ11)</f>
        <v>1</v>
      </c>
      <c r="CT13">
        <f>SUM(CT1:CT11)</f>
        <v>5</v>
      </c>
      <c r="CW13">
        <f>SUM(CW1:CW11)</f>
        <v>44</v>
      </c>
      <c r="CZ13">
        <f>SUM(CZ1:CZ11)</f>
        <v>1</v>
      </c>
      <c r="DC13">
        <f>SUM(DC1:DC11)</f>
        <v>2</v>
      </c>
      <c r="DF13">
        <f>SUM(DF1:DF11)</f>
        <v>19</v>
      </c>
      <c r="DI13">
        <f>SUM(DI1:DI11)</f>
        <v>7</v>
      </c>
      <c r="DL13">
        <f>SUM(DL1:DL11)</f>
        <v>1</v>
      </c>
      <c r="DO13">
        <f>SUM(DO1:DO11)</f>
        <v>1</v>
      </c>
      <c r="DR13">
        <f>SUM(DR1:DR11)</f>
        <v>35</v>
      </c>
      <c r="DU13">
        <f>SUM(DU1:DU11)</f>
        <v>26</v>
      </c>
      <c r="DX13">
        <f>SUM(DX1:DX11)</f>
        <v>1</v>
      </c>
      <c r="EA13">
        <f>SUM(EA1:EA11)</f>
        <v>1</v>
      </c>
      <c r="ED13">
        <f>SUM(ED1:ED11)</f>
        <v>1</v>
      </c>
      <c r="EG13">
        <f>SUM(EG1:EG11)</f>
        <v>1</v>
      </c>
      <c r="EJ13">
        <f>SUM(EJ1:EJ11)</f>
        <v>1</v>
      </c>
      <c r="EM13">
        <f>SUM(EM1:EM11)</f>
        <v>1</v>
      </c>
      <c r="EP13">
        <f>SUM(EP1:EP11)</f>
        <v>4</v>
      </c>
      <c r="ES13">
        <f>SUM(ES1:ES11)</f>
        <v>2</v>
      </c>
      <c r="EV13">
        <f>SUM(EV1:EV11)</f>
        <v>2</v>
      </c>
      <c r="EY13">
        <f>SUM(EY1:EY11)</f>
        <v>4</v>
      </c>
      <c r="FB13">
        <f>SUM(FB1:FB11)</f>
        <v>1</v>
      </c>
      <c r="FE13">
        <f>SUM(FE1:FE11)</f>
        <v>1</v>
      </c>
      <c r="FH13">
        <f>SUM(FH1:FH11)</f>
        <v>4</v>
      </c>
      <c r="FK13">
        <f>SUM(FK1:FK11)</f>
        <v>3</v>
      </c>
      <c r="FN13">
        <f>SUM(FN1:FN11)</f>
        <v>14</v>
      </c>
      <c r="FQ13">
        <f>SUM(FQ1:FQ11)</f>
        <v>7</v>
      </c>
      <c r="FT13">
        <f>SUM(FT1:FT11)</f>
        <v>1</v>
      </c>
    </row>
    <row r="14" spans="1:176" x14ac:dyDescent="0.2">
      <c r="A14" t="s">
        <v>4765</v>
      </c>
      <c r="B14">
        <f>SUM(B13:FT13)</f>
        <v>793</v>
      </c>
    </row>
    <row r="15" spans="1:176" x14ac:dyDescent="0.2">
      <c r="B15">
        <f>450+258+80+5+1</f>
        <v>794</v>
      </c>
    </row>
  </sheetData>
  <sortState xmlns:xlrd2="http://schemas.microsoft.com/office/spreadsheetml/2017/richdata2" ref="A1:XFD1048576">
    <sortCondition ref="A1:A104857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8AB7-02F4-43F0-ADF1-98BD50B2F688}">
  <dimension ref="A1:E79"/>
  <sheetViews>
    <sheetView workbookViewId="0">
      <selection activeCell="G50" sqref="G50"/>
    </sheetView>
  </sheetViews>
  <sheetFormatPr baseColWidth="10" defaultColWidth="8.83203125" defaultRowHeight="15" x14ac:dyDescent="0.2"/>
  <cols>
    <col min="1" max="1" width="60.5" style="1" customWidth="1"/>
    <col min="2" max="3" width="9.1640625" style="1"/>
    <col min="4" max="4" width="42.5" style="1" customWidth="1"/>
    <col min="5" max="5" width="9.1640625" style="1"/>
  </cols>
  <sheetData>
    <row r="1" spans="1:5" s="9" customFormat="1" ht="16" x14ac:dyDescent="0.2">
      <c r="A1" s="7" t="s">
        <v>4766</v>
      </c>
      <c r="B1" s="7">
        <f>SUM(B2:B7)</f>
        <v>121</v>
      </c>
      <c r="C1" s="8"/>
      <c r="D1" s="8"/>
      <c r="E1" s="8"/>
    </row>
    <row r="2" spans="1:5" ht="16" x14ac:dyDescent="0.2">
      <c r="A2" s="1" t="s">
        <v>2790</v>
      </c>
      <c r="B2" s="1">
        <v>31</v>
      </c>
    </row>
    <row r="3" spans="1:5" ht="16" x14ac:dyDescent="0.2">
      <c r="A3" s="1" t="s">
        <v>3663</v>
      </c>
      <c r="B3" s="1">
        <v>48</v>
      </c>
    </row>
    <row r="4" spans="1:5" ht="16" x14ac:dyDescent="0.2">
      <c r="A4" s="1" t="s">
        <v>619</v>
      </c>
      <c r="B4" s="1">
        <v>13</v>
      </c>
    </row>
    <row r="5" spans="1:5" ht="32" x14ac:dyDescent="0.2">
      <c r="A5" s="1" t="s">
        <v>1210</v>
      </c>
      <c r="B5" s="1">
        <v>3</v>
      </c>
    </row>
    <row r="6" spans="1:5" ht="16" x14ac:dyDescent="0.2">
      <c r="A6" s="1" t="s">
        <v>2325</v>
      </c>
      <c r="B6" s="1">
        <v>19</v>
      </c>
    </row>
    <row r="7" spans="1:5" ht="32" x14ac:dyDescent="0.2">
      <c r="A7" s="1" t="s">
        <v>2293</v>
      </c>
      <c r="B7" s="1">
        <v>7</v>
      </c>
    </row>
    <row r="9" spans="1:5" s="9" customFormat="1" ht="16" x14ac:dyDescent="0.2">
      <c r="A9" s="10" t="s">
        <v>4767</v>
      </c>
      <c r="B9" s="7">
        <f>SUM(B10)</f>
        <v>3</v>
      </c>
      <c r="C9" s="8"/>
      <c r="D9" s="10" t="s">
        <v>4768</v>
      </c>
      <c r="E9" s="8">
        <f>SUM(E10)</f>
        <v>1</v>
      </c>
    </row>
    <row r="10" spans="1:5" ht="16" x14ac:dyDescent="0.2">
      <c r="A10" s="1" t="s">
        <v>1561</v>
      </c>
      <c r="B10" s="1">
        <v>3</v>
      </c>
      <c r="D10" s="11" t="s">
        <v>3857</v>
      </c>
      <c r="E10" s="11">
        <v>1</v>
      </c>
    </row>
    <row r="12" spans="1:5" s="9" customFormat="1" ht="16" x14ac:dyDescent="0.2">
      <c r="C12" s="8"/>
      <c r="D12" s="7" t="s">
        <v>4769</v>
      </c>
      <c r="E12" s="8">
        <f>SUM(E13:E14)</f>
        <v>13</v>
      </c>
    </row>
    <row r="13" spans="1:5" ht="16" x14ac:dyDescent="0.2">
      <c r="D13" s="1" t="s">
        <v>866</v>
      </c>
      <c r="E13" s="1">
        <v>12</v>
      </c>
    </row>
    <row r="14" spans="1:5" ht="16" x14ac:dyDescent="0.2">
      <c r="D14" s="1" t="s">
        <v>604</v>
      </c>
      <c r="E14" s="1">
        <v>1</v>
      </c>
    </row>
    <row r="16" spans="1:5" s="9" customFormat="1" ht="16" x14ac:dyDescent="0.2">
      <c r="A16" s="7" t="s">
        <v>4770</v>
      </c>
      <c r="B16" s="8">
        <f>SUM(B17:B18)</f>
        <v>6</v>
      </c>
      <c r="C16" s="8"/>
      <c r="D16" s="7" t="s">
        <v>4771</v>
      </c>
      <c r="E16" s="8">
        <f>SUM(E17:E18)</f>
        <v>2</v>
      </c>
    </row>
    <row r="17" spans="1:5" ht="16" x14ac:dyDescent="0.2">
      <c r="A17" s="1" t="s">
        <v>3905</v>
      </c>
      <c r="B17" s="1">
        <v>1</v>
      </c>
      <c r="D17" s="11" t="s">
        <v>2162</v>
      </c>
      <c r="E17" s="11">
        <v>2</v>
      </c>
    </row>
    <row r="18" spans="1:5" ht="16" x14ac:dyDescent="0.2">
      <c r="A18" s="1" t="s">
        <v>1989</v>
      </c>
      <c r="B18" s="1">
        <v>5</v>
      </c>
    </row>
    <row r="20" spans="1:5" s="9" customFormat="1" ht="16" x14ac:dyDescent="0.2">
      <c r="A20" s="7" t="s">
        <v>4772</v>
      </c>
      <c r="B20" s="8">
        <f>SUM(B21:B22)</f>
        <v>31</v>
      </c>
      <c r="C20" s="8"/>
      <c r="D20" s="7" t="s">
        <v>4773</v>
      </c>
      <c r="E20" s="8">
        <f>SUM(E21:E26)</f>
        <v>6</v>
      </c>
    </row>
    <row r="21" spans="1:5" ht="16" x14ac:dyDescent="0.2">
      <c r="A21" s="1" t="s">
        <v>3112</v>
      </c>
      <c r="B21" s="1">
        <v>31</v>
      </c>
      <c r="D21" s="1" t="s">
        <v>3177</v>
      </c>
      <c r="E21" s="1">
        <v>1</v>
      </c>
    </row>
    <row r="22" spans="1:5" ht="16" x14ac:dyDescent="0.2">
      <c r="D22" s="1" t="s">
        <v>3951</v>
      </c>
      <c r="E22" s="1">
        <v>1</v>
      </c>
    </row>
    <row r="23" spans="1:5" ht="32" x14ac:dyDescent="0.2">
      <c r="D23" s="1" t="s">
        <v>472</v>
      </c>
      <c r="E23" s="1">
        <v>1</v>
      </c>
    </row>
    <row r="24" spans="1:5" ht="16" x14ac:dyDescent="0.2">
      <c r="D24" s="1" t="s">
        <v>3675</v>
      </c>
      <c r="E24" s="1">
        <v>1</v>
      </c>
    </row>
    <row r="25" spans="1:5" ht="16" x14ac:dyDescent="0.2">
      <c r="D25" s="11" t="s">
        <v>1002</v>
      </c>
      <c r="E25" s="11">
        <v>1</v>
      </c>
    </row>
    <row r="26" spans="1:5" ht="16" x14ac:dyDescent="0.2">
      <c r="D26" s="1" t="s">
        <v>1974</v>
      </c>
      <c r="E26" s="1">
        <v>1</v>
      </c>
    </row>
    <row r="28" spans="1:5" s="9" customFormat="1" ht="16" x14ac:dyDescent="0.2">
      <c r="C28" s="8"/>
      <c r="D28" s="7" t="s">
        <v>4774</v>
      </c>
      <c r="E28" s="8">
        <f>SUM(E29:E32)</f>
        <v>16</v>
      </c>
    </row>
    <row r="29" spans="1:5" ht="16" x14ac:dyDescent="0.2">
      <c r="D29" s="11" t="s">
        <v>4775</v>
      </c>
      <c r="E29" s="11">
        <v>2</v>
      </c>
    </row>
    <row r="30" spans="1:5" ht="32" x14ac:dyDescent="0.2">
      <c r="D30" s="11" t="s">
        <v>2947</v>
      </c>
      <c r="E30" s="11">
        <v>11</v>
      </c>
    </row>
    <row r="31" spans="1:5" ht="32" x14ac:dyDescent="0.2">
      <c r="D31" s="11" t="s">
        <v>1278</v>
      </c>
      <c r="E31" s="11">
        <v>2</v>
      </c>
    </row>
    <row r="32" spans="1:5" ht="16" x14ac:dyDescent="0.2">
      <c r="D32" s="11" t="s">
        <v>4188</v>
      </c>
      <c r="E32" s="11">
        <v>1</v>
      </c>
    </row>
    <row r="34" spans="1:5" s="9" customFormat="1" ht="16" x14ac:dyDescent="0.2">
      <c r="A34" s="7" t="s">
        <v>4776</v>
      </c>
      <c r="B34" s="8">
        <f>SUM(B35:B36)</f>
        <v>42</v>
      </c>
      <c r="C34" s="8"/>
      <c r="D34" s="7" t="s">
        <v>4777</v>
      </c>
      <c r="E34" s="8">
        <f>SUM(E35:E36)</f>
        <v>7</v>
      </c>
    </row>
    <row r="35" spans="1:5" ht="32" x14ac:dyDescent="0.2">
      <c r="A35" s="1" t="s">
        <v>1126</v>
      </c>
      <c r="B35" s="1">
        <v>29</v>
      </c>
      <c r="D35" s="11" t="s">
        <v>736</v>
      </c>
      <c r="E35" s="11">
        <v>4</v>
      </c>
    </row>
    <row r="36" spans="1:5" ht="16" x14ac:dyDescent="0.2">
      <c r="A36" s="1" t="s">
        <v>2108</v>
      </c>
      <c r="B36" s="1">
        <v>13</v>
      </c>
      <c r="D36" s="11" t="s">
        <v>569</v>
      </c>
      <c r="E36" s="11">
        <v>3</v>
      </c>
    </row>
    <row r="38" spans="1:5" s="9" customFormat="1" ht="16" x14ac:dyDescent="0.2">
      <c r="C38" s="8"/>
      <c r="D38" s="7" t="s">
        <v>4778</v>
      </c>
      <c r="E38" s="8">
        <f>SUM(E39:E40)</f>
        <v>2</v>
      </c>
    </row>
    <row r="39" spans="1:5" ht="32" x14ac:dyDescent="0.2">
      <c r="D39" s="11" t="s">
        <v>460</v>
      </c>
      <c r="E39" s="11">
        <v>1</v>
      </c>
    </row>
    <row r="40" spans="1:5" ht="32" x14ac:dyDescent="0.2">
      <c r="D40" s="11" t="s">
        <v>459</v>
      </c>
      <c r="E40" s="11">
        <v>1</v>
      </c>
    </row>
    <row r="42" spans="1:5" s="9" customFormat="1" ht="16" x14ac:dyDescent="0.2">
      <c r="A42" s="10" t="s">
        <v>4779</v>
      </c>
      <c r="B42" s="8">
        <f>SUM(B43:B44)</f>
        <v>19</v>
      </c>
      <c r="C42" s="8"/>
      <c r="D42" s="10" t="s">
        <v>4780</v>
      </c>
      <c r="E42" s="8">
        <f>SUM(E43:E50)</f>
        <v>54</v>
      </c>
    </row>
    <row r="43" spans="1:5" ht="32" x14ac:dyDescent="0.2">
      <c r="A43" s="1" t="s">
        <v>799</v>
      </c>
      <c r="B43" s="1">
        <v>18</v>
      </c>
      <c r="D43" s="11" t="s">
        <v>3597</v>
      </c>
      <c r="E43" s="11">
        <v>2</v>
      </c>
    </row>
    <row r="44" spans="1:5" ht="16" x14ac:dyDescent="0.2">
      <c r="A44" s="1" t="s">
        <v>2404</v>
      </c>
      <c r="B44" s="1">
        <v>1</v>
      </c>
      <c r="D44" s="1" t="s">
        <v>787</v>
      </c>
      <c r="E44" s="1">
        <v>26</v>
      </c>
    </row>
    <row r="45" spans="1:5" ht="32" x14ac:dyDescent="0.2">
      <c r="D45" s="11" t="s">
        <v>501</v>
      </c>
      <c r="E45" s="11">
        <v>1</v>
      </c>
    </row>
    <row r="46" spans="1:5" ht="16" x14ac:dyDescent="0.2">
      <c r="D46" s="1" t="s">
        <v>4061</v>
      </c>
      <c r="E46" s="1">
        <v>1</v>
      </c>
    </row>
    <row r="47" spans="1:5" ht="32" x14ac:dyDescent="0.2">
      <c r="D47" s="1" t="s">
        <v>2547</v>
      </c>
      <c r="E47" s="1">
        <v>2</v>
      </c>
    </row>
    <row r="48" spans="1:5" ht="32" x14ac:dyDescent="0.2">
      <c r="D48" s="1" t="s">
        <v>2141</v>
      </c>
      <c r="E48" s="1">
        <v>14</v>
      </c>
    </row>
    <row r="49" spans="1:5" ht="32" x14ac:dyDescent="0.2">
      <c r="D49" s="11" t="s">
        <v>1807</v>
      </c>
      <c r="E49" s="11">
        <v>7</v>
      </c>
    </row>
    <row r="50" spans="1:5" ht="32" x14ac:dyDescent="0.2">
      <c r="D50" s="11" t="s">
        <v>4432</v>
      </c>
      <c r="E50" s="11">
        <v>1</v>
      </c>
    </row>
    <row r="52" spans="1:5" s="9" customFormat="1" ht="16" x14ac:dyDescent="0.2">
      <c r="A52" s="7" t="s">
        <v>4781</v>
      </c>
      <c r="B52" s="8">
        <f>SUM(B53:B53)</f>
        <v>30</v>
      </c>
      <c r="C52" s="8"/>
      <c r="D52" s="7" t="s">
        <v>4782</v>
      </c>
      <c r="E52" s="8">
        <f>SUM(E53:E59)</f>
        <v>54</v>
      </c>
    </row>
    <row r="53" spans="1:5" ht="16" x14ac:dyDescent="0.2">
      <c r="A53" s="1" t="s">
        <v>672</v>
      </c>
      <c r="B53" s="1">
        <v>30</v>
      </c>
      <c r="D53" s="1" t="s">
        <v>4091</v>
      </c>
      <c r="E53" s="1">
        <v>1</v>
      </c>
    </row>
    <row r="54" spans="1:5" ht="32" x14ac:dyDescent="0.2">
      <c r="D54" s="1" t="s">
        <v>3156</v>
      </c>
      <c r="E54" s="1">
        <v>1</v>
      </c>
    </row>
    <row r="55" spans="1:5" ht="16" x14ac:dyDescent="0.2">
      <c r="D55" s="1" t="s">
        <v>1416</v>
      </c>
      <c r="E55" s="1">
        <v>1</v>
      </c>
    </row>
    <row r="56" spans="1:5" ht="16" x14ac:dyDescent="0.2">
      <c r="D56" s="1" t="s">
        <v>620</v>
      </c>
      <c r="E56" s="1">
        <v>44</v>
      </c>
    </row>
    <row r="57" spans="1:5" ht="16" x14ac:dyDescent="0.2">
      <c r="D57" s="1" t="s">
        <v>4232</v>
      </c>
      <c r="E57" s="1">
        <v>2</v>
      </c>
    </row>
    <row r="58" spans="1:5" ht="16" x14ac:dyDescent="0.2">
      <c r="D58" s="11" t="s">
        <v>2616</v>
      </c>
      <c r="E58" s="11">
        <v>1</v>
      </c>
    </row>
    <row r="59" spans="1:5" ht="48" x14ac:dyDescent="0.2">
      <c r="D59" s="11" t="s">
        <v>4303</v>
      </c>
      <c r="E59" s="11">
        <v>4</v>
      </c>
    </row>
    <row r="61" spans="1:5" s="9" customFormat="1" ht="16" x14ac:dyDescent="0.2">
      <c r="A61" s="7" t="s">
        <v>4783</v>
      </c>
      <c r="B61" s="8">
        <f>SUM(B62:B66)</f>
        <v>35</v>
      </c>
      <c r="C61" s="8"/>
      <c r="D61" s="7" t="s">
        <v>4784</v>
      </c>
      <c r="E61" s="8">
        <f>SUM(E62:E68)</f>
        <v>2</v>
      </c>
    </row>
    <row r="62" spans="1:5" ht="16" x14ac:dyDescent="0.2">
      <c r="A62" s="1" t="s">
        <v>3913</v>
      </c>
      <c r="B62" s="1">
        <v>1</v>
      </c>
      <c r="D62" s="11" t="s">
        <v>659</v>
      </c>
      <c r="E62" s="11">
        <v>2</v>
      </c>
    </row>
    <row r="63" spans="1:5" ht="16" x14ac:dyDescent="0.2">
      <c r="A63" s="1" t="s">
        <v>760</v>
      </c>
      <c r="B63" s="1">
        <v>29</v>
      </c>
    </row>
    <row r="64" spans="1:5" ht="16" x14ac:dyDescent="0.2">
      <c r="A64" s="1" t="s">
        <v>2363</v>
      </c>
      <c r="B64" s="1">
        <v>2</v>
      </c>
    </row>
    <row r="65" spans="1:5" ht="16" x14ac:dyDescent="0.2">
      <c r="A65" s="1" t="s">
        <v>3291</v>
      </c>
      <c r="B65" s="1">
        <v>1</v>
      </c>
    </row>
    <row r="66" spans="1:5" ht="16" x14ac:dyDescent="0.2">
      <c r="A66" s="1" t="s">
        <v>580</v>
      </c>
      <c r="B66" s="1">
        <v>2</v>
      </c>
    </row>
    <row r="68" spans="1:5" s="9" customFormat="1" ht="16" x14ac:dyDescent="0.2">
      <c r="A68" s="7" t="s">
        <v>4785</v>
      </c>
      <c r="B68" s="8">
        <f>SUM(B69)</f>
        <v>43</v>
      </c>
      <c r="C68" s="8"/>
      <c r="D68" s="8"/>
      <c r="E68" s="8"/>
    </row>
    <row r="69" spans="1:5" ht="16" x14ac:dyDescent="0.2">
      <c r="A69" s="1" t="s">
        <v>486</v>
      </c>
      <c r="B69" s="1">
        <v>43</v>
      </c>
    </row>
    <row r="71" spans="1:5" s="9" customFormat="1" ht="16" x14ac:dyDescent="0.2">
      <c r="A71" s="7" t="s">
        <v>4786</v>
      </c>
      <c r="B71" s="8">
        <f>SUM(B72:B74)</f>
        <v>264</v>
      </c>
      <c r="C71" s="8"/>
      <c r="D71" s="7" t="s">
        <v>4787</v>
      </c>
      <c r="E71" s="8">
        <f>SUM(E72:E75)</f>
        <v>41</v>
      </c>
    </row>
    <row r="72" spans="1:5" ht="48" x14ac:dyDescent="0.2">
      <c r="A72" s="1" t="s">
        <v>1546</v>
      </c>
      <c r="B72" s="1">
        <v>262</v>
      </c>
      <c r="D72" s="1" t="s">
        <v>540</v>
      </c>
      <c r="E72" s="1">
        <v>35</v>
      </c>
    </row>
    <row r="73" spans="1:5" ht="16" x14ac:dyDescent="0.2">
      <c r="A73" s="1" t="s">
        <v>3046</v>
      </c>
      <c r="B73" s="1">
        <v>1</v>
      </c>
      <c r="D73" s="1" t="s">
        <v>4577</v>
      </c>
      <c r="E73" s="1">
        <v>1</v>
      </c>
    </row>
    <row r="74" spans="1:5" ht="32" x14ac:dyDescent="0.2">
      <c r="A74" s="1" t="s">
        <v>539</v>
      </c>
      <c r="B74" s="1">
        <v>1</v>
      </c>
      <c r="D74" s="1" t="s">
        <v>2278</v>
      </c>
      <c r="E74" s="1">
        <v>1</v>
      </c>
    </row>
    <row r="75" spans="1:5" ht="32" x14ac:dyDescent="0.2">
      <c r="D75" s="11" t="s">
        <v>1060</v>
      </c>
      <c r="E75" s="11">
        <v>4</v>
      </c>
    </row>
    <row r="76" spans="1:5" ht="14.25" customHeight="1" x14ac:dyDescent="0.2"/>
    <row r="77" spans="1:5" s="9" customFormat="1" ht="16" x14ac:dyDescent="0.2">
      <c r="A77" s="7" t="s">
        <v>4788</v>
      </c>
      <c r="B77" s="8">
        <f>SUM(B78)</f>
        <v>1</v>
      </c>
      <c r="C77" s="8"/>
      <c r="D77" s="8"/>
      <c r="E77" s="8"/>
    </row>
    <row r="78" spans="1:5" ht="16" x14ac:dyDescent="0.2">
      <c r="A78" s="1" t="s">
        <v>4662</v>
      </c>
      <c r="B78" s="1">
        <v>1</v>
      </c>
    </row>
    <row r="79" spans="1:5" ht="14.25" customHeight="1"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65D9-7EB6-49DE-9BEC-368E370BD132}">
  <dimension ref="A1:U61"/>
  <sheetViews>
    <sheetView workbookViewId="0">
      <selection activeCell="B48" sqref="B48"/>
    </sheetView>
  </sheetViews>
  <sheetFormatPr baseColWidth="10" defaultColWidth="8.83203125" defaultRowHeight="15" x14ac:dyDescent="0.2"/>
  <cols>
    <col min="1" max="1" width="65.5" customWidth="1"/>
    <col min="2" max="2" width="24.6640625" customWidth="1"/>
    <col min="3" max="3" width="12.5" customWidth="1"/>
    <col min="4" max="4" width="20.1640625" customWidth="1"/>
  </cols>
  <sheetData>
    <row r="1" spans="1:4" ht="16" x14ac:dyDescent="0.2">
      <c r="A1" s="12" t="s">
        <v>4789</v>
      </c>
      <c r="B1" s="12" t="s">
        <v>4790</v>
      </c>
      <c r="C1" s="12" t="s">
        <v>4791</v>
      </c>
      <c r="D1" s="12" t="s">
        <v>4792</v>
      </c>
    </row>
    <row r="2" spans="1:4" ht="16" x14ac:dyDescent="0.2">
      <c r="A2" s="13" t="s">
        <v>4774</v>
      </c>
      <c r="B2" s="14">
        <v>16</v>
      </c>
      <c r="C2">
        <v>0</v>
      </c>
      <c r="D2" s="21">
        <v>16</v>
      </c>
    </row>
    <row r="3" spans="1:4" ht="16" x14ac:dyDescent="0.2">
      <c r="A3" s="15" t="s">
        <v>4775</v>
      </c>
      <c r="B3" s="16">
        <v>2</v>
      </c>
    </row>
    <row r="4" spans="1:4" ht="16" x14ac:dyDescent="0.2">
      <c r="A4" s="15" t="s">
        <v>2947</v>
      </c>
      <c r="B4" s="16">
        <v>11</v>
      </c>
    </row>
    <row r="5" spans="1:4" ht="16" x14ac:dyDescent="0.2">
      <c r="A5" s="15" t="s">
        <v>4793</v>
      </c>
      <c r="B5" s="16">
        <v>2</v>
      </c>
    </row>
    <row r="6" spans="1:4" ht="16" x14ac:dyDescent="0.2">
      <c r="A6" s="15" t="s">
        <v>4188</v>
      </c>
      <c r="B6" s="16">
        <v>1</v>
      </c>
    </row>
    <row r="7" spans="1:4" x14ac:dyDescent="0.2">
      <c r="A7" s="17"/>
      <c r="B7" s="17"/>
    </row>
    <row r="8" spans="1:4" ht="16" x14ac:dyDescent="0.2">
      <c r="A8" s="13" t="s">
        <v>4794</v>
      </c>
      <c r="B8" s="14">
        <v>2</v>
      </c>
      <c r="C8">
        <v>0</v>
      </c>
      <c r="D8" s="22">
        <v>2</v>
      </c>
    </row>
    <row r="9" spans="1:4" ht="16" x14ac:dyDescent="0.2">
      <c r="A9" s="15" t="s">
        <v>460</v>
      </c>
      <c r="B9" s="16">
        <v>1</v>
      </c>
    </row>
    <row r="10" spans="1:4" ht="16" x14ac:dyDescent="0.2">
      <c r="A10" s="15" t="s">
        <v>4795</v>
      </c>
      <c r="B10" s="16">
        <v>1</v>
      </c>
    </row>
    <row r="12" spans="1:4" ht="16" x14ac:dyDescent="0.2">
      <c r="A12" s="13" t="s">
        <v>4780</v>
      </c>
      <c r="B12" s="14">
        <v>21</v>
      </c>
      <c r="C12">
        <v>19</v>
      </c>
      <c r="D12" s="22">
        <v>2</v>
      </c>
    </row>
    <row r="13" spans="1:4" ht="16.5" customHeight="1" x14ac:dyDescent="0.2">
      <c r="A13" s="18" t="s">
        <v>3597</v>
      </c>
      <c r="B13" s="17">
        <v>2</v>
      </c>
    </row>
    <row r="14" spans="1:4" ht="16" x14ac:dyDescent="0.2">
      <c r="A14" s="18" t="s">
        <v>787</v>
      </c>
      <c r="B14" s="17">
        <v>26</v>
      </c>
    </row>
    <row r="15" spans="1:4" ht="16" x14ac:dyDescent="0.2">
      <c r="A15" s="18" t="s">
        <v>501</v>
      </c>
      <c r="B15" s="17">
        <v>1</v>
      </c>
    </row>
    <row r="16" spans="1:4" ht="16" x14ac:dyDescent="0.2">
      <c r="A16" s="18" t="s">
        <v>4061</v>
      </c>
      <c r="B16" s="17">
        <v>1</v>
      </c>
    </row>
    <row r="17" spans="1:4" ht="16" x14ac:dyDescent="0.2">
      <c r="A17" s="18" t="s">
        <v>2547</v>
      </c>
      <c r="B17" s="17">
        <v>2</v>
      </c>
    </row>
    <row r="18" spans="1:4" ht="32" x14ac:dyDescent="0.2">
      <c r="A18" s="15" t="s">
        <v>2141</v>
      </c>
      <c r="B18" s="16">
        <v>14</v>
      </c>
    </row>
    <row r="19" spans="1:4" ht="16" x14ac:dyDescent="0.2">
      <c r="A19" s="15" t="s">
        <v>1807</v>
      </c>
      <c r="B19" s="16">
        <v>7</v>
      </c>
    </row>
    <row r="20" spans="1:4" ht="32" x14ac:dyDescent="0.2">
      <c r="A20" s="19" t="s">
        <v>4432</v>
      </c>
      <c r="B20" s="24">
        <v>1</v>
      </c>
    </row>
    <row r="21" spans="1:4" x14ac:dyDescent="0.2">
      <c r="A21" s="18"/>
    </row>
    <row r="22" spans="1:4" ht="16" x14ac:dyDescent="0.2">
      <c r="A22" s="13" t="s">
        <v>4768</v>
      </c>
      <c r="B22" s="14">
        <v>1</v>
      </c>
      <c r="C22">
        <v>3</v>
      </c>
      <c r="D22" s="23">
        <v>-2</v>
      </c>
    </row>
    <row r="23" spans="1:4" ht="16" x14ac:dyDescent="0.2">
      <c r="A23" s="15" t="s">
        <v>3857</v>
      </c>
      <c r="B23" s="16">
        <v>1</v>
      </c>
    </row>
    <row r="25" spans="1:4" ht="16" x14ac:dyDescent="0.2">
      <c r="A25" s="13" t="s">
        <v>4796</v>
      </c>
      <c r="B25" s="14">
        <v>5</v>
      </c>
      <c r="C25">
        <v>30</v>
      </c>
      <c r="D25" s="24">
        <v>-25</v>
      </c>
    </row>
    <row r="26" spans="1:4" ht="16" x14ac:dyDescent="0.2">
      <c r="A26" s="18" t="s">
        <v>4091</v>
      </c>
      <c r="B26" s="17">
        <v>1</v>
      </c>
    </row>
    <row r="27" spans="1:4" ht="16" x14ac:dyDescent="0.2">
      <c r="A27" s="18" t="s">
        <v>3156</v>
      </c>
      <c r="B27" s="17">
        <v>1</v>
      </c>
    </row>
    <row r="28" spans="1:4" ht="16" x14ac:dyDescent="0.2">
      <c r="A28" s="18" t="s">
        <v>1416</v>
      </c>
      <c r="B28" s="17">
        <v>1</v>
      </c>
    </row>
    <row r="29" spans="1:4" ht="16" x14ac:dyDescent="0.2">
      <c r="A29" s="18" t="s">
        <v>620</v>
      </c>
      <c r="B29" s="17">
        <v>44</v>
      </c>
    </row>
    <row r="30" spans="1:4" ht="16" x14ac:dyDescent="0.2">
      <c r="A30" s="18" t="s">
        <v>4232</v>
      </c>
      <c r="B30" s="17">
        <v>2</v>
      </c>
    </row>
    <row r="31" spans="1:4" ht="16" x14ac:dyDescent="0.2">
      <c r="A31" s="15" t="s">
        <v>2616</v>
      </c>
      <c r="B31" s="16">
        <v>1</v>
      </c>
    </row>
    <row r="32" spans="1:4" ht="32" x14ac:dyDescent="0.2">
      <c r="A32" s="15" t="s">
        <v>4303</v>
      </c>
      <c r="B32" s="16">
        <v>4</v>
      </c>
    </row>
    <row r="33" spans="1:21" x14ac:dyDescent="0.2">
      <c r="U33" s="17">
        <v>1</v>
      </c>
    </row>
    <row r="34" spans="1:21" ht="16" x14ac:dyDescent="0.2">
      <c r="A34" s="13" t="s">
        <v>4797</v>
      </c>
      <c r="B34" s="14">
        <v>2</v>
      </c>
      <c r="C34">
        <v>35</v>
      </c>
      <c r="D34" s="25">
        <v>-33</v>
      </c>
    </row>
    <row r="35" spans="1:21" ht="16" x14ac:dyDescent="0.2">
      <c r="A35" s="15" t="s">
        <v>659</v>
      </c>
      <c r="B35" s="16">
        <v>2</v>
      </c>
    </row>
    <row r="36" spans="1:21" x14ac:dyDescent="0.2">
      <c r="A36" s="17"/>
      <c r="B36" s="17"/>
      <c r="O36" s="17"/>
      <c r="P36" s="17"/>
    </row>
    <row r="37" spans="1:21" ht="16" x14ac:dyDescent="0.2">
      <c r="A37" s="13" t="s">
        <v>4777</v>
      </c>
      <c r="B37" s="14">
        <v>7</v>
      </c>
      <c r="C37">
        <v>42</v>
      </c>
      <c r="D37" s="26">
        <v>-35</v>
      </c>
    </row>
    <row r="38" spans="1:21" ht="16" x14ac:dyDescent="0.2">
      <c r="A38" s="15" t="s">
        <v>736</v>
      </c>
      <c r="B38" s="16">
        <v>4</v>
      </c>
    </row>
    <row r="39" spans="1:21" ht="16" x14ac:dyDescent="0.2">
      <c r="A39" s="19" t="s">
        <v>569</v>
      </c>
      <c r="B39" s="20">
        <v>3</v>
      </c>
    </row>
    <row r="41" spans="1:21" ht="16" x14ac:dyDescent="0.2">
      <c r="A41" s="13" t="s">
        <v>4798</v>
      </c>
      <c r="B41" s="14">
        <v>5</v>
      </c>
      <c r="C41">
        <v>264</v>
      </c>
      <c r="D41">
        <v>-259</v>
      </c>
    </row>
    <row r="42" spans="1:21" ht="16" x14ac:dyDescent="0.2">
      <c r="A42" s="18" t="s">
        <v>540</v>
      </c>
      <c r="B42" s="17">
        <v>35</v>
      </c>
      <c r="O42" s="17"/>
      <c r="P42" s="17"/>
    </row>
    <row r="43" spans="1:21" ht="16" x14ac:dyDescent="0.2">
      <c r="A43" s="18" t="s">
        <v>4577</v>
      </c>
      <c r="B43" s="17">
        <v>1</v>
      </c>
    </row>
    <row r="44" spans="1:21" ht="16" x14ac:dyDescent="0.2">
      <c r="A44" s="19" t="s">
        <v>2278</v>
      </c>
      <c r="B44" s="20">
        <v>1</v>
      </c>
    </row>
    <row r="45" spans="1:21" ht="16" x14ac:dyDescent="0.2">
      <c r="A45" s="15" t="s">
        <v>1060</v>
      </c>
      <c r="B45" s="16">
        <v>4</v>
      </c>
    </row>
    <row r="47" spans="1:21" x14ac:dyDescent="0.2">
      <c r="A47" s="17"/>
      <c r="B47" s="17"/>
    </row>
    <row r="48" spans="1:21" ht="16" x14ac:dyDescent="0.2">
      <c r="A48" s="13" t="s">
        <v>4773</v>
      </c>
      <c r="B48" s="14">
        <v>6</v>
      </c>
      <c r="C48">
        <v>31</v>
      </c>
    </row>
    <row r="49" spans="1:3" ht="16" x14ac:dyDescent="0.2">
      <c r="A49" s="18" t="s">
        <v>3177</v>
      </c>
      <c r="B49" s="17">
        <v>1</v>
      </c>
    </row>
    <row r="50" spans="1:3" ht="16" x14ac:dyDescent="0.2">
      <c r="A50" s="18" t="s">
        <v>3951</v>
      </c>
      <c r="B50" s="17">
        <v>1</v>
      </c>
    </row>
    <row r="51" spans="1:3" ht="16" x14ac:dyDescent="0.2">
      <c r="A51" s="18" t="s">
        <v>472</v>
      </c>
      <c r="B51" s="17">
        <v>1</v>
      </c>
    </row>
    <row r="52" spans="1:3" ht="16" x14ac:dyDescent="0.2">
      <c r="A52" s="18" t="s">
        <v>3675</v>
      </c>
      <c r="B52" s="17">
        <v>1</v>
      </c>
    </row>
    <row r="53" spans="1:3" ht="16" x14ac:dyDescent="0.2">
      <c r="A53" s="18" t="s">
        <v>1002</v>
      </c>
      <c r="B53" s="17">
        <v>1</v>
      </c>
    </row>
    <row r="54" spans="1:3" ht="16" x14ac:dyDescent="0.2">
      <c r="A54" s="18" t="s">
        <v>1974</v>
      </c>
      <c r="B54" s="17">
        <v>1</v>
      </c>
    </row>
    <row r="55" spans="1:3" x14ac:dyDescent="0.2">
      <c r="A55" s="17"/>
      <c r="B55" s="17"/>
    </row>
    <row r="56" spans="1:3" ht="16" x14ac:dyDescent="0.2">
      <c r="A56" s="13" t="s">
        <v>4771</v>
      </c>
      <c r="B56" s="14">
        <v>2</v>
      </c>
      <c r="C56">
        <v>6</v>
      </c>
    </row>
    <row r="57" spans="1:3" ht="16" x14ac:dyDescent="0.2">
      <c r="A57" s="18" t="s">
        <v>2162</v>
      </c>
      <c r="B57" s="17">
        <v>2</v>
      </c>
    </row>
    <row r="58" spans="1:3" x14ac:dyDescent="0.2">
      <c r="A58" s="17"/>
      <c r="B58" s="17"/>
    </row>
    <row r="59" spans="1:3" ht="16" x14ac:dyDescent="0.2">
      <c r="A59" s="13" t="s">
        <v>4799</v>
      </c>
      <c r="B59" s="14">
        <v>13</v>
      </c>
      <c r="C59">
        <v>0</v>
      </c>
    </row>
    <row r="60" spans="1:3" ht="16" x14ac:dyDescent="0.2">
      <c r="A60" s="18" t="s">
        <v>866</v>
      </c>
      <c r="B60" s="17">
        <v>12</v>
      </c>
    </row>
    <row r="61" spans="1:3" ht="16" x14ac:dyDescent="0.2">
      <c r="A61" s="18" t="s">
        <v>604</v>
      </c>
      <c r="B61" s="17">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B2750-D954-4D5E-A189-4DD885761EEB}">
  <dimension ref="A1:F13"/>
  <sheetViews>
    <sheetView topLeftCell="E1" workbookViewId="0">
      <selection activeCell="Q31" sqref="Q31"/>
    </sheetView>
  </sheetViews>
  <sheetFormatPr baseColWidth="10" defaultColWidth="8.83203125" defaultRowHeight="15" x14ac:dyDescent="0.2"/>
  <cols>
    <col min="1" max="1" width="5.5" customWidth="1"/>
    <col min="2" max="2" width="34.5" customWidth="1"/>
    <col min="3" max="3" width="20.5" customWidth="1"/>
    <col min="5" max="5" width="15.83203125" customWidth="1"/>
    <col min="6" max="6" width="59.6640625" customWidth="1"/>
  </cols>
  <sheetData>
    <row r="1" spans="1:6" ht="17" x14ac:dyDescent="0.2">
      <c r="A1" s="41" t="s">
        <v>4800</v>
      </c>
      <c r="B1" s="41"/>
      <c r="C1" s="41"/>
      <c r="D1" s="41"/>
      <c r="E1" s="41"/>
      <c r="F1" s="41"/>
    </row>
    <row r="2" spans="1:6" x14ac:dyDescent="0.2">
      <c r="A2" s="42" t="s">
        <v>4801</v>
      </c>
      <c r="B2" s="42"/>
      <c r="C2" s="42"/>
      <c r="D2" s="42"/>
      <c r="E2" s="42"/>
      <c r="F2" s="42"/>
    </row>
    <row r="3" spans="1:6" ht="27" x14ac:dyDescent="0.2">
      <c r="A3" s="27" t="s">
        <v>4802</v>
      </c>
      <c r="B3" s="28" t="s">
        <v>4803</v>
      </c>
      <c r="C3" s="28" t="s">
        <v>4804</v>
      </c>
      <c r="D3" s="28" t="s">
        <v>4805</v>
      </c>
      <c r="E3" s="28" t="s">
        <v>4806</v>
      </c>
      <c r="F3" s="28" t="s">
        <v>4807</v>
      </c>
    </row>
    <row r="4" spans="1:6" x14ac:dyDescent="0.2">
      <c r="A4" s="29">
        <v>1</v>
      </c>
      <c r="B4" s="30" t="s">
        <v>4808</v>
      </c>
      <c r="C4" s="31">
        <v>16</v>
      </c>
      <c r="D4" s="31">
        <v>0</v>
      </c>
      <c r="E4" s="32">
        <v>16</v>
      </c>
      <c r="F4" s="33" t="s">
        <v>4809</v>
      </c>
    </row>
    <row r="5" spans="1:6" x14ac:dyDescent="0.2">
      <c r="A5" s="34">
        <v>2</v>
      </c>
      <c r="B5" s="35" t="s">
        <v>4810</v>
      </c>
      <c r="C5" s="36">
        <v>2</v>
      </c>
      <c r="D5" s="36">
        <v>0</v>
      </c>
      <c r="E5" s="37">
        <v>2</v>
      </c>
      <c r="F5" s="38" t="s">
        <v>4811</v>
      </c>
    </row>
    <row r="6" spans="1:6" x14ac:dyDescent="0.2">
      <c r="A6" s="29">
        <v>3</v>
      </c>
      <c r="B6" s="30" t="s">
        <v>4812</v>
      </c>
      <c r="C6" s="31">
        <v>21</v>
      </c>
      <c r="D6" s="31">
        <v>19</v>
      </c>
      <c r="E6" s="32">
        <v>2</v>
      </c>
      <c r="F6" s="33" t="s">
        <v>4813</v>
      </c>
    </row>
    <row r="7" spans="1:6" x14ac:dyDescent="0.2">
      <c r="A7" s="34">
        <v>4</v>
      </c>
      <c r="B7" s="35" t="s">
        <v>4814</v>
      </c>
      <c r="C7" s="36">
        <v>1</v>
      </c>
      <c r="D7" s="36">
        <v>3</v>
      </c>
      <c r="E7" s="39">
        <v>-2</v>
      </c>
      <c r="F7" s="38" t="s">
        <v>4815</v>
      </c>
    </row>
    <row r="8" spans="1:6" x14ac:dyDescent="0.2">
      <c r="A8" s="29">
        <v>5</v>
      </c>
      <c r="B8" s="30" t="s">
        <v>4816</v>
      </c>
      <c r="C8" s="31">
        <v>5</v>
      </c>
      <c r="D8" s="31">
        <v>30</v>
      </c>
      <c r="E8" s="40">
        <v>-25</v>
      </c>
      <c r="F8" s="33" t="s">
        <v>4817</v>
      </c>
    </row>
    <row r="9" spans="1:6" x14ac:dyDescent="0.2">
      <c r="A9" s="34">
        <v>6</v>
      </c>
      <c r="B9" s="35" t="s">
        <v>4818</v>
      </c>
      <c r="C9" s="36">
        <v>2</v>
      </c>
      <c r="D9" s="36">
        <v>35</v>
      </c>
      <c r="E9" s="39">
        <v>-33</v>
      </c>
      <c r="F9" s="38" t="s">
        <v>4819</v>
      </c>
    </row>
    <row r="10" spans="1:6" x14ac:dyDescent="0.2">
      <c r="A10" s="29">
        <v>7</v>
      </c>
      <c r="B10" s="30" t="s">
        <v>4820</v>
      </c>
      <c r="C10" s="31">
        <v>7</v>
      </c>
      <c r="D10" s="31">
        <v>42</v>
      </c>
      <c r="E10" s="40">
        <v>-35</v>
      </c>
      <c r="F10" s="33" t="s">
        <v>4821</v>
      </c>
    </row>
    <row r="11" spans="1:6" x14ac:dyDescent="0.2">
      <c r="A11" s="34">
        <v>8</v>
      </c>
      <c r="B11" s="35" t="s">
        <v>4822</v>
      </c>
      <c r="C11" s="36">
        <v>5</v>
      </c>
      <c r="D11" s="36">
        <v>264</v>
      </c>
      <c r="E11" s="39">
        <v>-259</v>
      </c>
      <c r="F11" s="38" t="s">
        <v>4823</v>
      </c>
    </row>
    <row r="12" spans="1:6" x14ac:dyDescent="0.2">
      <c r="A12" s="17"/>
      <c r="B12" s="17"/>
      <c r="C12" s="17"/>
      <c r="D12" s="17"/>
      <c r="E12" s="17"/>
      <c r="F12" s="17"/>
    </row>
    <row r="13" spans="1:6" x14ac:dyDescent="0.2">
      <c r="A13" s="43" t="s">
        <v>4824</v>
      </c>
      <c r="B13" s="43"/>
      <c r="C13" s="43"/>
      <c r="D13" s="43"/>
      <c r="E13" s="43"/>
      <c r="F13" s="43"/>
    </row>
  </sheetData>
  <mergeCells count="3">
    <mergeCell ref="A1:F1"/>
    <mergeCell ref="A2:F2"/>
    <mergeCell ref="A13:F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1252a33-fd81-40a8-aa34-03a9565b173f" xsi:nil="true"/>
    <lcf76f155ced4ddcb4097134ff3c332f xmlns="f6f36f7b-6c00-4c62-8a95-917c0b07a29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6278F8364A83043826DB8D7C1AAAB19" ma:contentTypeVersion="16" ma:contentTypeDescription="Create a new document." ma:contentTypeScope="" ma:versionID="2c8fbd1be28c14975148d6ba01578ca6">
  <xsd:schema xmlns:xsd="http://www.w3.org/2001/XMLSchema" xmlns:xs="http://www.w3.org/2001/XMLSchema" xmlns:p="http://schemas.microsoft.com/office/2006/metadata/properties" xmlns:ns2="f6f36f7b-6c00-4c62-8a95-917c0b07a29b" xmlns:ns3="11252a33-fd81-40a8-aa34-03a9565b173f" targetNamespace="http://schemas.microsoft.com/office/2006/metadata/properties" ma:root="true" ma:fieldsID="1bfec52681fb7d652f8891c5e0712ba7" ns2:_="" ns3:_="">
    <xsd:import namespace="f6f36f7b-6c00-4c62-8a95-917c0b07a29b"/>
    <xsd:import namespace="11252a33-fd81-40a8-aa34-03a9565b17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36f7b-6c00-4c62-8a95-917c0b07a2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c0ebc6-c14c-421c-af94-d41901d01c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252a33-fd81-40a8-aa34-03a9565b17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22ae9c0-d47b-44a2-9cb2-21f228b9550a}" ma:internalName="TaxCatchAll" ma:showField="CatchAllData" ma:web="11252a33-fd81-40a8-aa34-03a9565b17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21092D-43EB-4465-9204-F50ADE474EA7}">
  <ds:schemaRefs>
    <ds:schemaRef ds:uri="http://www.w3.org/XML/1998/namespace"/>
    <ds:schemaRef ds:uri="http://schemas.microsoft.com/office/2006/documentManagement/types"/>
    <ds:schemaRef ds:uri="f6f36f7b-6c00-4c62-8a95-917c0b07a29b"/>
    <ds:schemaRef ds:uri="http://schemas.microsoft.com/office/2006/metadata/properties"/>
    <ds:schemaRef ds:uri="http://schemas.microsoft.com/office/infopath/2007/PartnerControls"/>
    <ds:schemaRef ds:uri="http://schemas.openxmlformats.org/package/2006/metadata/core-properties"/>
    <ds:schemaRef ds:uri="http://purl.org/dc/elements/1.1/"/>
    <ds:schemaRef ds:uri="11252a33-fd81-40a8-aa34-03a9565b173f"/>
    <ds:schemaRef ds:uri="http://purl.org/dc/dcmitype/"/>
    <ds:schemaRef ds:uri="http://purl.org/dc/terms/"/>
  </ds:schemaRefs>
</ds:datastoreItem>
</file>

<file path=customXml/itemProps2.xml><?xml version="1.0" encoding="utf-8"?>
<ds:datastoreItem xmlns:ds="http://schemas.openxmlformats.org/officeDocument/2006/customXml" ds:itemID="{D2F200C3-FB86-46E7-9CCF-0788928302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f36f7b-6c00-4c62-8a95-917c0b07a29b"/>
    <ds:schemaRef ds:uri="11252a33-fd81-40a8-aa34-03a9565b17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EDCD66E-B1C9-439F-9D9F-6F5E46D90E28}">
  <ds:schemaRefs>
    <ds:schemaRef ds:uri="http://schemas.microsoft.com/sharepoint/v3/contenttype/forms"/>
  </ds:schemaRefs>
</ds:datastoreItem>
</file>

<file path=docMetadata/LabelInfo.xml><?xml version="1.0" encoding="utf-8"?>
<clbl:labelList xmlns:clbl="http://schemas.microsoft.com/office/2020/mipLabelMetadata">
  <clbl:label id="{b05f3be6-62da-4a58-8444-aeed42041336}" enabled="0" method="" siteId="{b05f3be6-62da-4a58-8444-aeed4204133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RAW</vt:lpstr>
      <vt:lpstr>Theme 1</vt:lpstr>
      <vt:lpstr>Theme 2</vt:lpstr>
      <vt:lpstr>Theme 3</vt:lpstr>
      <vt:lpstr>Theme 4</vt:lpstr>
      <vt:lpstr>Theme 5</vt:lpstr>
      <vt:lpstr>Totals</vt:lpstr>
      <vt:lpstr>Theme Analysis</vt:lpstr>
      <vt:lpstr>WebEX Negative Calculation</vt:lpstr>
      <vt:lpstr>Final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Jerel Smith</cp:lastModifiedBy>
  <cp:revision/>
  <dcterms:created xsi:type="dcterms:W3CDTF">2026-03-04T16:16:18Z</dcterms:created>
  <dcterms:modified xsi:type="dcterms:W3CDTF">2026-03-26T13:40:06Z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0x01010096278F8364A83043826DB8D7C1AAAB19</vt:lpwstr>
  </property>
  <property fmtid="{D5CDD505-2E9C-101B-9397-08002B2CF9AE}" pid="3" name="MediaServiceImageTags">
    <vt:lpwstr/>
  </property>
</Properties>
</file>